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wcapac-my.sharepoint.com/personal/john_marc_ancheta_pwc_com/Documents/Documents/"/>
    </mc:Choice>
  </mc:AlternateContent>
  <xr:revisionPtr revIDLastSave="9" documentId="8_{19AFB6D8-A4B6-4AB0-BC17-E27CDA04CD27}" xr6:coauthVersionLast="47" xr6:coauthVersionMax="47" xr10:uidLastSave="{A5D0EF60-3F6D-46ED-9C20-877DB83090D0}"/>
  <bookViews>
    <workbookView xWindow="-7177" yWindow="-15137" windowWidth="29722" windowHeight="11612" xr2:uid="{EF80F93A-822B-44E3-9EA0-DB20AB8A548E}"/>
  </bookViews>
  <sheets>
    <sheet name="Consolidate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59" i="1" l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<sst xmlns="http://schemas.openxmlformats.org/spreadsheetml/2006/main" count="1083" uniqueCount="650">
  <si>
    <t>FG Material Code</t>
  </si>
  <si>
    <t>FG Item Description</t>
  </si>
  <si>
    <t>SFG1 Material Code</t>
  </si>
  <si>
    <t>SFG Item Description</t>
  </si>
  <si>
    <t>Diamater</t>
  </si>
  <si>
    <t>Form</t>
  </si>
  <si>
    <t>Batch Size FM1</t>
  </si>
  <si>
    <t>Batch Size FM2</t>
  </si>
  <si>
    <t>Batch Size FM3</t>
  </si>
  <si>
    <t>Batch Size PMX</t>
  </si>
  <si>
    <t>Finished Goods Weight</t>
  </si>
  <si>
    <t>Thread</t>
  </si>
  <si>
    <t>Sacks Material Code</t>
  </si>
  <si>
    <t>Sacks Item Description</t>
  </si>
  <si>
    <t>Tags Material Code</t>
  </si>
  <si>
    <t>Tags Item Description</t>
  </si>
  <si>
    <t>Label 1</t>
  </si>
  <si>
    <t>Label 2</t>
  </si>
  <si>
    <t>Undetermined Value</t>
  </si>
  <si>
    <t>Line 1 Run Rate</t>
  </si>
  <si>
    <t>Line 2 Run Rate</t>
  </si>
  <si>
    <t>Line 3 Run Rate</t>
  </si>
  <si>
    <t>Line 4 Run Rate</t>
  </si>
  <si>
    <t>Line 5 Run Rate</t>
  </si>
  <si>
    <t>Line 6 Run Rate</t>
  </si>
  <si>
    <t>Line 7 Run Rate</t>
  </si>
  <si>
    <t>Civic Hog Growex, Pellet 50kg</t>
  </si>
  <si>
    <t>SFG Civic Hog Growex</t>
  </si>
  <si>
    <t>P</t>
  </si>
  <si>
    <t>Civic Hog Finex, Pellet 50kg</t>
  </si>
  <si>
    <t>SFG Civic Hog Finex</t>
  </si>
  <si>
    <t>Lakas Gatas Pellet 50kg</t>
  </si>
  <si>
    <t>SFG Lakas Gatas (P)</t>
  </si>
  <si>
    <t>Classic Hog Growex, Pellet 50kg</t>
  </si>
  <si>
    <t>SFG for Classic Hog Growex</t>
  </si>
  <si>
    <t>Classic Hog Startex, Mini Pellet 50kg</t>
  </si>
  <si>
    <t>SFG Classic Hog Startex, MP 50kg</t>
  </si>
  <si>
    <t>MP</t>
  </si>
  <si>
    <t>Elite Hog Pre Startex 1 M-Pellet 25kg</t>
  </si>
  <si>
    <t>SFG Elite Hog Pre Startex 1 MP 25kg</t>
  </si>
  <si>
    <t>Elite Hog Pre Startex 2 M-Pellet 25kg</t>
  </si>
  <si>
    <t>SFG Elite Hog Pre Startex 2 MP 25kg</t>
  </si>
  <si>
    <t>Supremecon Hog Growmix Concentrate 50kg</t>
  </si>
  <si>
    <t>SFG Supremecon Mash</t>
  </si>
  <si>
    <t>M</t>
  </si>
  <si>
    <t>Poultry Express Chick Boostex Cr 50kg</t>
  </si>
  <si>
    <t>SFG PE CHICK BOOSTEX 50kG</t>
  </si>
  <si>
    <t>C-S</t>
  </si>
  <si>
    <t>Poultry Express Broiler Startex Cr 50kg</t>
  </si>
  <si>
    <t>SFG PS Broiler Startex Crumble 50kg</t>
  </si>
  <si>
    <t>Ave Max Duck Layex 50 kg</t>
  </si>
  <si>
    <t>SFG Duck Layex</t>
  </si>
  <si>
    <t>Poultry Express Broiler Finex Cr 50kg</t>
  </si>
  <si>
    <t>SFG Broiler Finex Crumble 50KG - W</t>
  </si>
  <si>
    <t>C-L</t>
  </si>
  <si>
    <t>Basic Broiler Finex Crumble, 50Kg</t>
  </si>
  <si>
    <t>SFG Basic Broiler Finex Crumble 50kg.</t>
  </si>
  <si>
    <t>Salto - Chick Booster Crumble 50 kg</t>
  </si>
  <si>
    <t>SFG Salto Chick Booster, 50 kg</t>
  </si>
  <si>
    <t>Poultry Solutions Chick Booster 50kg.</t>
  </si>
  <si>
    <t>SFG Poultry Solutions Chick Booster</t>
  </si>
  <si>
    <t>Poultry Sol Chick Starter 50kg_BFC</t>
  </si>
  <si>
    <t>SFG Poultry Solutions Chick Starter</t>
  </si>
  <si>
    <t>Poultry Solutions Layer 1 50kg.</t>
  </si>
  <si>
    <t>SFG Poultry Solutions Layer 1</t>
  </si>
  <si>
    <t>Chick Growex 1- Poultry Solution, 50kg</t>
  </si>
  <si>
    <t>SFG Chick Growex 1- Poultry Solution</t>
  </si>
  <si>
    <t>C-M</t>
  </si>
  <si>
    <t>Chick Growex 2 - Poultry Solution, 50kg</t>
  </si>
  <si>
    <t>SFG Chick Growex 2 - Poultry Solution</t>
  </si>
  <si>
    <t>Salto - Chick Booster crumble 25kg</t>
  </si>
  <si>
    <t>SFG Salto - Chick Booster crumble 25kg</t>
  </si>
  <si>
    <t>Salto Chick Booster Cr 1kg (Bundle)</t>
  </si>
  <si>
    <t>Salto Stag Developer P 1kg (Bundle)</t>
  </si>
  <si>
    <t>SFG Salto Stag Developer, Ready Mix 50kg</t>
  </si>
  <si>
    <t>MX</t>
  </si>
  <si>
    <t>Salto Baby Stag Dev Cr 1kg (Bundle)</t>
  </si>
  <si>
    <t>SFG Salto Baby Stag with Grits 50kg( SFGPMX -non-com)</t>
  </si>
  <si>
    <t>Lakas Mama Breeder,  Pellet 50kg</t>
  </si>
  <si>
    <t>SFG Lakas Mama Breeder</t>
  </si>
  <si>
    <t>Salto Baby Stag Developer crumble 25kg</t>
  </si>
  <si>
    <t>SFG Salto Baby Stag Dev Cr 25kg</t>
  </si>
  <si>
    <t>Gallimax 2 Developer Crumble, 50kg</t>
  </si>
  <si>
    <t>SFG Gallimax 2 Developer Crumble</t>
  </si>
  <si>
    <t>Gallimax 3 Maintenance Red Pellet, 50kg</t>
  </si>
  <si>
    <t>SFG Gallimax 3 Maintenance Pellet</t>
  </si>
  <si>
    <t>MP-CS</t>
  </si>
  <si>
    <t>Gallimax 1 Booster Crumble, 50kg</t>
  </si>
  <si>
    <t>SFG Gallimax 1 Booster Crumble, 50kg</t>
  </si>
  <si>
    <t>Pork Solutions Grower I - 50kg</t>
  </si>
  <si>
    <t>SFG Pork Sol Grower I 50kg  (Old Elite)</t>
  </si>
  <si>
    <t>Gall 21 Chicken Layer P (Breeder) 50Kg</t>
  </si>
  <si>
    <t>SFG Gallimax 21</t>
  </si>
  <si>
    <t>Pork Solutions Finisher 50kg</t>
  </si>
  <si>
    <t>SFG Pork Sol Finisher 50kg (Old Elite)</t>
  </si>
  <si>
    <t>Pork Solution Hog Gestation 50kg.</t>
  </si>
  <si>
    <t>SFG Pork Solution Hog Gestation</t>
  </si>
  <si>
    <t>Pork Solutions Grower II - 50kg</t>
  </si>
  <si>
    <t>SFG Pork Sol Grower II 50kg  (Old Elite)</t>
  </si>
  <si>
    <t>Ave Max Quail Layex Crumble, 50kg</t>
  </si>
  <si>
    <t>SFG Quail layex</t>
  </si>
  <si>
    <t>Ave Max Duck Layex 2 Pellet, 50kg</t>
  </si>
  <si>
    <t>SFG Ave Max Duck Layex 2</t>
  </si>
  <si>
    <t>Ave Max Duck Startex Crumble, 50 kg</t>
  </si>
  <si>
    <t>SFG Duck Startex</t>
  </si>
  <si>
    <t>Ave Max Duck Growex M-Pellet, 50 kg</t>
  </si>
  <si>
    <t>SFG Ave Max Duck Growex M-Pellet, 50 kg</t>
  </si>
  <si>
    <t>Salto - Stag Developer Pellet 25kg</t>
  </si>
  <si>
    <t>SFG Salto - Stag Developer Pellet 25kg</t>
  </si>
  <si>
    <t>Avemax Duck Pre-Lay Pellet, 50 Kg</t>
  </si>
  <si>
    <t>SFG Ave Max Duck Pre-Lay Pellet, 50kg</t>
  </si>
  <si>
    <t>Pork Solutions Pre-Starter  50kg</t>
  </si>
  <si>
    <t>SFG Pork Sol Pre Starter 50kg</t>
  </si>
  <si>
    <t>Poultry Solutions Broiler Booster Crumbl</t>
  </si>
  <si>
    <t>SFG Poultry Sol Broiler BoosterSB Cr50kg</t>
  </si>
  <si>
    <t>Pork Solutions Lactation H, Pellet 50kg</t>
  </si>
  <si>
    <t>Pork Solution Hog LactationRFSFG1</t>
  </si>
  <si>
    <t>Basic Chick Boostex Crumble, 50 Kg</t>
  </si>
  <si>
    <t>SFG Basic Chick Boostex</t>
  </si>
  <si>
    <t>Basic Broiler Startex Crumble, 50Kg</t>
  </si>
  <si>
    <t>SFG Basic Broiler Startex</t>
  </si>
  <si>
    <t>Poultry Solutions Pre-Layer 50kg.</t>
  </si>
  <si>
    <t>SFG PS PreLayer 50kg.</t>
  </si>
  <si>
    <t>Poultry Express Pre-Lay Crumble, 50 Kg</t>
  </si>
  <si>
    <t>SFG PE Chicken Pre-Lay</t>
  </si>
  <si>
    <t>PS Chicken Layer 1 MF, Crumble 50kg</t>
  </si>
  <si>
    <t>SFG Poultry Sol Chicken Layer 1 MF</t>
  </si>
  <si>
    <t>Poultry Solution Layer 2 Mash, 50kg</t>
  </si>
  <si>
    <t>SFG Poultry Sol Layer 2 Mash, 50kg</t>
  </si>
  <si>
    <t>Poultry Sol Broiler Starter Cr MD 50kg</t>
  </si>
  <si>
    <t>SFG Poultry Sol Broiler Starter MD, 50kg</t>
  </si>
  <si>
    <t>Elite Hog Breeder Conditioner P 50kg</t>
  </si>
  <si>
    <t>SFG Elite Hog BreederCon P 50Kg 2.0</t>
  </si>
  <si>
    <t>Poultry Sol Chick Starter M 50kg</t>
  </si>
  <si>
    <t>SFG PS Chick Startex Mash</t>
  </si>
  <si>
    <t>Poultry Sol Chick Grower 2 M 50kg</t>
  </si>
  <si>
    <t>SFG Poultry Sol Chick Grower 2 M</t>
  </si>
  <si>
    <t>Poultry Solutions Layer 2 50kg.</t>
  </si>
  <si>
    <t>SFG Poultry Solutions Layer 2 50kg</t>
  </si>
  <si>
    <t>Poultry Sol Chick Grower 1 M 50kg</t>
  </si>
  <si>
    <t>SFG PS Chick Grower 1 Mash</t>
  </si>
  <si>
    <t>Elite XP Finex, Pellet 50kg</t>
  </si>
  <si>
    <t>SFG Elite Finex XP 50kg</t>
  </si>
  <si>
    <t>Poultry Solution Layer 1 Mash, 50kg</t>
  </si>
  <si>
    <t>SFG Poultry Solution Layer 1, Mash</t>
  </si>
  <si>
    <t>Poultry Solutions Pre-Lay Mash, 50kg</t>
  </si>
  <si>
    <t>SFG Poultry Sol Chicken Pre-Lay M</t>
  </si>
  <si>
    <t>Poultry Sol Chick Booster M 50kg</t>
  </si>
  <si>
    <t>SFG Poultry Sol Chick Booster Mash, 50kg</t>
  </si>
  <si>
    <t>Poultry Sol Broiler Finisher MP MD 50kg</t>
  </si>
  <si>
    <t>SFG Poultry Sol Broiler Finisher MD 50Kg</t>
  </si>
  <si>
    <t>Gall 21 Chicken Layer P (Breeder) 10Kg</t>
  </si>
  <si>
    <t>SFG Gallimax 21 Chicken Layer P, 10kg</t>
  </si>
  <si>
    <t>Gall 21 Chicken Pre-Lay MP 50kg</t>
  </si>
  <si>
    <t>SFG Gallimax 21 Chicken Pre-Lay MP 50kg</t>
  </si>
  <si>
    <t>Salto Stag Conditioner (Bundle of 25pcs)</t>
  </si>
  <si>
    <t>SFG Salto Stag Conditioner 50kg</t>
  </si>
  <si>
    <t>Salto Stag Conditioner 50kg</t>
  </si>
  <si>
    <t>Salto Power Pellet 50kg</t>
  </si>
  <si>
    <t>SFG Salto Power Pellet 50kg - SFG</t>
  </si>
  <si>
    <t>Poultry Express Chicken Layer Cr 50kg</t>
  </si>
  <si>
    <t>SFG Poultry Exp Chicken Layer Cr 50kg</t>
  </si>
  <si>
    <t>Poultry Sol Broiler Booster Cr MD 50kg</t>
  </si>
  <si>
    <t>SFG Poultry Solution Broiler Booster MD</t>
  </si>
  <si>
    <t>Gallimax Pigeon Pellet, 50kg</t>
  </si>
  <si>
    <t>SFG Gallimax Pigeon Pellet,50kg</t>
  </si>
  <si>
    <t>Poultry Express Broiler Finex CS 50kg</t>
  </si>
  <si>
    <t>SFG Poultry Exp Broiler Finex CS P, 50kg</t>
  </si>
  <si>
    <t>Poultry Express Chick Growex Cr 50kg</t>
  </si>
  <si>
    <t>SFG Poultry Exp Chick Growex  Cr 50kg</t>
  </si>
  <si>
    <t>PS BOOSTER MASH 50KG</t>
  </si>
  <si>
    <t>SFG Pork Sol Hog Booster M, 25Kg</t>
  </si>
  <si>
    <t>Pork Sol Hog Breeder Conditioner P 50Kg</t>
  </si>
  <si>
    <t>SFG Pork Sol Hog BreederCon P, 50Kg</t>
  </si>
  <si>
    <t>Classic Save Growex P 50kg</t>
  </si>
  <si>
    <t>SFG Classic Growex SD</t>
  </si>
  <si>
    <t>Poultry Sol Chicken Layer 1 CSL M 500kg</t>
  </si>
  <si>
    <t>SFG Poultry Sol Chiken Layer1 CSL M500kg</t>
  </si>
  <si>
    <t>Poultry Sol Chick Booster Breeder Cr50kg</t>
  </si>
  <si>
    <t>SFG PS Chick Booster Breeder Cr 50kg</t>
  </si>
  <si>
    <t>Poultry Sol Chick Starter Breeder Cr50kg</t>
  </si>
  <si>
    <t>SFG PS Chick Starter Breeder Cr 50kg</t>
  </si>
  <si>
    <t>Poultry Sol Chicken Layer 1 Mash,500kg</t>
  </si>
  <si>
    <t>SFG Poultry Sol  Chicken Layer 1  Mash</t>
  </si>
  <si>
    <t>Poultry Sol Chick Booster Breeder M 50kg</t>
  </si>
  <si>
    <t>SFG Poultry Sol Chick Booster Breeder</t>
  </si>
  <si>
    <t>Poultry Sol Chick Starter Breeder M 50kg</t>
  </si>
  <si>
    <t>SFG Poultry Sol Chick Starter Breeder</t>
  </si>
  <si>
    <t>Poultry Sol Pre-Lay Breeder Cr 50kg</t>
  </si>
  <si>
    <t>SFG Poultry Sol Pre-Lay Breeder Cr</t>
  </si>
  <si>
    <t>Poultry Sol Chick Grower Breeder M 50kg</t>
  </si>
  <si>
    <t>SFG Poultry Sol Chick Grower Breeder</t>
  </si>
  <si>
    <t>Poultry Sol Chicken Layer 3 Mash,500kg</t>
  </si>
  <si>
    <t>SFG Poultry Sol Chicken Layer 3 M 500kg</t>
  </si>
  <si>
    <t>Poultry Sol Chick Grower Breeder Cr 50kg</t>
  </si>
  <si>
    <t>Pork Sol Hog Pre Starter M 50kg</t>
  </si>
  <si>
    <t>SFG Pork Sol Hog Pre-Starter M, 50kg</t>
  </si>
  <si>
    <t>Classic Save Startex MP 50kgs</t>
  </si>
  <si>
    <t>SFG Classic Startex SD</t>
  </si>
  <si>
    <t>Pilmico Classic Save Finex, 50kg Pellet</t>
  </si>
  <si>
    <t>SFG Classic Finex  SD</t>
  </si>
  <si>
    <t>Lakas Mama Breeder, Mash</t>
  </si>
  <si>
    <t>SFG Lakas Mama Breeder, Mash</t>
  </si>
  <si>
    <t>Lakas Gatas Mash 50kg</t>
  </si>
  <si>
    <t>SFG Lakas Gatas Mash 50kg</t>
  </si>
  <si>
    <t>Pork Solutions Grower 1, 50kg PH</t>
  </si>
  <si>
    <t>SFG Elite Growex 1 XP 50KG</t>
  </si>
  <si>
    <t>Pork Solutions Starter, 50kg PH</t>
  </si>
  <si>
    <t>SFG Elite Startex XP 50KG - 3</t>
  </si>
  <si>
    <t>Pork Solutions Gestation 2, 50kg PH</t>
  </si>
  <si>
    <t>SFG Elite XP Litter Developer/Gesta 2</t>
  </si>
  <si>
    <t>Arya Growex Sinking Pellet, 25Kg</t>
  </si>
  <si>
    <t>SFG Arya Grower Sinking Pellet</t>
  </si>
  <si>
    <t>Supremecon Hog Gestamix Concentrate 50kg</t>
  </si>
  <si>
    <t>SFG Supremecon Hog Gesta Concentrate</t>
  </si>
  <si>
    <t>Pork Solutions Lactation, 50kg PH</t>
  </si>
  <si>
    <t>SFG Pork Solution Lactatex XP</t>
  </si>
  <si>
    <t>Pork Solutions Grower 2, 50kg PH</t>
  </si>
  <si>
    <t>SFG Pork Solution Hog Grower 2XP 50 kg</t>
  </si>
  <si>
    <t>Elite Startex, 50kg PH</t>
  </si>
  <si>
    <t>SFG Elite Startex, 50kg PH</t>
  </si>
  <si>
    <t>Elite XP Growex 2, P 50kg T3</t>
  </si>
  <si>
    <t>SFG Elite Growex 2, 50kg PH</t>
  </si>
  <si>
    <t>Elite XP Finex, P 50kg T3</t>
  </si>
  <si>
    <t>SFG Elite Finex, 50kg PH</t>
  </si>
  <si>
    <t>Elite Growex 1, 50kg PH</t>
  </si>
  <si>
    <t>SFG Elite Growex 1, 50kg PH</t>
  </si>
  <si>
    <t>Pork Solutions Gestation 1, 50kg PH</t>
  </si>
  <si>
    <t>SFG Elite Gestapro XP 50KG</t>
  </si>
  <si>
    <t>Pork Solutions Finisher, 50kg PH</t>
  </si>
  <si>
    <t>SFG Pork Solutions Finisher, 50kg PH</t>
  </si>
  <si>
    <t>Kunemax Sprinter Pellet, 25Kg</t>
  </si>
  <si>
    <t>SFG Kunemax Sprinter</t>
  </si>
  <si>
    <t>Gallimax 2 Plus Ready Mix (Natural) 50kg</t>
  </si>
  <si>
    <t>SFG Gallimax 2 Plus, Powermix</t>
  </si>
  <si>
    <t>Pork Sol Hog Finisher Mash, 50 kg</t>
  </si>
  <si>
    <t>SFG Pork Sol Hog  Finisher M, 50 kg</t>
  </si>
  <si>
    <t>Pork Solution Hog Grower Mash , 50kg</t>
  </si>
  <si>
    <t>SFG Pork Sol Hog Grower M, 50kg</t>
  </si>
  <si>
    <t>Supremecon Hog Lactamix Concentrate 50kg</t>
  </si>
  <si>
    <t>SFG Supremecon Hog Lacta Concentrates</t>
  </si>
  <si>
    <t>Elite XP Startex, Mini-pellet 50kg</t>
  </si>
  <si>
    <t>Elite XP Growex 2, Pellet 50kg</t>
  </si>
  <si>
    <t>SFG Elite Growex 2 XP 50KG</t>
  </si>
  <si>
    <t>Elite XP Growex 1, Pellet 50kg</t>
  </si>
  <si>
    <t>Elite XP Lactatex, Pellet 50kg</t>
  </si>
  <si>
    <t>SFG Elite XP Lactatex  50KG</t>
  </si>
  <si>
    <t>Elite XP GestaPro, Pellet 50kg</t>
  </si>
  <si>
    <t>Elite XP GestaPrime, Pellet 50kg</t>
  </si>
  <si>
    <t>SFG Elite XP GestaPrime - 50Kg</t>
  </si>
  <si>
    <t>Pork Solutions Gestation H, Pellet 50kg</t>
  </si>
  <si>
    <t>Pork Solution Hog Gestation RGPelletSFG1</t>
  </si>
  <si>
    <t>Elite XP Litter Developer, Pellet 50kg</t>
  </si>
  <si>
    <t>Classic Hog Finex, Pellet 50kg</t>
  </si>
  <si>
    <t>SFG Classic Hog Finex, Pellet 50kg</t>
  </si>
  <si>
    <t>SFG Salto Baby Stag Dev 50kg</t>
  </si>
  <si>
    <t>Salto Baby Stag DeveloperSFG1</t>
  </si>
  <si>
    <t>SFG Gallimax 2 plus RED PELLET-SFGPELL</t>
  </si>
  <si>
    <t>SFG Stag Developer SFG</t>
  </si>
  <si>
    <t>Salto - Stag Developer PelletSFG1</t>
  </si>
  <si>
    <t>Gallimax 3 Maintenance (Natural) Pellet,</t>
  </si>
  <si>
    <t>Gallimax 3 Maintenance (Natural) PSFG1</t>
  </si>
  <si>
    <t>SFG Gallimax 2 plus PELLET -SFGPELL</t>
  </si>
  <si>
    <t>Poultry Solutions Broiler Starter Crumbl</t>
  </si>
  <si>
    <t>Poultry Solutions Broiler StarterSFG1</t>
  </si>
  <si>
    <t>Poultry Solutions  Chicken Layer 2  Mash</t>
  </si>
  <si>
    <t>SFG Poultry Sol Chicken Layer 2  Mash</t>
  </si>
  <si>
    <t>Poultry Solutions Breeder Layer Male Cru</t>
  </si>
  <si>
    <t>Poultry Solutions Breeder Layer MaleSFG1</t>
  </si>
  <si>
    <t>Poultry Solutions Breeder Layer 1 Crumbl</t>
  </si>
  <si>
    <t>Poultry Solutions Breeder Layer 1SFG1</t>
  </si>
  <si>
    <t>Poultry Solutions Broiler BoosterSFG1</t>
  </si>
  <si>
    <t>SFGH Salto Wheat Germ Plus Pellet</t>
  </si>
  <si>
    <t>Salto Wheat Germ PlusSFG1</t>
  </si>
  <si>
    <t>PS Broiler Finisher NM-ANAS,Mini Pellets</t>
  </si>
  <si>
    <t>SFG Finisher MD NM, 50kg</t>
  </si>
  <si>
    <t>Elite XP Sprinter, Mini-pellet 50kg</t>
  </si>
  <si>
    <t>SFG Elite XP Sprinter, MP 50kg (NON)</t>
  </si>
  <si>
    <t>Elite XP Pre-starter</t>
  </si>
  <si>
    <t>Elite XP Pre-starterSFG1</t>
  </si>
  <si>
    <t>Kunemax Breeder Pellet, 25Kg</t>
  </si>
  <si>
    <t>Kunemax Breeder PelletSFG1</t>
  </si>
  <si>
    <t>Kunemax Grower Pellet, 25Kg</t>
  </si>
  <si>
    <t>Kunemax Grower PelletSFG1</t>
  </si>
  <si>
    <t>Salto  Conditioner Pellet 1kg (Bundle of 25 pcs)</t>
  </si>
  <si>
    <t>Salto - Conditioner PelletSFG1</t>
  </si>
  <si>
    <t>PS BOOSTER MASH PLUS  first pass</t>
  </si>
  <si>
    <t>PS BOOSTER MASH PLUS</t>
  </si>
  <si>
    <t>PS BOOSTER MASH PLUSSFG1- second pass</t>
  </si>
  <si>
    <t>Salto Stag Developer, Ready Mix 50kg</t>
  </si>
  <si>
    <t>Salto Stag Developer, Ready MixSFG1</t>
  </si>
  <si>
    <t>Gallimax 2 Plus (Red) Ready Mix, 50kg</t>
  </si>
  <si>
    <t>Gallimax 2 Plus (Red) Ready MixSFG1</t>
  </si>
  <si>
    <t>Salto Powermix 1, 25 Kg</t>
  </si>
  <si>
    <t>Salto Powermix 1SFG1</t>
  </si>
  <si>
    <t>Salto Powermix 2, 25kg</t>
  </si>
  <si>
    <t>Salto Powermix 2SFG1</t>
  </si>
  <si>
    <t>Salto Powermix 3, 25kg</t>
  </si>
  <si>
    <t>Salto Powermix 3SFG1</t>
  </si>
  <si>
    <t>Salto Powermix 4, 25 Kg</t>
  </si>
  <si>
    <t>Salto Powermix 4SFG1</t>
  </si>
  <si>
    <t>Pork Solution Booster Mash PH, 25kg</t>
  </si>
  <si>
    <t>SFG Pork Sol Booster Mash PH, 25kg</t>
  </si>
  <si>
    <t>Poultry Sol Breeder Developer Cr 50kg</t>
  </si>
  <si>
    <t>Poultry Sol Breeder Developer Cr 50kgSFG</t>
  </si>
  <si>
    <t>Poultry Solutions Chick Starter Breeder</t>
  </si>
  <si>
    <t>Poultry Sol Breeder Starter 2 Cr 50kgSFG1</t>
  </si>
  <si>
    <t>Pork Solutions Grower 1, 50kg PH Mash</t>
  </si>
  <si>
    <t>Pork Solutions Grower 1, 50kg PH MashSFG1</t>
  </si>
  <si>
    <t>Pork Solutions Starter, 50kg PH Mash</t>
  </si>
  <si>
    <t>Pork Solutions Starter, 50kg PH MashSFG1</t>
  </si>
  <si>
    <t>Poultry Solutions Breeder Layer 1 Mash,</t>
  </si>
  <si>
    <t>Poultry Solutions Broiler Finisher Mini</t>
  </si>
  <si>
    <t>Poultry Solutions Broiler FinisherSFG1</t>
  </si>
  <si>
    <t>Elite XP Sprinter</t>
  </si>
  <si>
    <t>Elite XP SprinterSFG1</t>
  </si>
  <si>
    <t>Salto Baby Stag w/Grits 1kg(Bndlof25pcs)</t>
  </si>
  <si>
    <t>Elite XP Sprinter, Mini-pellet 1kg x25</t>
  </si>
  <si>
    <t>SFG Elite XP Sprinter, Mini-pellet 10kg</t>
  </si>
  <si>
    <t>Salto Baby Stag Dev w/ Grits 50Kg</t>
  </si>
  <si>
    <t>Pork Solutions Pre-starter, 50kg PH</t>
  </si>
  <si>
    <t>SFG Pork Solutions Pre-starter, PH</t>
  </si>
  <si>
    <t>Pork Solutions Booster, 25kg PH</t>
  </si>
  <si>
    <t>SFG Pork Solutions Booster PH</t>
  </si>
  <si>
    <t>Poultry Sol Breeder Grower Cr 50kg</t>
  </si>
  <si>
    <t>Poultry Sol Chick Grower BreederSFG1</t>
  </si>
  <si>
    <t>Pork Sol Lactation Mash PH, 50kg</t>
  </si>
  <si>
    <t>SFG Pork Sol Lactation Mash PH, 50kg</t>
  </si>
  <si>
    <t>Pork Solutions Pre-starter, 50kg Mash PH</t>
  </si>
  <si>
    <t>SFG Pork Sol Pre-starter Mash PH, 50kg</t>
  </si>
  <si>
    <t>POWERHEAL Crumble, 1x25kg</t>
  </si>
  <si>
    <t>SFG POWERHEAL Crumble, 1x25kg</t>
  </si>
  <si>
    <t>POWERHEAL CS Pellet,1x25kg</t>
  </si>
  <si>
    <t>SFG  POWERHEAL CS Pellet, 1x25kg</t>
  </si>
  <si>
    <t>Elite Hog Sprinter, M-Pellet 1kg</t>
  </si>
  <si>
    <t>Salto Power Pellet 1kg</t>
  </si>
  <si>
    <t>Salto Wheat Germ Plus, 700g</t>
  </si>
  <si>
    <t>SFG Salto Wheat Germ Plus,</t>
  </si>
  <si>
    <t>SFG Powermix Pellet -SFG</t>
  </si>
  <si>
    <t>Poultry Sol Broiler Booster Cr MDCE 50kg</t>
  </si>
  <si>
    <t>Poultry Sol Breeder Starter sml Cr 50kg</t>
  </si>
  <si>
    <t>Poultry Sol Chick Starter BreederSFG1</t>
  </si>
  <si>
    <t>Elite XP Pre-startex MP 25kg T3</t>
  </si>
  <si>
    <t>SFG Elite Pre-startex 2, 25kg T3</t>
  </si>
  <si>
    <t>Elite XP Pre-startex MP 25kg T2</t>
  </si>
  <si>
    <t>SFG Elite Pre-startex 2, 25kg T2</t>
  </si>
  <si>
    <t>PS Chick Grower Breeder 2 Cr</t>
  </si>
  <si>
    <t>Poultry Solutions Chick Grower BreederSF</t>
  </si>
  <si>
    <t>Poultry Sol Breeder Starter Cr 50kg</t>
  </si>
  <si>
    <t>Poultry Solutions Pre Lay Mash, 500kg.</t>
  </si>
  <si>
    <t>SFG Poultry Sol Chicken Pre-Lay M, 500kg</t>
  </si>
  <si>
    <t>Poultry Sol Breeder Layer 2 Cr 50kg</t>
  </si>
  <si>
    <t>SFG PS Breeder Layer 2 Cr 50kg  G</t>
  </si>
  <si>
    <t>Elite XP Startex, Mini-pellet 50kg T2</t>
  </si>
  <si>
    <t>Elite XP Startex, Mini-pellet 50kg T2SFG</t>
  </si>
  <si>
    <t>Elite XP Startex, Mini-pellet 50kg T3</t>
  </si>
  <si>
    <t>Elite XP Startex, Mini-pellet 50kg T3SFG</t>
  </si>
  <si>
    <t>Pork Solutions Lactation H, Mash 50kg</t>
  </si>
  <si>
    <t>Pork Solution Hog LactationRFMashSFG1</t>
  </si>
  <si>
    <t>Elite XP Growex, Pellet 50kg T2</t>
  </si>
  <si>
    <t>Elite XP Growex, Pellet 50kg T2SFG1</t>
  </si>
  <si>
    <t>Elite XP Growex 2, Pellet 50kg T2</t>
  </si>
  <si>
    <t>Elite XP Growex 2, Pellet 50kg T2SFG1</t>
  </si>
  <si>
    <t>Elite XP Finex, Pellet 50kg T2</t>
  </si>
  <si>
    <t>Elite XP Finex, Pellet 50kg T2SFG1</t>
  </si>
  <si>
    <t>Poultry Solutions CL1 M 50KG- RCF</t>
  </si>
  <si>
    <t>Poultry Solutions CL1 M 50KG- RCF SFG</t>
  </si>
  <si>
    <t>Poultry Solutions CL2 M 50KG- RCF</t>
  </si>
  <si>
    <t>Poultry Solutions CL2 M 50KG- RCF SFG</t>
  </si>
  <si>
    <t>Poultry Solutions CL3 M 50KG- RCF</t>
  </si>
  <si>
    <t>Poultry Solutions CL3 M 50KG- RCF SFG</t>
  </si>
  <si>
    <t>Poultry Solution Broiler  Booster , Crumble 50Kg- ABFI</t>
  </si>
  <si>
    <t>Poultry Solution Broiler  Booster , Crumble 50Kg- ABFI- SFG</t>
  </si>
  <si>
    <t>Poultry Solution Broiler  Starter , Crumble 50Kg- ABFI</t>
  </si>
  <si>
    <t>Poultry Solution Broiler  Starter , Crumble 50Kg- ABFI- SFG</t>
  </si>
  <si>
    <t>Poultry Solution Broiler  Finisher , Mini Pellet 50Kg- ABFI</t>
  </si>
  <si>
    <t>Poultry Solution Broiler  Finisher , Mini Pellet 50Kg- ABFI- SFG</t>
  </si>
  <si>
    <t>Pork Solution Booster MD,25Kgs Mini Pellet</t>
  </si>
  <si>
    <t>Pork Solution Booster MD,25Kgs Mini Pellet SFG</t>
  </si>
  <si>
    <t>POULTRY SOLUTIONS BDR STR 1A C 50KG-ABFI</t>
  </si>
  <si>
    <t>Pol Sol BDR STR 1A C ABFI SFG</t>
  </si>
  <si>
    <t>POULTRY SOLUTIONS BDR STR 1B C 50KG-ABFI</t>
  </si>
  <si>
    <t>Pol Sol BDR STR 1B C ABFI SFG</t>
  </si>
  <si>
    <t>POULTRY SOLUTIONS BDR STR 2A C 50KG-ABFI</t>
  </si>
  <si>
    <t>Pol Sol BDR STR 2A C ABFI SFG</t>
  </si>
  <si>
    <t>POULTRY SOLUTIONS BDR STR 2B C 50KG-ABFI</t>
  </si>
  <si>
    <t>Pol Sol BDR STR 2B C ABFI SFG</t>
  </si>
  <si>
    <t>POULTRY SOLUTIONS BDR GR1 C 50KG-ABFI</t>
  </si>
  <si>
    <t>Pol Sol BDR GR1 C ABFI SFG</t>
  </si>
  <si>
    <t>POULTRY SOLUTIONS BDR GR2 C 50KG-ABFI</t>
  </si>
  <si>
    <t>Pol Sol BDR GR2 C ABFI SFG</t>
  </si>
  <si>
    <t>POULTRY SOL BROILER FINISHER SB 50 KG</t>
  </si>
  <si>
    <t>POULTRY SOL BROILER FINISHER SB SFG</t>
  </si>
  <si>
    <t>POULTRY SOL BREEDER LAYER 3 CR 50 KG</t>
  </si>
  <si>
    <t>POULTRY SOL BREEDER LAYER 3 CR SFG</t>
  </si>
  <si>
    <t>Pork Sol Pre Starter Davao TFarms</t>
  </si>
  <si>
    <t>Poultry Solutions Broiler Finisher MD-P-CS Mini Pellet, 50kg (ANAS)</t>
  </si>
  <si>
    <t>Poultry Solutions Broiler Finisher MD-P-CS Mini Pellet, SFG</t>
  </si>
  <si>
    <t>Poultry Solutions CL1 P 50KG- EGC</t>
  </si>
  <si>
    <t>Poultry Solutions CL1 P - EGC SFG</t>
  </si>
  <si>
    <t>Poultry Solutions CL2 P 50KG- EGC</t>
  </si>
  <si>
    <t>Poultry Solutions CL2 P - EGC SFG</t>
  </si>
  <si>
    <t>Poultry Solutions CL3 P 50KG- EGC</t>
  </si>
  <si>
    <t>Poultry Solutions CL3 P - EGC SFG</t>
  </si>
  <si>
    <t>Poultry Solutions CL1 M 50KG- EGC</t>
  </si>
  <si>
    <t>Poultry Solutions CL1 M - EGC SFG</t>
  </si>
  <si>
    <t>Poultry Solutions CL2 M 50KG- EGC</t>
  </si>
  <si>
    <t>Poultry Solutions CL2 M - EGC SFG</t>
  </si>
  <si>
    <t>Poultry Solutions CL3 M 50KG- EGC</t>
  </si>
  <si>
    <t>Poultry Solutions CL3 M - EGC SFG</t>
  </si>
  <si>
    <t>Poultry Solutions BR FIN MD 500KG</t>
  </si>
  <si>
    <t>Poultry Solutions BR STR MD 500KG</t>
  </si>
  <si>
    <t>Poultry Solutions BR BTR MD C 500KG</t>
  </si>
  <si>
    <t>Poultry Sol Supremecon LAYMIX CON M 50kg</t>
  </si>
  <si>
    <t>SFG Poultry Sol Supremecon LAYMIX CON M</t>
  </si>
  <si>
    <t>Poultry Sol BDR LM C 50KG-ABFI</t>
  </si>
  <si>
    <t>SFG Poultry Sol BDR LM C ABFI</t>
  </si>
  <si>
    <t>Poultry Sol BDR L1 C 50KG-ABFI</t>
  </si>
  <si>
    <t>SFG Poultry Sol BDR L1 C ABFI</t>
  </si>
  <si>
    <t>Poultry Sol BDR L2 C 50KG-ABFI</t>
  </si>
  <si>
    <t>SFG Poultry Sol BDR L2 C ABFI</t>
  </si>
  <si>
    <t>Poultry Sol BDR L3 C 50KG-ABFI</t>
  </si>
  <si>
    <t>SFG Poultry Sol BDR L3 C ABFI</t>
  </si>
  <si>
    <t>Poultry Sol Supremecon LAYMIX 2 M 50KG</t>
  </si>
  <si>
    <t>Poultry Solutions Supremecon LAYMIX 2 M SFG</t>
  </si>
  <si>
    <t>New-Gallimax 2 Plus Ready Mix (Red), 50KG</t>
  </si>
  <si>
    <t>SFG Gallimax 2 Plus Readymix (Red)</t>
  </si>
  <si>
    <t>SFG Gallimax 2 Plus Pellet (Red)</t>
  </si>
  <si>
    <t>Poultry Sol BDR LM Cr AVG 50KG</t>
  </si>
  <si>
    <t>Poultry Solutions Breeder Male Cr AVG</t>
  </si>
  <si>
    <t>Pork Solutions STR P 50KG</t>
  </si>
  <si>
    <t>Pork Solutions GR P 50KG</t>
  </si>
  <si>
    <t>Pork Solutions FIN P 50KG</t>
  </si>
  <si>
    <t>Poultry Sol PL Cr 500KG-TRL</t>
  </si>
  <si>
    <t>SFG Poultry Sol PL Cr 500KG-TRL</t>
  </si>
  <si>
    <t>Poultry Sol L1 Cr 500KG-TRL</t>
  </si>
  <si>
    <t>SFG Poultry Sol L1 Cr 500KG-TRL</t>
  </si>
  <si>
    <t>Poultry Sol L2 Cr 500KG-TRL</t>
  </si>
  <si>
    <t>SFG Poultry Sol L2 Cr 500KG-TRL</t>
  </si>
  <si>
    <t>Poultry Sol L3 Cr 500KG-TRL</t>
  </si>
  <si>
    <t>SFG Poultry Sol L3 Cr 500KG-TRL</t>
  </si>
  <si>
    <t>Poultry Sol CSL 1 Cr 500KG-TRL</t>
  </si>
  <si>
    <t>SFG Poultry Sol CSL 1 Cr 500KG-TRL</t>
  </si>
  <si>
    <t>Pork Solutions Lactation, Pellet 50kg</t>
  </si>
  <si>
    <t>Supreme Con Mash LM</t>
  </si>
  <si>
    <t>Poultry Sol BDR L2 C 50KG-MNTRX TRL ABFI</t>
  </si>
  <si>
    <t>SFG_POULTRY SOLUTIONS Breeder layer 1 Mntrx</t>
  </si>
  <si>
    <t>SFG_POULTRY SOLUTIONS Breeder layer 2 Mntrx</t>
  </si>
  <si>
    <t>PS Pre-lay coarse mash 750kg totebag</t>
  </si>
  <si>
    <t>PS Layer 1 coarse mash 750kg totebag</t>
  </si>
  <si>
    <t>SFG Poultry Solutions CL1 M - EGC</t>
  </si>
  <si>
    <t>PS Layer 2 coarse mash 750kg totebag</t>
  </si>
  <si>
    <t>SFG Poultry Solutions CL2 M - EGC</t>
  </si>
  <si>
    <t>PS Layer 3 coarse mash 750kg totebag</t>
  </si>
  <si>
    <t>SFG Poultry Solutions CL3 M - EGC</t>
  </si>
  <si>
    <t>PS Start Lay coarse mash 750kg totebag</t>
  </si>
  <si>
    <t>Poultry Sol CStarterB C 50KG-SFPI</t>
  </si>
  <si>
    <t>Poultry Sol CGrowerB C 50KG-SFPI</t>
  </si>
  <si>
    <t>Poultry Sol PreLayB C 50KG-SFPI</t>
  </si>
  <si>
    <t>Poultry Sol BDR L1 C 50KG-SFPI</t>
  </si>
  <si>
    <t>Poultry Sol BDR L2 C 50KG-SFPI</t>
  </si>
  <si>
    <t>Poultry Sol BDR LM C 50KG-SFPI</t>
  </si>
  <si>
    <t>Poultry Sol BR STR MD MP 50KG</t>
  </si>
  <si>
    <t>Poultry Sol BR STR MD MP SFG</t>
  </si>
  <si>
    <t>Poultry Sol CG 2 MP 50KG</t>
  </si>
  <si>
    <t>PS Chick grower 2 SFG</t>
  </si>
  <si>
    <t>Pork Solutions STR C 50KG-IFC</t>
  </si>
  <si>
    <t>SFG Pork Solutions STR C-IFC</t>
  </si>
  <si>
    <t>Pork Solutions Gestation H RF Mash</t>
  </si>
  <si>
    <t>Pork Solutions LACTA P 50KG-IFC</t>
  </si>
  <si>
    <t>SFG Pork Solutions LACTA P-IFC</t>
  </si>
  <si>
    <t>Pork Solutions LACTA MD P 50KG-IFC</t>
  </si>
  <si>
    <t>SFG Pork Solutions LACTA MD P-IFC</t>
  </si>
  <si>
    <t>Poultry Sol P DEV P 50KG</t>
  </si>
  <si>
    <t>SFG Poultry Sol P DEV P 50KG</t>
  </si>
  <si>
    <t>PS Pre-Lay Breeder Mash</t>
  </si>
  <si>
    <t>PS Pre-Lay Breeder Mash_SFG</t>
  </si>
  <si>
    <t>PSMD RM BASEMIX</t>
  </si>
  <si>
    <t>Poultry Sol Broiler Starter MP MD, 50kg</t>
  </si>
  <si>
    <t>Poultry Solutions Broiler Starter MP-MD SFG</t>
  </si>
  <si>
    <t xml:space="preserve">PS Chicken Layer 1 Cr BN, 50 kg	</t>
  </si>
  <si>
    <t xml:space="preserve">SFG PS Chicken Layer 1 Cr BN	</t>
  </si>
  <si>
    <t>Elite XP RFG2 Sprinter 1x25kg</t>
  </si>
  <si>
    <t>SFG ELITE XP RFG2 SPRINTER</t>
  </si>
  <si>
    <t>PS Chicken Pre-Layer 50kg Pellet</t>
  </si>
  <si>
    <t>SFG PS Chicken Pre-Layer P</t>
  </si>
  <si>
    <t>p</t>
  </si>
  <si>
    <t>PS Chicken Layer 1 Cr R12</t>
  </si>
  <si>
    <t xml:space="preserve">SFG PS Chicken Layer 1 Cr R12	</t>
  </si>
  <si>
    <t xml:space="preserve">PS Chicken Layer 2 Cr R12	</t>
  </si>
  <si>
    <t xml:space="preserve">SFG PS Chicken Layer 2 Cr R12	</t>
  </si>
  <si>
    <t>Poultry Sol Breeder Layer Male M 50kg</t>
  </si>
  <si>
    <t>SFG Poultry Sol Breeder LayerMale M 50kg</t>
  </si>
  <si>
    <t>SALTO WHEAT GERM PLUS MP 1 KG X 25</t>
  </si>
  <si>
    <t>SFG Salto Wheat Germ Plus, 700 g</t>
  </si>
  <si>
    <t>Poultry Solutions Breeder Layer 2 Mash</t>
  </si>
  <si>
    <t>SFG Poultry Solutions Breeder Layer 2SFG1</t>
  </si>
  <si>
    <t>Elite XP RFG Sprinter</t>
  </si>
  <si>
    <t>SFG Elite XP RFG Sprinter</t>
  </si>
  <si>
    <t xml:space="preserve">Salto - Chick Booster Crumble 1x25 kg	</t>
  </si>
  <si>
    <t>Salto Baby Stag with Grits, 1x25 kg</t>
  </si>
  <si>
    <t>Salto Stag Developer, Ready Mix 1x25 kg</t>
  </si>
  <si>
    <t>Salto - Conditioner Pellet 1x25 kg</t>
  </si>
  <si>
    <t>Salto Stag Conditioner 1x25 kg</t>
  </si>
  <si>
    <t>Salto Power Pellet 1x25 kg</t>
  </si>
  <si>
    <t>SFG Salto Powermix 2SFG1</t>
  </si>
  <si>
    <t>SFG Salto Powermix 3SFG1</t>
  </si>
  <si>
    <t>SFG Salto Powermix 4SFG1</t>
  </si>
  <si>
    <t xml:space="preserve">Gallimax 1 Booster Cr 50 LBS	</t>
  </si>
  <si>
    <t>Gallimax 2 Developer Cr 50 LBS</t>
  </si>
  <si>
    <t>Gallimax 2 Plus Ready Mix (Natural) 50 LBS</t>
  </si>
  <si>
    <t>Gallimax 3 Maintenance (Natural) P 50 LBS</t>
  </si>
  <si>
    <t>Gallimax 21 Chicken Layer P (Breeder) 50 LBS</t>
  </si>
  <si>
    <t>Elite XP Growex 1 Pellet 50lbs</t>
  </si>
  <si>
    <t>Classic Hog Growex Pellet 50lbs</t>
  </si>
  <si>
    <t>Kunemax Grower Pellet 50lbs</t>
  </si>
  <si>
    <t>SFG Kunemax Grower PelletSFG1</t>
  </si>
  <si>
    <t>Kunemax Breeder Pellet 50lbs</t>
  </si>
  <si>
    <t>SFG Kunemax Breeder PelletSFG1</t>
  </si>
  <si>
    <t>Poultry Express Chick Boostex Cr 50lbs</t>
  </si>
  <si>
    <t>Poultry Express Broiler Startex Cr 50lbs</t>
  </si>
  <si>
    <t>Poultry Express Broiler Finex Cr 50lbs</t>
  </si>
  <si>
    <t>Poultry Express Chicken Growex Cr 50lbs</t>
  </si>
  <si>
    <t>Poultry Express Pre-Lay Cr 50lbs</t>
  </si>
  <si>
    <t>Poultry Express Chicken Layex Cr 50lbs</t>
  </si>
  <si>
    <t>Poultry Sol Breeder Layer 1 Cr 50lbs</t>
  </si>
  <si>
    <t>SFG Poultry Solutions Breeder Layer 1SFG1</t>
  </si>
  <si>
    <t>Poultry Express CL1 Cr 50kg BAI</t>
  </si>
  <si>
    <t>SFG PE Chicken Layer 1 Cr BAI</t>
  </si>
  <si>
    <t>Rolled Wheat</t>
  </si>
  <si>
    <t>Rolled Corn</t>
  </si>
  <si>
    <t>Poultry Solutions CSB Cr 50 kg-SF</t>
  </si>
  <si>
    <t>SFG Poultry Solutions CSB Cr 50 kg-SF</t>
  </si>
  <si>
    <t>Poultry Solutions CGB Cr 50 kg-SF</t>
  </si>
  <si>
    <t>SFG Poultry Solutions CGB Cr 50 kg-SF</t>
  </si>
  <si>
    <t>Poultry Solutions PLB Cr 50 kg-SF</t>
  </si>
  <si>
    <t>SFG Poultry Solutions PLB Cr 50 kg-SF</t>
  </si>
  <si>
    <t>Poultry Solutions BL1 Cr 50 kg-SF</t>
  </si>
  <si>
    <t>SFG Poultry Solutions BL1 Cr 50 kg-SF</t>
  </si>
  <si>
    <t>Poultry Solutions BL2 Cr 50 kg-SF</t>
  </si>
  <si>
    <t>SFG Poultry Solutions BL2 Cr 50 kg-SF</t>
  </si>
  <si>
    <t>Poultry Solutions BL Male Cr 50 kg-SF</t>
  </si>
  <si>
    <t>SFG Poultry Solutions BL Male Cr 50 kg-SF</t>
  </si>
  <si>
    <t>PS Chick Starter 1 Mash 750 kg</t>
  </si>
  <si>
    <t>SFG PS Chick Starter 1 Mash 750 kg</t>
  </si>
  <si>
    <t>PS Chick Starter 2 Mash 750 kg</t>
  </si>
  <si>
    <t>SFG PS Chick Starter 2 Mash 750 kg</t>
  </si>
  <si>
    <t>PS Chick Grower Mash 750 kg</t>
  </si>
  <si>
    <t>SFG PS Chick Grower Mash 750 kg</t>
  </si>
  <si>
    <t>PS Chick Starter 1 Cr 750 kg</t>
  </si>
  <si>
    <t>SFG PS Chick Starter 1 Cr 750 kg</t>
  </si>
  <si>
    <t>PS Chick Starter 2 Cr 750 kg</t>
  </si>
  <si>
    <t>SFG PS Chick Starter 2 Cr 750 kg</t>
  </si>
  <si>
    <t>PS Chick Grower Cr 750 kg</t>
  </si>
  <si>
    <t>SFG PS Chick Grower Cr 750 kg</t>
  </si>
  <si>
    <t>PS Pre-lay Cr 750 kg</t>
  </si>
  <si>
    <t>SFG PS Pre-lay Cr 750 kg</t>
  </si>
  <si>
    <t>Chicken Start Lay Cr 750 kg</t>
  </si>
  <si>
    <t>SFG Chicken Start Lay Cr 750 kg</t>
  </si>
  <si>
    <t>PS Chicken Layer 1 Cr 750 kg</t>
  </si>
  <si>
    <t>SFG PS Chicken Layer 1 Cr 750 kg</t>
  </si>
  <si>
    <t>PS Chicken Layer 2 Cr 750 kg</t>
  </si>
  <si>
    <t>SFG PS Chicken Layer 2 Cr 750 kg</t>
  </si>
  <si>
    <t>PS Chicken Layer 3 Cr 750 kg</t>
  </si>
  <si>
    <t>SFG PS Chicken Layer 3 Cr 750 kg</t>
  </si>
  <si>
    <t>Avemax Duck Startex, SC 50kg</t>
  </si>
  <si>
    <t>SFG Avemax Duck Startex, SC 50kg</t>
  </si>
  <si>
    <t>Avemax Duck Growex, MP 50kg</t>
  </si>
  <si>
    <t>SFG Avemax Duck Growex, MP 50kg</t>
  </si>
  <si>
    <t>Avemax Duck Layex Prem, P 50kg</t>
  </si>
  <si>
    <t>SFG Avemax Duck Layex Prem, P 50kg</t>
  </si>
  <si>
    <t>Avemax Duck Layex, P 50kg</t>
  </si>
  <si>
    <t>SFG Avemax Duck Layex, P 50kg</t>
  </si>
  <si>
    <t>PS Chick Starter 1 Breeder Cr C</t>
  </si>
  <si>
    <t>SFG PS Chick Starter 1 Breeder Cr C</t>
  </si>
  <si>
    <t>PS Chick Starter 2 Breeder Cr C</t>
  </si>
  <si>
    <t>SFG PS Chick Starter 2 Breeder Cr C</t>
  </si>
  <si>
    <t>PS Chick Grower Breeder Cr C</t>
  </si>
  <si>
    <t>SFG PS Chick Grower Breeder Cr C</t>
  </si>
  <si>
    <t>PS Chick Pre-Lay Breeder Cr C</t>
  </si>
  <si>
    <t>SFG PS Chick Pre-Lay Breeder Cr C</t>
  </si>
  <si>
    <t>PS Breeder Layer 1 Cr C</t>
  </si>
  <si>
    <t>SFG PS Breeder Layer 1 Cr C</t>
  </si>
  <si>
    <t>PS Breeder Layer 2 Cr C</t>
  </si>
  <si>
    <t>SFG PS Breeder Layer 2 Cr C</t>
  </si>
  <si>
    <t>PS Breeder Layer 3 Cr C</t>
  </si>
  <si>
    <t>SFG PS Breeder Layer 3 Cr C</t>
  </si>
  <si>
    <t>PS Breeder Layer Male Cr C</t>
  </si>
  <si>
    <t>SFG PS Breeder Layer Male Cr C</t>
  </si>
  <si>
    <t>PS Broiler Finisher MD CA MP, 50kg</t>
  </si>
  <si>
    <t>SFG PS Broiler Finisher MD CA MP</t>
  </si>
  <si>
    <t>PS Chick Grower 2 Breeder Crumble 50kg</t>
  </si>
  <si>
    <t>SFG PS Chick Grower 2 Breeder Crumble</t>
  </si>
  <si>
    <t>PS Broiler Starter MD CA Crumble, 50kg</t>
  </si>
  <si>
    <t>SFG PS Broiler Starter MD CA Crumble, 50kg</t>
  </si>
  <si>
    <t>PS Broiler Booster MD CA Crumble, 50kg</t>
  </si>
  <si>
    <t>SFG PS Broiler Booster MD CA Crumble, 50kg</t>
  </si>
  <si>
    <t>Kunemax Sprinter MP 25 kg</t>
  </si>
  <si>
    <t>Kunemax Grower MP 25 kg</t>
  </si>
  <si>
    <t>Poultry Sol Broiler Booster MD-PC Cr50kg</t>
  </si>
  <si>
    <t>SFG SFG Poultry Sol BroilerBoosterMDPCCr</t>
  </si>
  <si>
    <t>PS Lactation Pellet 50kg (Lakas Gatas Ba</t>
  </si>
  <si>
    <t>SFG Pork Solutions Lactation Pellet 50Kg (La</t>
  </si>
  <si>
    <t>Pork Solutions Grower 1 ML Pellet 50Kg</t>
  </si>
  <si>
    <t>SFG Pork Solutions Grower 1 ML Pellet 50Kg</t>
  </si>
  <si>
    <t>Pork Solutions Grower 2 ML Pellet 50Kg</t>
  </si>
  <si>
    <t>SFG Pork Solutions Grower 2 ML Pellet 50Kg</t>
  </si>
  <si>
    <t>Pork Solutions Starter ML Pellet 50Kg</t>
  </si>
  <si>
    <t>SFG Pork Solutions Starter ML Pellet 50Kg</t>
  </si>
  <si>
    <t>Pork Solutions Pre Starter ML Pellet 50Kg</t>
  </si>
  <si>
    <t>SFG Pork Solutions Pre Starter ML Pellet 50Kg</t>
  </si>
  <si>
    <t>PS Chick Starter 1 Crumble, 50 kg</t>
  </si>
  <si>
    <t>SFG PS Chick Starter 1 Crumble, 50 kg</t>
  </si>
  <si>
    <t>PS Chick Starter 2 Crumble, 50 kg</t>
  </si>
  <si>
    <t>SFG PS Chick Starter 2 Crumble, 50 kg</t>
  </si>
  <si>
    <t>Poultry Solutions Broiler Booster, Cr 50kg-JW</t>
  </si>
  <si>
    <t>SFG Poultry Solutions Broiler Booster, Cr-JW</t>
  </si>
  <si>
    <t>Poultry Solutions Chick Starter, Cr 50kg-JW</t>
  </si>
  <si>
    <t>SFG Poultry Solutions Chick Starter, Cr-JW</t>
  </si>
  <si>
    <t>Poultry Solutions Chick Grower 1, Cr 50kg-JW</t>
  </si>
  <si>
    <t>SFG Poultry Solutions Chick Grower 1, Cr-JW</t>
  </si>
  <si>
    <t>Poultry Solutions Pre-Layer, Cr 50kg-JW</t>
  </si>
  <si>
    <t>SFG Poultry Solutions Chicken Pre-Layer, Cr-JW</t>
  </si>
  <si>
    <t>Poultry Solutions Chicken Layer 1, P 50kg-JW</t>
  </si>
  <si>
    <t>SFG Poultry Solutions Chicken Layer 1, P-JW</t>
  </si>
  <si>
    <t>Poultry Solutions Chicken Layer 2, P 50kg-JW</t>
  </si>
  <si>
    <t>SFG Poultry Solutions Chicken Layer 2,P-JW</t>
  </si>
  <si>
    <t>Poultry Solutions Broiler Booster, Cr Bulk-JW</t>
  </si>
  <si>
    <t>Poultry Solutions Chick Starter, Cr Bulk-JW</t>
  </si>
  <si>
    <t>Poultry Solutions Chick Grower 1, Cr Bulk-JW</t>
  </si>
  <si>
    <t>Poultry Solutions Pre-Layer, Cr Bulk-W</t>
  </si>
  <si>
    <t>Poultry Solutions Chicken Layer 1, P Bulk-JW</t>
  </si>
  <si>
    <t>Poultry Solutions Chicken Layer 2,P Bulk-JW</t>
  </si>
  <si>
    <t>Bobbit Rabbit - Pellet 1kg x25</t>
  </si>
  <si>
    <t>SFG Kunemax Grower</t>
  </si>
  <si>
    <t>Pol Sol Chk Pre-lay, C BCM 50kg</t>
  </si>
  <si>
    <t>SFG Pol Sol Chk Pre-lay, C BCM 50kg</t>
  </si>
  <si>
    <t>Pol Sol Chk Layer 1, C BCM 50kg</t>
  </si>
  <si>
    <t>SFG Pol Sol Chk Layer 1, C BCM 50kg</t>
  </si>
  <si>
    <t>Pol Sol Chk Layer 1, C BC 50kg</t>
  </si>
  <si>
    <t>SFG Pol Sol Chk Layer 1, C BC 50kg</t>
  </si>
  <si>
    <t>PS Chick Grower 2 Cr 50kg-JEWM</t>
  </si>
  <si>
    <t>Pol Sol Chk Grower 2 C -JW</t>
  </si>
  <si>
    <t>PS Chick Grower 2 Cr Bulk-JEWM</t>
  </si>
  <si>
    <t>Pol Sol Chk Pre-lay, C BCA 50kg</t>
  </si>
  <si>
    <t>Pol Sol Chk Pre-lay, C BCA</t>
  </si>
  <si>
    <t>Pol Sol Chk Layer 1, C BCA 50kg</t>
  </si>
  <si>
    <t>Pol Sol Chk Layer 1, C BCA</t>
  </si>
  <si>
    <t>Pol Sol Chk Layer 2, C BCA 50kg</t>
  </si>
  <si>
    <t>Pol Sol Chk Layer 2, C 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</si>
</sst>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0"/>
      <color theme="1"/>
      <name val="Arial Nova"/>
      <family val="2"/>
    </font>
    <font>
      <sz val="11"/>
      <color theme="1"/>
      <name val="Arial Nova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2" borderId="0" xfId="0" applyFont="1" applyFill="1"/>
    <xf numFmtId="1" fontId="1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/>
    <xf numFmtId="1" fontId="2" fillId="2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4A2B74D0-D743-42A1-BC98-C30F95EE4B8B}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wcapac.sharepoint.com/teams/PH-INT-ADVS-PH-Deals-Data-and-Analytics/Shared%20Documents/03%20Proposals%20and%20Projects/03.2%20Projects/251020%20Project%20Nuevo%20(Previously%20Project%20Aboitiz%20Foods)/4%20Work%20files/Project%20Nuevo%20-%20Data%20Mapping.xlsx" TargetMode="External"/><Relationship Id="rId2" Type="http://schemas.microsoft.com/office/2019/04/relationships/externalLinkLongPath" Target="https://pwcapac.sharepoint.com/teams/PH-INT-ADVS-PH-Deals-Data-and-Analytics/Shared%20Documents/03%20Proposals%20and%20Projects/03.2%20Projects/251020%20Project%20Nuevo%20(Previously%20Project%20Aboitiz%20Foods)/4%20Work%20files/Project%20Nuevo%20-%20Data%20Mapping.xlsx?4C4E39CD" TargetMode="External"/><Relationship Id="rId1" Type="http://schemas.openxmlformats.org/officeDocument/2006/relationships/externalLinkPath" Target="file:///\\4C4E39CD\Project%20Nuevo%20-%20Data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nsolidated"/>
      <sheetName val="Product_Map"/>
      <sheetName val="Markings Threadings"/>
      <sheetName val="Summary"/>
      <sheetName val="L1"/>
      <sheetName val="L2"/>
      <sheetName val="L3"/>
      <sheetName val="L4"/>
      <sheetName val="L5"/>
      <sheetName val="L6"/>
      <sheetName val="L7"/>
    </sheetNames>
    <sheetDataSet>
      <sheetData sheetId="0"/>
      <sheetData sheetId="1"/>
      <sheetData sheetId="2">
        <row r="3">
          <cell r="B3">
            <v>1000000000011</v>
          </cell>
          <cell r="C3" t="str">
            <v>Poultry Solutions Broiler Booster Crumble Md, 50Kg</v>
          </cell>
          <cell r="D3" t="str">
            <v>White Yellow</v>
          </cell>
          <cell r="E3" t="str">
            <v>011 MD</v>
          </cell>
          <cell r="G3">
            <v>6</v>
          </cell>
          <cell r="H3">
            <v>5000000000557</v>
          </cell>
          <cell r="I3" t="str">
            <v>v2 - Poultry Solutions Broiler Booster, 50kg</v>
          </cell>
          <cell r="K3">
            <v>5000000000154</v>
          </cell>
          <cell r="L3" t="str">
            <v>Tag - Poultry Solutions Broiler Booster, 50kg</v>
          </cell>
        </row>
        <row r="4">
          <cell r="B4">
            <v>1000000000012</v>
          </cell>
          <cell r="C4" t="str">
            <v>Poultry Solutions Broiler Starter Crumble Md, 50Kg</v>
          </cell>
          <cell r="D4" t="str">
            <v>White Yellow</v>
          </cell>
          <cell r="E4" t="str">
            <v>012 MD</v>
          </cell>
          <cell r="G4">
            <v>7</v>
          </cell>
          <cell r="H4">
            <v>5000000000558</v>
          </cell>
          <cell r="I4" t="str">
            <v>v2 - Poultry Solutions Broiler Starter, 50kg</v>
          </cell>
          <cell r="K4">
            <v>5000000000113</v>
          </cell>
          <cell r="L4" t="str">
            <v>Tag - Poultry Solutions Broiler Starter Crumble</v>
          </cell>
        </row>
        <row r="5">
          <cell r="B5">
            <v>1000000000013</v>
          </cell>
          <cell r="C5" t="str">
            <v>Poultry Solutions Broiler Finisher Mini Pellet Md, 50Kg</v>
          </cell>
          <cell r="D5" t="str">
            <v>White Yellow</v>
          </cell>
          <cell r="E5" t="str">
            <v>013 MD</v>
          </cell>
          <cell r="G5">
            <v>7</v>
          </cell>
          <cell r="H5">
            <v>5000000000559</v>
          </cell>
          <cell r="I5" t="str">
            <v>v2 - Poultry Solutions Broiler Finisher, 50kg</v>
          </cell>
          <cell r="K5">
            <v>5000000000115</v>
          </cell>
          <cell r="L5" t="str">
            <v>Tag - Poultry Solutions Broiler Finisher Crumble</v>
          </cell>
        </row>
        <row r="6">
          <cell r="B6">
            <v>1000000000019</v>
          </cell>
          <cell r="C6" t="str">
            <v>Poultry Express Pre-Lay Crumble, 50 Kg</v>
          </cell>
          <cell r="D6" t="str">
            <v>White</v>
          </cell>
          <cell r="G6">
            <v>1</v>
          </cell>
          <cell r="H6">
            <v>5000000000547</v>
          </cell>
          <cell r="I6" t="str">
            <v>v2 - Poultry Express Pre-Lay, 50 Kg</v>
          </cell>
          <cell r="K6">
            <v>5000000000140</v>
          </cell>
          <cell r="L6" t="str">
            <v>Tag - P/E Pre-Lay Crumble, 50kg</v>
          </cell>
        </row>
        <row r="7">
          <cell r="B7">
            <v>1000000000038</v>
          </cell>
          <cell r="C7" t="str">
            <v>Avemax Duck Pre-Lay Pellet, 50 Kg</v>
          </cell>
          <cell r="D7" t="str">
            <v>White</v>
          </cell>
          <cell r="G7">
            <v>1</v>
          </cell>
          <cell r="H7">
            <v>5000000000551</v>
          </cell>
          <cell r="I7" t="str">
            <v>Empty Sack - Avemax Duck Pre-Lay, 50 kg</v>
          </cell>
          <cell r="K7">
            <v>5000000000746</v>
          </cell>
          <cell r="L7" t="str">
            <v>Tag - Avemax Duck Pre-Lay, Pellet</v>
          </cell>
        </row>
        <row r="8">
          <cell r="B8">
            <v>1000000000039</v>
          </cell>
          <cell r="C8" t="str">
            <v>Gallimax 2 Plus Ready Mix (Natural), 50Kg</v>
          </cell>
          <cell r="D8" t="str">
            <v>White</v>
          </cell>
          <cell r="G8">
            <v>1</v>
          </cell>
          <cell r="H8">
            <v>5000000000151</v>
          </cell>
          <cell r="I8" t="str">
            <v>Empty Sack - Gallimax 2 Plus Ready Mix, 50kg</v>
          </cell>
          <cell r="K8">
            <v>5000000000152</v>
          </cell>
          <cell r="L8" t="str">
            <v>Tag - Gallimax 2 Plus Ready Mix, 50kg</v>
          </cell>
        </row>
        <row r="9">
          <cell r="B9">
            <v>1000000000041</v>
          </cell>
          <cell r="C9" t="str">
            <v>Salto Stag Developer Ready Mix 50Kg</v>
          </cell>
          <cell r="D9" t="str">
            <v>White</v>
          </cell>
          <cell r="G9">
            <v>2</v>
          </cell>
          <cell r="H9">
            <v>5000000000718</v>
          </cell>
          <cell r="I9" t="str">
            <v>Empty Sack - Salto Stag Developer, 50kg</v>
          </cell>
          <cell r="K9">
            <v>5000000000721</v>
          </cell>
          <cell r="L9" t="str">
            <v>Tag - Salto Stag Developer, 50kg</v>
          </cell>
        </row>
        <row r="10">
          <cell r="B10">
            <v>1000000000042</v>
          </cell>
          <cell r="C10" t="str">
            <v>Basic Broiler Startex Crumble, 50Kg</v>
          </cell>
          <cell r="D10" t="str">
            <v>White</v>
          </cell>
          <cell r="G10">
            <v>1</v>
          </cell>
          <cell r="H10">
            <v>5000000000574</v>
          </cell>
          <cell r="I10" t="str">
            <v>Empty Sack - Basic Broiler Startex, 50Kg</v>
          </cell>
          <cell r="K10">
            <v>5000000000099</v>
          </cell>
          <cell r="L10" t="str">
            <v>Tag - Basic Broiler Startex Crumble</v>
          </cell>
        </row>
        <row r="11">
          <cell r="B11">
            <v>1000000000043</v>
          </cell>
          <cell r="C11" t="str">
            <v>Basic Broiler Finex Crumble, 50Kg</v>
          </cell>
          <cell r="D11" t="str">
            <v>White</v>
          </cell>
          <cell r="G11">
            <v>1</v>
          </cell>
          <cell r="H11">
            <v>5000000000575</v>
          </cell>
          <cell r="I11" t="str">
            <v>v2 - Basic Broiler Finex, 50Kg</v>
          </cell>
          <cell r="K11">
            <v>5000000000096</v>
          </cell>
          <cell r="L11" t="str">
            <v>Tag - Basic Broiler Finex Crumble</v>
          </cell>
        </row>
        <row r="12">
          <cell r="B12">
            <v>1000000000086</v>
          </cell>
          <cell r="C12" t="str">
            <v>Poultry Solutions Broiler Starter Mini-Pellet Md, 50Kg</v>
          </cell>
          <cell r="D12" t="str">
            <v>Blue</v>
          </cell>
          <cell r="E12" t="str">
            <v>086 | PS BSMP</v>
          </cell>
          <cell r="G12">
            <v>7</v>
          </cell>
          <cell r="H12">
            <v>5000000000558</v>
          </cell>
          <cell r="I12" t="str">
            <v>v2 - Poultry Solutions Broiler Starter, 50kg</v>
          </cell>
          <cell r="K12">
            <v>5000000000113</v>
          </cell>
          <cell r="L12" t="str">
            <v>Tag - Poultry Solutions Broiler Starter Crumble</v>
          </cell>
        </row>
        <row r="13">
          <cell r="B13">
            <v>1000000000117</v>
          </cell>
          <cell r="C13" t="str">
            <v>Poultry Solutions Breeder Starter Cr 50Kg</v>
          </cell>
          <cell r="D13" t="str">
            <v>Red Green</v>
          </cell>
          <cell r="E13" t="str">
            <v>117 Brdr Str</v>
          </cell>
          <cell r="G13">
            <v>15</v>
          </cell>
          <cell r="H13">
            <v>5000000000561</v>
          </cell>
          <cell r="I13" t="str">
            <v>v2 - Poultry Solutions Chick Starter, 50</v>
          </cell>
          <cell r="K13">
            <v>5000000000125</v>
          </cell>
          <cell r="L13" t="str">
            <v>Tag - Poultry Solutions Chick Starter Crumble</v>
          </cell>
        </row>
        <row r="14">
          <cell r="B14">
            <v>1000000000118</v>
          </cell>
          <cell r="C14" t="str">
            <v>Poultry Solutions Breeder Grower Cr 50Kg</v>
          </cell>
          <cell r="D14" t="str">
            <v>Red Green</v>
          </cell>
          <cell r="E14" t="str">
            <v>118 Brdr Gwr</v>
          </cell>
          <cell r="G14">
            <v>14</v>
          </cell>
          <cell r="H14">
            <v>5000000000562</v>
          </cell>
          <cell r="I14" t="str">
            <v>Sack Poultry Sol Chick Growex 1, 50kg</v>
          </cell>
          <cell r="K14">
            <v>5000000000122</v>
          </cell>
          <cell r="L14" t="str">
            <v>Tag - Poultry Solutions Chick Grower 1 Crumble</v>
          </cell>
        </row>
        <row r="15">
          <cell r="B15">
            <v>1000000000137</v>
          </cell>
          <cell r="C15" t="str">
            <v>Poultry Sol Breeder Starter Sml Cr 50Kg</v>
          </cell>
          <cell r="D15" t="str">
            <v>White Green</v>
          </cell>
          <cell r="E15" t="str">
            <v>137 Sml</v>
          </cell>
          <cell r="G15">
            <v>15</v>
          </cell>
          <cell r="H15">
            <v>5000000000561</v>
          </cell>
          <cell r="I15" t="str">
            <v>v2 - Poultry Solutions Chick Starter, 50</v>
          </cell>
          <cell r="K15">
            <v>5000000000125</v>
          </cell>
          <cell r="L15" t="str">
            <v>Tag - Poultry Solutions Chick Starter Crumble</v>
          </cell>
        </row>
        <row r="16">
          <cell r="B16">
            <v>1000000000176</v>
          </cell>
          <cell r="C16" t="str">
            <v>Basic Chick Boostex Crumble, 50 Kg</v>
          </cell>
          <cell r="D16" t="str">
            <v>White</v>
          </cell>
          <cell r="G16">
            <v>1</v>
          </cell>
          <cell r="H16">
            <v>5000000000573</v>
          </cell>
          <cell r="I16" t="str">
            <v>v2 - Basic Chick Boostex, 50 Kg</v>
          </cell>
          <cell r="K16">
            <v>5000000001531</v>
          </cell>
          <cell r="L16" t="str">
            <v>Tag Basic Chick Boostex Crumble, 50kg</v>
          </cell>
        </row>
        <row r="17">
          <cell r="B17">
            <v>1000000000219</v>
          </cell>
          <cell r="C17" t="str">
            <v>Gallimax 3 Maintenance (Natural) Pellet, 50 Kg</v>
          </cell>
          <cell r="D17" t="str">
            <v>White</v>
          </cell>
          <cell r="G17">
            <v>1</v>
          </cell>
          <cell r="H17">
            <v>5000000000064</v>
          </cell>
          <cell r="I17" t="str">
            <v>Empty Sack - Gallimax 3 Maintenance Mini Pellet 50 kg</v>
          </cell>
          <cell r="K17">
            <v>5000000000129</v>
          </cell>
          <cell r="L17" t="str">
            <v>Tag - Gallimax 3 Maintenance mini Pellet</v>
          </cell>
        </row>
        <row r="18">
          <cell r="B18">
            <v>1000000000228</v>
          </cell>
          <cell r="C18" t="str">
            <v>Pork Solutions Grower Mash</v>
          </cell>
          <cell r="D18" t="str">
            <v>Orange</v>
          </cell>
          <cell r="E18">
            <v>228</v>
          </cell>
          <cell r="G18">
            <v>6</v>
          </cell>
          <cell r="H18">
            <v>5000000000050</v>
          </cell>
          <cell r="I18" t="str">
            <v>Empty Sack - Pork Solutions Grower , 50 kg</v>
          </cell>
          <cell r="K18">
            <v>5000000000110</v>
          </cell>
          <cell r="L18" t="str">
            <v>Tag Pork Solution Grower- Mash</v>
          </cell>
        </row>
        <row r="19">
          <cell r="B19">
            <v>1000000000229</v>
          </cell>
          <cell r="C19" t="str">
            <v>Pork Solution Hog  Finisher Mash , 50 Kg</v>
          </cell>
          <cell r="D19" t="str">
            <v>Orange</v>
          </cell>
          <cell r="E19">
            <v>229</v>
          </cell>
          <cell r="G19">
            <v>3</v>
          </cell>
          <cell r="H19">
            <v>5000000000051</v>
          </cell>
          <cell r="I19" t="str">
            <v>Empty Sack - Pork Solutions Finisher , 50 kg</v>
          </cell>
          <cell r="K19">
            <v>5000000000844</v>
          </cell>
          <cell r="L19" t="str">
            <v>Tag Pork Solution Finisher – Mash</v>
          </cell>
        </row>
        <row r="20">
          <cell r="B20">
            <v>1000000000233</v>
          </cell>
          <cell r="C20" t="str">
            <v>Elite Xp Gestaprime - 50Kg</v>
          </cell>
          <cell r="D20" t="str">
            <v>White</v>
          </cell>
          <cell r="G20">
            <v>1</v>
          </cell>
          <cell r="H20">
            <v>5000000000418</v>
          </cell>
          <cell r="I20" t="str">
            <v>Elite XP Hog GestaPrime 50kg. Mocha PP bag</v>
          </cell>
          <cell r="K20">
            <v>5000000000483</v>
          </cell>
          <cell r="L20" t="str">
            <v>Tag- Elite XP GestaPrime, Pellet 50 kg</v>
          </cell>
        </row>
        <row r="21">
          <cell r="B21">
            <v>1000000000235</v>
          </cell>
          <cell r="C21" t="str">
            <v>Elite Xp Gestapro</v>
          </cell>
          <cell r="D21" t="str">
            <v>White</v>
          </cell>
          <cell r="G21">
            <v>1</v>
          </cell>
          <cell r="H21">
            <v>5000000000417</v>
          </cell>
          <cell r="I21" t="str">
            <v>Elite XP Hog GestaPro 50kg. Mocha PP bag</v>
          </cell>
          <cell r="K21">
            <v>5000000000481</v>
          </cell>
          <cell r="L21" t="str">
            <v>Tag- Elite XP GestaPro, Pellet 50 kg</v>
          </cell>
        </row>
        <row r="22">
          <cell r="B22">
            <v>1000000000236</v>
          </cell>
          <cell r="C22" t="str">
            <v>Elite Xp Litter Developer, Pellet 50Kg</v>
          </cell>
          <cell r="D22" t="str">
            <v>White</v>
          </cell>
          <cell r="G22">
            <v>1</v>
          </cell>
          <cell r="H22">
            <v>5000000000416</v>
          </cell>
          <cell r="I22" t="str">
            <v>Elite XP Hog Litter Developer 50kg. Mocha PP bag</v>
          </cell>
          <cell r="K22">
            <v>5000000000482</v>
          </cell>
          <cell r="L22" t="str">
            <v>Tag- Elite XP Litter Development, Pellet 50 kg</v>
          </cell>
        </row>
        <row r="23">
          <cell r="B23">
            <v>1000000000237</v>
          </cell>
          <cell r="C23" t="str">
            <v>Elite Xp Lactatex, Pellet 50Kg</v>
          </cell>
          <cell r="D23" t="str">
            <v>White</v>
          </cell>
          <cell r="G23">
            <v>1</v>
          </cell>
          <cell r="H23">
            <v>5000000000415</v>
          </cell>
          <cell r="I23" t="str">
            <v>Elite XP Hog Lactatex 50kg. Mocha PP bag</v>
          </cell>
          <cell r="K23">
            <v>5000000000480</v>
          </cell>
          <cell r="L23" t="str">
            <v>Tag- Elite XP Lactatex, Pellet 50 kg</v>
          </cell>
        </row>
        <row r="24">
          <cell r="B24">
            <v>1000000000239</v>
          </cell>
          <cell r="C24" t="str">
            <v>Elite Xp Sprinter, Mini-Pellet 10Kg</v>
          </cell>
          <cell r="D24" t="str">
            <v>White</v>
          </cell>
          <cell r="G24">
            <v>1</v>
          </cell>
          <cell r="H24">
            <v>5000000000420</v>
          </cell>
          <cell r="I24" t="str">
            <v>Elite XP Hog Sprinter 10kg. Mocha PP bag</v>
          </cell>
          <cell r="K24">
            <v>5000000000479</v>
          </cell>
          <cell r="L24" t="str">
            <v>Tag- Elite XP Sprinter Mini-Pellet, Pellet 10 kg</v>
          </cell>
        </row>
        <row r="25">
          <cell r="B25">
            <v>1000000000240</v>
          </cell>
          <cell r="C25" t="str">
            <v>Elite Xp Pre-Startex, Mini-Pellet 25Kg</v>
          </cell>
          <cell r="D25" t="str">
            <v>White</v>
          </cell>
          <cell r="G25">
            <v>2</v>
          </cell>
          <cell r="H25">
            <v>5000000000422</v>
          </cell>
          <cell r="I25" t="str">
            <v>Elite XP Hog Pre-startex, 25kg mocha PP bag</v>
          </cell>
          <cell r="K25">
            <v>5000000000478</v>
          </cell>
          <cell r="L25" t="str">
            <v>Tag- Elite XP Pre-Starter Mini-Pellet, Pellet 50 kg</v>
          </cell>
        </row>
        <row r="26">
          <cell r="B26">
            <v>1000000000241</v>
          </cell>
          <cell r="C26" t="str">
            <v>Elite Xp Startex, Mini-Pellet 50Kg</v>
          </cell>
          <cell r="D26" t="str">
            <v>White</v>
          </cell>
          <cell r="G26">
            <v>3</v>
          </cell>
          <cell r="H26">
            <v>5000000000419</v>
          </cell>
          <cell r="I26" t="str">
            <v>Elite XP Hog Startex 50kg. Mocha PP bag</v>
          </cell>
          <cell r="K26">
            <v>5000000000477</v>
          </cell>
          <cell r="L26" t="str">
            <v>Tag- Elite XP Startex Mini-Pellet, Pellet 50 kg</v>
          </cell>
        </row>
        <row r="27">
          <cell r="B27">
            <v>1000000000243</v>
          </cell>
          <cell r="C27" t="str">
            <v>Elite Xp Growex 1, Pellet 50Kg</v>
          </cell>
          <cell r="D27" t="str">
            <v>White</v>
          </cell>
          <cell r="G27">
            <v>1</v>
          </cell>
          <cell r="H27">
            <v>5000000000423</v>
          </cell>
          <cell r="I27" t="str">
            <v>Elite XP Hog Growex 50kg. Mocha PP bag</v>
          </cell>
          <cell r="K27">
            <v>5000000000476</v>
          </cell>
          <cell r="L27" t="str">
            <v>Tag- Elite XP Growex 1, Pellet 50 kg</v>
          </cell>
        </row>
        <row r="28">
          <cell r="B28">
            <v>1000000000244</v>
          </cell>
          <cell r="C28" t="str">
            <v>Elite Xp Growex 2, Pellet 50Kg</v>
          </cell>
          <cell r="D28" t="str">
            <v>White</v>
          </cell>
          <cell r="G28">
            <v>2</v>
          </cell>
          <cell r="H28">
            <v>5000000000421</v>
          </cell>
          <cell r="I28" t="str">
            <v>Elite XP Hog Growex  2 50kg. Mocha PP bag</v>
          </cell>
          <cell r="K28">
            <v>5000000000475</v>
          </cell>
          <cell r="L28" t="str">
            <v>Tag- Elite XP Growex 2, Pellet 50 kg</v>
          </cell>
        </row>
        <row r="29">
          <cell r="B29">
            <v>1000000000245</v>
          </cell>
          <cell r="C29" t="str">
            <v>Elite Xp Finex, Pellet 50Kg</v>
          </cell>
          <cell r="D29" t="str">
            <v>White</v>
          </cell>
          <cell r="G29">
            <v>1</v>
          </cell>
          <cell r="H29">
            <v>5000000000414</v>
          </cell>
          <cell r="I29" t="str">
            <v>Elite XP Hog Finex 50kg. Mocha PP bag</v>
          </cell>
          <cell r="K29">
            <v>5000000000474</v>
          </cell>
          <cell r="L29" t="str">
            <v>Tag- Elite XP Finex, Pellet 10 kg</v>
          </cell>
        </row>
        <row r="30">
          <cell r="B30">
            <v>1000000000311</v>
          </cell>
          <cell r="C30" t="str">
            <v>Chick Growex 1- Poultry Solution, 50Kg</v>
          </cell>
          <cell r="D30" t="str">
            <v>White</v>
          </cell>
          <cell r="E30" t="str">
            <v>311 CG 1</v>
          </cell>
          <cell r="G30">
            <v>14</v>
          </cell>
          <cell r="H30">
            <v>5000000000562</v>
          </cell>
          <cell r="I30" t="str">
            <v>Sack Poultry Sol Chick Growex 1, 50kg</v>
          </cell>
          <cell r="K30">
            <v>5000000000122</v>
          </cell>
          <cell r="L30" t="str">
            <v>Tag - Poultry Solutions Chick Grower 1 Crumble</v>
          </cell>
        </row>
        <row r="31">
          <cell r="B31">
            <v>1000000000312</v>
          </cell>
          <cell r="C31" t="str">
            <v>Chick Growex 2 - Poultry Solution, 50Kg</v>
          </cell>
          <cell r="D31" t="str">
            <v>Red</v>
          </cell>
          <cell r="E31" t="str">
            <v>312 CG 2</v>
          </cell>
          <cell r="G31">
            <v>14</v>
          </cell>
          <cell r="H31">
            <v>5000000000562</v>
          </cell>
          <cell r="I31" t="str">
            <v>Sack Poultry Sol Chick Growex 1, 50kg</v>
          </cell>
          <cell r="K31">
            <v>5000000000123</v>
          </cell>
          <cell r="L31" t="str">
            <v>Tag Poultry Solution Chick Grower II</v>
          </cell>
        </row>
        <row r="32">
          <cell r="B32">
            <v>1000000000344</v>
          </cell>
          <cell r="C32" t="str">
            <v>Elite Xp Sprinter, Mini-Pellet 1Kg X25</v>
          </cell>
          <cell r="D32" t="str">
            <v>White</v>
          </cell>
          <cell r="G32">
            <v>2</v>
          </cell>
          <cell r="H32">
            <v>5000000000163</v>
          </cell>
          <cell r="I32" t="str">
            <v>v2- Bundle Packaging for Elite Sprinter 1kg, 25kg</v>
          </cell>
          <cell r="K32">
            <v>5000000000479</v>
          </cell>
          <cell r="L32" t="str">
            <v>Tag- Elite XP Sprinter Mini-Pellet, Pellet 10 kg</v>
          </cell>
        </row>
        <row r="33">
          <cell r="B33">
            <v>1000000000406</v>
          </cell>
          <cell r="C33" t="str">
            <v>Poultry Solutions Broiler Booster Cr Md, Ce 50Kg</v>
          </cell>
          <cell r="D33" t="str">
            <v>Orange Green</v>
          </cell>
          <cell r="E33" t="str">
            <v>406 CE</v>
          </cell>
          <cell r="G33">
            <v>6</v>
          </cell>
          <cell r="H33">
            <v>5000000000557</v>
          </cell>
          <cell r="I33" t="str">
            <v>v2 - Poultry Solutions Broiler Booster, 50kg</v>
          </cell>
          <cell r="K33">
            <v>5000000000154</v>
          </cell>
          <cell r="L33" t="str">
            <v>Tag - Poultry Solutions Broiler Booster, 50kg</v>
          </cell>
        </row>
        <row r="34">
          <cell r="B34">
            <v>1000000000407</v>
          </cell>
          <cell r="C34" t="str">
            <v>Poultry Solutions Broiler Starter Cr Md, Ce 50Kg</v>
          </cell>
          <cell r="D34" t="str">
            <v>Orange Green</v>
          </cell>
          <cell r="E34" t="str">
            <v>407 CE</v>
          </cell>
          <cell r="G34">
            <v>7</v>
          </cell>
          <cell r="H34">
            <v>5000000000558</v>
          </cell>
          <cell r="I34" t="str">
            <v>v2 - Poultry Solutions Broiler Starter, 50kg</v>
          </cell>
          <cell r="K34">
            <v>5000000000113</v>
          </cell>
          <cell r="L34" t="str">
            <v>Tag - Poultry Solutions Broiler Starter Crumble</v>
          </cell>
        </row>
        <row r="35">
          <cell r="B35">
            <v>1000000000408</v>
          </cell>
          <cell r="C35" t="str">
            <v>Poultry Solutions Broiler Finisher Mp Md, Ce 50Kg</v>
          </cell>
          <cell r="D35" t="str">
            <v>Orange Green</v>
          </cell>
          <cell r="E35" t="str">
            <v>408 CE</v>
          </cell>
          <cell r="G35">
            <v>7</v>
          </cell>
          <cell r="H35">
            <v>5000000000559</v>
          </cell>
          <cell r="I35" t="str">
            <v>v2 - Poultry Solutions Broiler Finisher, 50kg</v>
          </cell>
          <cell r="K35">
            <v>5000000000115</v>
          </cell>
          <cell r="L35" t="str">
            <v>Tag - Poultry Solutions Broiler Finisher Crumble</v>
          </cell>
        </row>
        <row r="36">
          <cell r="B36">
            <v>1000000000467</v>
          </cell>
          <cell r="C36" t="str">
            <v>Pork Solutions Pre-Starter 50Kg</v>
          </cell>
          <cell r="D36" t="str">
            <v>White</v>
          </cell>
          <cell r="G36">
            <v>5</v>
          </cell>
          <cell r="H36">
            <v>5000000000057</v>
          </cell>
          <cell r="I36" t="str">
            <v>Empty Sack - Pork Solutions Pre-starter Mini Pellet ,50kg</v>
          </cell>
          <cell r="K36">
            <v>5000000000102</v>
          </cell>
          <cell r="L36" t="str">
            <v>Tag Pork Solutions Hog Pre-Starter 1 Mini Pellet 50kg</v>
          </cell>
        </row>
        <row r="37">
          <cell r="B37">
            <v>1000000000473</v>
          </cell>
          <cell r="C37" t="str">
            <v>Salto Baby Stag Developer 50 Kg With Grits</v>
          </cell>
          <cell r="D37" t="str">
            <v>White</v>
          </cell>
          <cell r="G37">
            <v>2</v>
          </cell>
          <cell r="H37">
            <v>5000000000717</v>
          </cell>
          <cell r="I37" t="str">
            <v>Empty Sack - Salto Baby Stag Developer, 50kg</v>
          </cell>
          <cell r="K37">
            <v>5000000000720</v>
          </cell>
          <cell r="L37" t="str">
            <v>Tag - Salto Baby Stag Developer, 50kg</v>
          </cell>
        </row>
        <row r="38">
          <cell r="B38">
            <v>1000000000479</v>
          </cell>
          <cell r="C38" t="str">
            <v>Elite Xp Grower 1 ,50 Kg  T3</v>
          </cell>
          <cell r="D38" t="str">
            <v>Green</v>
          </cell>
          <cell r="I38" t="str">
            <v>Empty Sack - Elite Hog Growex, 50 kg</v>
          </cell>
          <cell r="K38">
            <v>5000000000080</v>
          </cell>
          <cell r="L38" t="str">
            <v>Tag - Elite Hog Growex 1 Pellet</v>
          </cell>
        </row>
        <row r="39">
          <cell r="B39">
            <v>1000000000480</v>
          </cell>
          <cell r="C39" t="str">
            <v>Pork Solutions Grower I - 50Kg</v>
          </cell>
          <cell r="D39" t="str">
            <v>Yellow Green</v>
          </cell>
          <cell r="E39" t="str">
            <v>480 G 1</v>
          </cell>
          <cell r="G39">
            <v>6</v>
          </cell>
          <cell r="H39">
            <v>5000000000050</v>
          </cell>
          <cell r="I39" t="str">
            <v>Empty Sack - Pork Solutions Grower , 50 kg</v>
          </cell>
          <cell r="K39">
            <v>5000000000081</v>
          </cell>
          <cell r="L39" t="str">
            <v>Tag - Elite Hog Growex 2 Pellet</v>
          </cell>
        </row>
        <row r="40">
          <cell r="B40">
            <v>1000000000481</v>
          </cell>
          <cell r="C40" t="str">
            <v>Pork Solutions Grower Ii - 50Kg</v>
          </cell>
          <cell r="D40" t="str">
            <v>Yellow</v>
          </cell>
          <cell r="E40" t="str">
            <v>481 G 2</v>
          </cell>
          <cell r="G40">
            <v>6</v>
          </cell>
          <cell r="H40">
            <v>5000000000050</v>
          </cell>
          <cell r="I40" t="str">
            <v>Empty Sack - Pork Solutions Grower , 50 kg</v>
          </cell>
          <cell r="K40">
            <v>5000000000081</v>
          </cell>
          <cell r="L40" t="str">
            <v>Tag - Elite Hog Growex 2 Pellet</v>
          </cell>
        </row>
        <row r="41">
          <cell r="B41">
            <v>1000000000500</v>
          </cell>
          <cell r="C41" t="str">
            <v>Pork Solutions Finisher 50Kg</v>
          </cell>
          <cell r="D41" t="str">
            <v>White</v>
          </cell>
          <cell r="G41">
            <v>3</v>
          </cell>
          <cell r="H41">
            <v>5000000000051</v>
          </cell>
          <cell r="I41" t="str">
            <v>Empty Sack - Pork Solutions Finisher , 50 kg</v>
          </cell>
          <cell r="L41" t="str">
            <v>Tag - Elite Hog Finex Pellet</v>
          </cell>
        </row>
        <row r="42">
          <cell r="B42">
            <v>1000000000501</v>
          </cell>
          <cell r="C42" t="str">
            <v>Poultry Express Broiler Startex Crumble 50 Kg</v>
          </cell>
          <cell r="D42" t="str">
            <v>White</v>
          </cell>
          <cell r="G42">
            <v>1</v>
          </cell>
          <cell r="H42">
            <v>5000000000540</v>
          </cell>
          <cell r="I42" t="str">
            <v>v2 - Poultry Express Broiler Startex, 50 kg</v>
          </cell>
          <cell r="K42">
            <v>5000000000092</v>
          </cell>
          <cell r="L42" t="str">
            <v>Tag - P/E Broiler Startex Crumble</v>
          </cell>
        </row>
        <row r="43">
          <cell r="B43">
            <v>1000000000503</v>
          </cell>
          <cell r="C43" t="str">
            <v>Poultry Express Broiler Finex Crumble 50 Kg</v>
          </cell>
          <cell r="D43" t="str">
            <v>White</v>
          </cell>
          <cell r="G43">
            <v>2</v>
          </cell>
          <cell r="H43">
            <v>5000000000545</v>
          </cell>
          <cell r="I43" t="str">
            <v>v2 - Poultry Express Broiler Finex, 50 kg</v>
          </cell>
          <cell r="K43">
            <v>5000000000094</v>
          </cell>
          <cell r="L43" t="str">
            <v>Tag - P/E Broiler Finex Crumble</v>
          </cell>
        </row>
        <row r="44">
          <cell r="B44">
            <v>1000000000517</v>
          </cell>
          <cell r="C44" t="str">
            <v>Ave Max Duck Layex 50 Kg</v>
          </cell>
          <cell r="D44" t="str">
            <v>White</v>
          </cell>
          <cell r="G44">
            <v>1</v>
          </cell>
          <cell r="H44">
            <v>5000000000552</v>
          </cell>
          <cell r="I44" t="str">
            <v>v2 - Ave Max Duck Layex, 50 kg</v>
          </cell>
          <cell r="K44">
            <v>5000000000741</v>
          </cell>
          <cell r="L44" t="str">
            <v>Tag - Ave Max Duck Layex Pellet</v>
          </cell>
        </row>
        <row r="45">
          <cell r="B45">
            <v>1000000000528</v>
          </cell>
          <cell r="C45" t="str">
            <v>Ave Max Duck Layex 2 Pellet, 50Kg</v>
          </cell>
          <cell r="D45" t="str">
            <v>White</v>
          </cell>
          <cell r="G45">
            <v>1</v>
          </cell>
          <cell r="H45">
            <v>5000000000553</v>
          </cell>
          <cell r="I45" t="str">
            <v>v2 - Ave Max Duck Layex 2, 50kg</v>
          </cell>
          <cell r="K45">
            <v>5000000000135</v>
          </cell>
          <cell r="L45" t="str">
            <v>Tag - Ave Max Duck Layex 2 Pellet</v>
          </cell>
        </row>
        <row r="46">
          <cell r="B46">
            <v>1000000000530</v>
          </cell>
          <cell r="C46" t="str">
            <v>Ave Max Duck Growex M-Pellet, 50 Kg</v>
          </cell>
          <cell r="D46" t="str">
            <v>White</v>
          </cell>
          <cell r="G46">
            <v>1</v>
          </cell>
          <cell r="H46">
            <v>5000000000550</v>
          </cell>
          <cell r="I46" t="str">
            <v>v2 - Ave Max Duck Growex, 50 kg</v>
          </cell>
          <cell r="K46">
            <v>5000000000412</v>
          </cell>
          <cell r="L46" t="str">
            <v>Tag Avemax Duck Growex, Pellet</v>
          </cell>
        </row>
        <row r="47">
          <cell r="B47">
            <v>1000000000531</v>
          </cell>
          <cell r="C47" t="str">
            <v>Ave Max Duck Startex Crumble, 50 Kg</v>
          </cell>
          <cell r="D47" t="str">
            <v>White</v>
          </cell>
          <cell r="G47">
            <v>1</v>
          </cell>
          <cell r="H47">
            <v>5000000000022</v>
          </cell>
          <cell r="I47" t="str">
            <v>Empty Sack - Avemax Duck Startex, 50 kg</v>
          </cell>
          <cell r="K47">
            <v>5000000000023</v>
          </cell>
          <cell r="L47" t="str">
            <v>Tag - Avemax Duck Startex, Crumble</v>
          </cell>
        </row>
        <row r="48">
          <cell r="B48">
            <v>1000000000539</v>
          </cell>
          <cell r="C48" t="str">
            <v>Ave Max Quail Layex Crumble, 50Kg</v>
          </cell>
          <cell r="D48" t="str">
            <v>White</v>
          </cell>
          <cell r="G48">
            <v>1</v>
          </cell>
          <cell r="H48">
            <v>5000000000554</v>
          </cell>
          <cell r="I48" t="str">
            <v>Empty Sack - Ave Max Quail Layex Crumble, 50 kg</v>
          </cell>
          <cell r="K48">
            <v>5000000000136</v>
          </cell>
          <cell r="L48" t="str">
            <v>Tag - Ave Max Quail Layex Crumble</v>
          </cell>
        </row>
        <row r="49">
          <cell r="B49">
            <v>1000000000540</v>
          </cell>
          <cell r="C49" t="str">
            <v>Salto - Chick Booster Crumble 1Kg (Bundle Of 25</v>
          </cell>
          <cell r="D49" t="str">
            <v>White</v>
          </cell>
          <cell r="G49">
            <v>1</v>
          </cell>
          <cell r="H49">
            <v>5000000000411</v>
          </cell>
          <cell r="I49" t="str">
            <v>Roll Form Salto Chick Booster 1kg</v>
          </cell>
          <cell r="K49">
            <v>5000000000130</v>
          </cell>
          <cell r="L49" t="str">
            <v>Tag - Salto Bundle Pack</v>
          </cell>
        </row>
        <row r="50">
          <cell r="B50">
            <v>1000000000542</v>
          </cell>
          <cell r="C50" t="str">
            <v>Salto - Chick Booster Crumble 50 Kg</v>
          </cell>
          <cell r="D50" t="str">
            <v>White</v>
          </cell>
          <cell r="G50">
            <v>1</v>
          </cell>
          <cell r="H50">
            <v>5000000000716</v>
          </cell>
          <cell r="I50" t="str">
            <v>Empty Sacks - Salto Chick Booster, 50kg</v>
          </cell>
          <cell r="K50">
            <v>5000000000719</v>
          </cell>
          <cell r="L50" t="str">
            <v>Tag Salto Chick Booster, 50 kg</v>
          </cell>
        </row>
        <row r="51">
          <cell r="B51">
            <v>1000000000543</v>
          </cell>
          <cell r="C51" t="str">
            <v>Salto - Stag Developer Pellet 1Kg (Bundle Of 25</v>
          </cell>
          <cell r="D51" t="str">
            <v>White</v>
          </cell>
          <cell r="G51">
            <v>1</v>
          </cell>
          <cell r="H51">
            <v>5000000000028</v>
          </cell>
          <cell r="I51" t="str">
            <v>Empty Pack - Salto Stag Developer Mini Pellet 1kg OPP</v>
          </cell>
          <cell r="K51">
            <v>5000000000130</v>
          </cell>
          <cell r="L51" t="str">
            <v>Tag - Salto Bundle Pack</v>
          </cell>
        </row>
        <row r="52">
          <cell r="B52">
            <v>1000000000546</v>
          </cell>
          <cell r="C52" t="str">
            <v>Salto - Conditioner Pellet 1Kg (Bundle Of 25 Pcs)</v>
          </cell>
          <cell r="D52" t="str">
            <v>White</v>
          </cell>
          <cell r="G52">
            <v>1</v>
          </cell>
          <cell r="H52">
            <v>5000000000390</v>
          </cell>
          <cell r="I52" t="str">
            <v>Pouch Salto Conditioner MP 1kg v1</v>
          </cell>
          <cell r="K52">
            <v>5000000000130</v>
          </cell>
          <cell r="L52" t="str">
            <v>Tag - Salto Bundle Pack</v>
          </cell>
        </row>
        <row r="53">
          <cell r="B53">
            <v>1000000000565</v>
          </cell>
          <cell r="C53" t="str">
            <v>Salto Powermix 2, 25Kg</v>
          </cell>
          <cell r="D53" t="str">
            <v>White</v>
          </cell>
          <cell r="G53">
            <v>1</v>
          </cell>
          <cell r="H53">
            <v>5000000000067</v>
          </cell>
          <cell r="I53" t="str">
            <v>Empty Sack - Salto Powermix 2 Mini Pellet , 25kg</v>
          </cell>
          <cell r="K53">
            <v>5000000000133</v>
          </cell>
          <cell r="L53" t="str">
            <v>Tag - Salto Powermix 2 Mini Pellet</v>
          </cell>
        </row>
        <row r="54">
          <cell r="B54">
            <v>1000000000566</v>
          </cell>
          <cell r="C54" t="str">
            <v>Salto Powermix 3, 25Kg</v>
          </cell>
          <cell r="D54" t="str">
            <v>White</v>
          </cell>
          <cell r="G54">
            <v>1</v>
          </cell>
          <cell r="H54">
            <v>5000000000068</v>
          </cell>
          <cell r="I54" t="str">
            <v>Empty Sack - Salto Powermix 3 25kg</v>
          </cell>
          <cell r="K54">
            <v>5000000000134</v>
          </cell>
          <cell r="L54" t="str">
            <v>Tag - Salto Powermix 3 Mini Pellet</v>
          </cell>
        </row>
        <row r="55">
          <cell r="B55">
            <v>1000000000568</v>
          </cell>
          <cell r="C55" t="str">
            <v>Salto Powermix 4, 25 Kg</v>
          </cell>
          <cell r="D55" t="str">
            <v>White</v>
          </cell>
          <cell r="G55">
            <v>1</v>
          </cell>
          <cell r="H55">
            <v>5000000000686</v>
          </cell>
          <cell r="I55" t="str">
            <v>Empty Sack - Salto Powermix 4 Mini Pellet , 25kg</v>
          </cell>
          <cell r="K55">
            <v>5000000000688</v>
          </cell>
          <cell r="L55" t="str">
            <v>Tag - Salto Powermix 4 Mini Pellet</v>
          </cell>
        </row>
        <row r="56">
          <cell r="B56">
            <v>1000000000588</v>
          </cell>
          <cell r="C56" t="str">
            <v>Gallimax 3 Maintenance (Red) Pellet, 50Kg</v>
          </cell>
          <cell r="D56" t="str">
            <v>White</v>
          </cell>
          <cell r="G56">
            <v>1</v>
          </cell>
          <cell r="H56">
            <v>5000000000020</v>
          </cell>
          <cell r="I56" t="str">
            <v>Empty Sack - Gallimax 3 Red Mini Pellet, 50kg</v>
          </cell>
          <cell r="K56">
            <v>5000000000129</v>
          </cell>
          <cell r="L56" t="str">
            <v>Tag - Gallimax 3 Maintenance mini Pellet</v>
          </cell>
        </row>
        <row r="57">
          <cell r="B57">
            <v>1000000000589</v>
          </cell>
          <cell r="C57" t="str">
            <v>Gallimax 1 Booster Crumble, 50Kg</v>
          </cell>
          <cell r="D57" t="str">
            <v>White</v>
          </cell>
          <cell r="G57">
            <v>1</v>
          </cell>
          <cell r="H57">
            <v>5000000000062</v>
          </cell>
          <cell r="I57" t="str">
            <v>Empty Sack - Gallimax 1 Booster Pellet, 50 kg</v>
          </cell>
          <cell r="K57">
            <v>5000000000127</v>
          </cell>
          <cell r="L57" t="str">
            <v>Tag - Gallimax 1 Booster Crumble</v>
          </cell>
        </row>
        <row r="58">
          <cell r="B58">
            <v>1000000000591</v>
          </cell>
          <cell r="C58" t="str">
            <v>Gallimax 2 Developer Crumble, 50Kg</v>
          </cell>
          <cell r="D58" t="str">
            <v>White</v>
          </cell>
          <cell r="G58">
            <v>1</v>
          </cell>
          <cell r="H58">
            <v>5000000000063</v>
          </cell>
          <cell r="I58" t="str">
            <v>Empty Sack - Gallimax 2 Stag Developer Pellet 50 kg</v>
          </cell>
          <cell r="K58">
            <v>5000000000128</v>
          </cell>
          <cell r="L58" t="str">
            <v>Tag - Gallimax 2 Stag Developer Crumble</v>
          </cell>
        </row>
        <row r="59">
          <cell r="B59">
            <v>1000000000592</v>
          </cell>
          <cell r="C59" t="str">
            <v>Gallimax 21 Chicken Layer Pellet (Breeder Ration),</v>
          </cell>
          <cell r="D59" t="str">
            <v>White</v>
          </cell>
          <cell r="G59">
            <v>1</v>
          </cell>
          <cell r="H59">
            <v>5000000000066</v>
          </cell>
          <cell r="I59" t="str">
            <v>Empty Sack - Gallimax 21 Breeder Ration Mini Pellet 10 kg</v>
          </cell>
          <cell r="K59">
            <v>5000000000132</v>
          </cell>
          <cell r="L59" t="str">
            <v>Tag - Gallimax 21 Breeder Ration Mini Pellet, 10kg</v>
          </cell>
        </row>
        <row r="60">
          <cell r="B60">
            <v>1000000000594</v>
          </cell>
          <cell r="C60" t="str">
            <v>Gallimax 21 Chicken Layer Pellet (Breeder Ration),</v>
          </cell>
          <cell r="D60" t="str">
            <v>White</v>
          </cell>
          <cell r="G60">
            <v>1</v>
          </cell>
          <cell r="H60">
            <v>5000000000142</v>
          </cell>
          <cell r="I60" t="str">
            <v>Empty Sack - Gallimax 21 Breeder Ration Mini Pellet, 50 kg</v>
          </cell>
          <cell r="K60">
            <v>5000000000143</v>
          </cell>
          <cell r="L60" t="str">
            <v>Tag - Gallimax 21 Breeder Ration Mini Pellet, 50kg</v>
          </cell>
        </row>
        <row r="61">
          <cell r="B61">
            <v>1000000000736</v>
          </cell>
          <cell r="C61" t="str">
            <v>Poultry Solutions Layer 2 50Kg.</v>
          </cell>
          <cell r="D61" t="str">
            <v>Blue</v>
          </cell>
          <cell r="E61" t="str">
            <v>736 PS L-2</v>
          </cell>
          <cell r="G61">
            <v>7</v>
          </cell>
          <cell r="H61">
            <v>5000000000565</v>
          </cell>
          <cell r="I61" t="str">
            <v>v2 - Poultry Solutions Layer 2 50kg.</v>
          </cell>
          <cell r="K61">
            <v>5000000000117</v>
          </cell>
          <cell r="L61" t="str">
            <v>Tag Poultry Solution Chicken Layer II (C)</v>
          </cell>
        </row>
        <row r="62">
          <cell r="B62">
            <v>1000000000825</v>
          </cell>
          <cell r="C62" t="str">
            <v>Pork Solutions Gilt Developer, 50Kg Ph</v>
          </cell>
          <cell r="D62" t="str">
            <v>Yellow</v>
          </cell>
          <cell r="E62" t="str">
            <v>GILT</v>
          </cell>
          <cell r="G62">
            <v>1</v>
          </cell>
          <cell r="H62">
            <v>5000000000683</v>
          </cell>
          <cell r="I62" t="str">
            <v>Pork Solutions Breeder Conditioner, 50kg</v>
          </cell>
          <cell r="K62">
            <v>5000000000684</v>
          </cell>
          <cell r="L62" t="str">
            <v>Tag Pork Solutions Breeder Conditioner, 50kg</v>
          </cell>
        </row>
        <row r="63">
          <cell r="B63">
            <v>1000000000826</v>
          </cell>
          <cell r="C63" t="str">
            <v>Pork Solutions Gestation 1, 50Kg Ph</v>
          </cell>
          <cell r="D63" t="str">
            <v>Yellow</v>
          </cell>
          <cell r="E63" t="str">
            <v>826 PH</v>
          </cell>
          <cell r="G63">
            <v>5</v>
          </cell>
          <cell r="H63">
            <v>5000000000052</v>
          </cell>
          <cell r="I63" t="str">
            <v>Empty Sack - Pork Solutions Breeder Hog Gestation, 50 kg</v>
          </cell>
          <cell r="K63">
            <v>5000000000106</v>
          </cell>
          <cell r="L63" t="str">
            <v>Tag - Pork Solutions Breeder Hog Gestation Pellet</v>
          </cell>
        </row>
        <row r="64">
          <cell r="B64">
            <v>1000000000827</v>
          </cell>
          <cell r="C64" t="str">
            <v>Ps Gestation 2, 50Kg Ph - O</v>
          </cell>
          <cell r="D64" t="str">
            <v>Orange</v>
          </cell>
          <cell r="E64">
            <v>827</v>
          </cell>
          <cell r="G64">
            <v>5</v>
          </cell>
          <cell r="H64">
            <v>5000000000052</v>
          </cell>
          <cell r="I64" t="str">
            <v>Empty Sack - Pork Solutions Breeder Hog Gestation, 50 kg</v>
          </cell>
          <cell r="K64">
            <v>5000000000106</v>
          </cell>
          <cell r="L64" t="str">
            <v>Tag - Pork Solutions Breeder Hog Gestation Pellet</v>
          </cell>
        </row>
        <row r="65">
          <cell r="B65">
            <v>1000000000828</v>
          </cell>
          <cell r="C65" t="str">
            <v>Pork Sol Lacta , 50Kg Ph</v>
          </cell>
          <cell r="D65" t="str">
            <v>Yellow</v>
          </cell>
          <cell r="E65" t="str">
            <v>828 PH</v>
          </cell>
          <cell r="G65">
            <v>4</v>
          </cell>
          <cell r="H65">
            <v>5000000000053</v>
          </cell>
          <cell r="I65" t="str">
            <v>Empty Sack - Pork Solutions Breeder Hog Lactation, 50 kg</v>
          </cell>
          <cell r="K65">
            <v>5000000000107</v>
          </cell>
          <cell r="L65" t="str">
            <v>Tag - Pork Solutions Breeder Hog Lactation Pellet</v>
          </cell>
        </row>
        <row r="66">
          <cell r="B66">
            <v>1000000000829</v>
          </cell>
          <cell r="C66" t="str">
            <v>Pork Solutions Booster, 25 Ph</v>
          </cell>
          <cell r="D66" t="str">
            <v>Yellow</v>
          </cell>
          <cell r="E66" t="str">
            <v>829 PH</v>
          </cell>
          <cell r="G66">
            <v>5</v>
          </cell>
          <cell r="H66">
            <v>5000000000055</v>
          </cell>
          <cell r="I66" t="str">
            <v>Pork Solution Hog Booster 25kg</v>
          </cell>
          <cell r="K66">
            <v>5000000000603</v>
          </cell>
          <cell r="L66" t="str">
            <v>Tag - Pork Solutions Hog Booster Mini Pellet 25kg</v>
          </cell>
        </row>
        <row r="67">
          <cell r="B67">
            <v>1000000000830</v>
          </cell>
          <cell r="C67" t="str">
            <v>Pork Solutions Pre Starter , 50 Kg Ph</v>
          </cell>
          <cell r="D67" t="str">
            <v>Yellow</v>
          </cell>
          <cell r="E67" t="str">
            <v>830 PH</v>
          </cell>
          <cell r="G67">
            <v>5</v>
          </cell>
          <cell r="H67">
            <v>5000000000057</v>
          </cell>
          <cell r="I67" t="str">
            <v>Empty Sack - Pork Solutions Pre-starter Mini Pellet ,50kg</v>
          </cell>
          <cell r="K67">
            <v>5000000000102</v>
          </cell>
          <cell r="L67" t="str">
            <v>Tag Pork Solutions Hog Pre-Starter 1 Mini Pellet 50kg</v>
          </cell>
        </row>
        <row r="68">
          <cell r="B68">
            <v>1000000000831</v>
          </cell>
          <cell r="C68" t="str">
            <v>Pork Solutions Starter, 50Kg Ph</v>
          </cell>
          <cell r="D68" t="str">
            <v>Yellow</v>
          </cell>
          <cell r="E68" t="str">
            <v>831 PH</v>
          </cell>
          <cell r="G68">
            <v>2</v>
          </cell>
          <cell r="H68">
            <v>5000000000001</v>
          </cell>
          <cell r="I68" t="str">
            <v>Pork Solution Starter N</v>
          </cell>
          <cell r="K68">
            <v>5000000000103</v>
          </cell>
          <cell r="L68" t="str">
            <v>Tag Pork Solution Starter (P)</v>
          </cell>
        </row>
        <row r="69">
          <cell r="B69">
            <v>1000000000832</v>
          </cell>
          <cell r="C69" t="str">
            <v>Pork Solutions Grower 1, 50Kg Ph</v>
          </cell>
          <cell r="D69" t="str">
            <v>Blue</v>
          </cell>
          <cell r="E69" t="str">
            <v>832 PH</v>
          </cell>
          <cell r="G69">
            <v>6</v>
          </cell>
          <cell r="H69">
            <v>5000000000050</v>
          </cell>
          <cell r="I69" t="str">
            <v>Empty Sack - Pork Solutions Grower , 50 kg</v>
          </cell>
          <cell r="K69">
            <v>5000000000104</v>
          </cell>
          <cell r="L69" t="str">
            <v>Tag - Pork Solutions Grower Pellet</v>
          </cell>
        </row>
        <row r="70">
          <cell r="B70">
            <v>1000000000833</v>
          </cell>
          <cell r="C70" t="str">
            <v>Pork Solutions Grower 2, 50Kg Ph</v>
          </cell>
          <cell r="D70" t="str">
            <v>Green</v>
          </cell>
          <cell r="E70" t="str">
            <v>833 PH</v>
          </cell>
          <cell r="G70">
            <v>6</v>
          </cell>
          <cell r="H70">
            <v>5000000000050</v>
          </cell>
          <cell r="I70" t="str">
            <v>Empty Sack - Pork Solutions Grower , 50 kg</v>
          </cell>
          <cell r="K70">
            <v>5000000000651</v>
          </cell>
          <cell r="L70" t="str">
            <v>Tag - Pork Solutions Grower 2 Pellet</v>
          </cell>
        </row>
        <row r="71">
          <cell r="B71">
            <v>1000000000834</v>
          </cell>
          <cell r="C71" t="str">
            <v>Pork Solutions Finisher, 50Kg Ph</v>
          </cell>
          <cell r="D71" t="str">
            <v>Yellow</v>
          </cell>
          <cell r="E71" t="str">
            <v>834 PH</v>
          </cell>
          <cell r="G71">
            <v>3</v>
          </cell>
          <cell r="H71">
            <v>5000000000051</v>
          </cell>
          <cell r="I71" t="str">
            <v>Empty Sack - Pork Solutions Finisher , 50 kg</v>
          </cell>
          <cell r="K71">
            <v>5000000000105</v>
          </cell>
          <cell r="L71" t="str">
            <v>Tag - Pork Solutions Finisher Pellet</v>
          </cell>
        </row>
        <row r="72">
          <cell r="B72">
            <v>1000000000847</v>
          </cell>
          <cell r="C72" t="str">
            <v>Pork Solutions Gestation 1, 50Kg Mash Ph</v>
          </cell>
          <cell r="D72" t="str">
            <v>Orange Yellow</v>
          </cell>
          <cell r="E72" t="str">
            <v>847  GEST 1 PH</v>
          </cell>
          <cell r="G72">
            <v>5</v>
          </cell>
          <cell r="H72">
            <v>5000000000052</v>
          </cell>
          <cell r="I72" t="str">
            <v>Pork Solution Breeder Hog (Gestation)</v>
          </cell>
          <cell r="K72">
            <v>5000000000111</v>
          </cell>
          <cell r="L72" t="str">
            <v>Tag - Pork Solutions Breeder Hog Gestation Mash</v>
          </cell>
        </row>
        <row r="73">
          <cell r="B73">
            <v>1000000000848</v>
          </cell>
          <cell r="C73" t="str">
            <v>Pork Solutions Lactation, 50Kg Mash Ph</v>
          </cell>
          <cell r="D73" t="str">
            <v>Orange</v>
          </cell>
          <cell r="E73" t="str">
            <v>848 LACT PH</v>
          </cell>
          <cell r="G73">
            <v>4</v>
          </cell>
          <cell r="H73">
            <v>5000000000053</v>
          </cell>
          <cell r="I73" t="str">
            <v>Pork Solution Breeder Hog (Lactation) New Design</v>
          </cell>
          <cell r="K73">
            <v>5000000000112</v>
          </cell>
          <cell r="L73" t="str">
            <v>Tag Pork Solution Lactation – Mash</v>
          </cell>
        </row>
        <row r="74">
          <cell r="B74">
            <v>1000000000849</v>
          </cell>
          <cell r="C74" t="str">
            <v>Pork Solution Booster Mash Ph, 25Kg</v>
          </cell>
          <cell r="D74" t="str">
            <v>Green</v>
          </cell>
          <cell r="E74" t="str">
            <v>849 BSTR PH</v>
          </cell>
          <cell r="G74">
            <v>5</v>
          </cell>
          <cell r="H74">
            <v>5000000000055</v>
          </cell>
          <cell r="I74" t="str">
            <v>Sack Pork Solutions Hog Booster 25kg</v>
          </cell>
          <cell r="K74">
            <v>5000000000109</v>
          </cell>
          <cell r="L74" t="str">
            <v>Tag Pork Solutions Hog Booster Mash 25</v>
          </cell>
        </row>
        <row r="75">
          <cell r="B75">
            <v>1000000000850</v>
          </cell>
          <cell r="C75" t="str">
            <v>Pork Solutions Pre-Starter, 50Kg Mash Ph</v>
          </cell>
          <cell r="D75" t="str">
            <v>Orange</v>
          </cell>
          <cell r="E75" t="str">
            <v>850 PRE STR PH</v>
          </cell>
          <cell r="G75">
            <v>5</v>
          </cell>
          <cell r="H75">
            <v>5000000000057</v>
          </cell>
          <cell r="I75" t="str">
            <v>Pork Solution Pre-Starter 50kg</v>
          </cell>
          <cell r="K75">
            <v>5000000000102</v>
          </cell>
          <cell r="L75" t="str">
            <v>Tag Pork Solutions Hog Pre-Starter 1 Mini Pellet 50kg</v>
          </cell>
        </row>
        <row r="76">
          <cell r="B76">
            <v>1000000000851</v>
          </cell>
          <cell r="C76" t="str">
            <v>Pork Solutions Starter, 50Kg Mash Ph</v>
          </cell>
          <cell r="D76" t="str">
            <v>Orange</v>
          </cell>
          <cell r="E76" t="str">
            <v>851 STR PH</v>
          </cell>
          <cell r="G76">
            <v>2</v>
          </cell>
          <cell r="H76">
            <v>5000000000001</v>
          </cell>
          <cell r="I76" t="str">
            <v>Pork Solution Starter N</v>
          </cell>
          <cell r="K76">
            <v>5000000000103</v>
          </cell>
          <cell r="L76" t="str">
            <v>Tag Pork Solution Starter (P)</v>
          </cell>
        </row>
        <row r="77">
          <cell r="B77">
            <v>1000000000852</v>
          </cell>
          <cell r="C77" t="str">
            <v>Pork Solutions Grower 1, 50Kg Mash Ph</v>
          </cell>
          <cell r="D77" t="str">
            <v>Orange Blue</v>
          </cell>
          <cell r="E77" t="str">
            <v>852 G1 PH</v>
          </cell>
          <cell r="G77">
            <v>6</v>
          </cell>
          <cell r="H77">
            <v>5000000000050</v>
          </cell>
          <cell r="I77" t="str">
            <v>Empty Sack - Pork Solutions Grower , 50 kg</v>
          </cell>
          <cell r="K77">
            <v>5000000000110</v>
          </cell>
          <cell r="L77" t="str">
            <v>Tag - Pork Solutions Grower Mash</v>
          </cell>
        </row>
        <row r="78">
          <cell r="B78">
            <v>1000000000911</v>
          </cell>
          <cell r="C78" t="str">
            <v>Poultry Solutions Broiler Finisher Nm -P Cs Mp, 50Kg</v>
          </cell>
          <cell r="D78" t="str">
            <v>Blue</v>
          </cell>
          <cell r="E78" t="str">
            <v>911 FIN (NM-P)</v>
          </cell>
          <cell r="G78">
            <v>7</v>
          </cell>
          <cell r="H78">
            <v>5000000000559</v>
          </cell>
          <cell r="I78" t="str">
            <v>v2 - Poultry Solutions Broiler Finisher, 50kg</v>
          </cell>
          <cell r="K78">
            <v>5000000000115</v>
          </cell>
          <cell r="L78" t="str">
            <v>Tag - Poultry Solutions Broiler Finisher Crumble</v>
          </cell>
        </row>
        <row r="79">
          <cell r="B79">
            <v>1000000000912</v>
          </cell>
          <cell r="C79" t="str">
            <v>Kunemax Sprinter</v>
          </cell>
          <cell r="D79" t="str">
            <v>White</v>
          </cell>
          <cell r="G79">
            <v>2</v>
          </cell>
          <cell r="H79">
            <v>5000000000402</v>
          </cell>
          <cell r="I79" t="str">
            <v>Packaging - Kunemax Sprinter Pellet, 25Kg</v>
          </cell>
          <cell r="K79">
            <v>5000000000442</v>
          </cell>
          <cell r="L79" t="str">
            <v>Tag - Kunemax Sprinter Pellet, 25Kg</v>
          </cell>
        </row>
        <row r="80">
          <cell r="B80">
            <v>1000000000913</v>
          </cell>
          <cell r="C80" t="str">
            <v>Kunemax Grower</v>
          </cell>
          <cell r="D80" t="str">
            <v>White</v>
          </cell>
          <cell r="G80">
            <v>2</v>
          </cell>
          <cell r="H80">
            <v>5000000000401</v>
          </cell>
          <cell r="I80" t="str">
            <v>Packaging - Kunemax Grower Pellet, 25Kg</v>
          </cell>
          <cell r="K80">
            <v>5000000000443</v>
          </cell>
          <cell r="L80" t="str">
            <v>Tag - Kunemax Grower Pellet, 25Kg</v>
          </cell>
        </row>
        <row r="81">
          <cell r="B81">
            <v>1000000000914</v>
          </cell>
          <cell r="C81" t="str">
            <v>Kunemax Breeder</v>
          </cell>
          <cell r="D81" t="str">
            <v>White</v>
          </cell>
          <cell r="G81">
            <v>1</v>
          </cell>
          <cell r="H81">
            <v>5000000000400</v>
          </cell>
          <cell r="I81" t="str">
            <v>Packaging - Kunemax Breeder Pellet, 25Kg</v>
          </cell>
          <cell r="K81">
            <v>5000000000441</v>
          </cell>
          <cell r="L81" t="str">
            <v>Tag - Kunemax Breeder Pellet, 25Kg</v>
          </cell>
        </row>
        <row r="82">
          <cell r="B82">
            <v>1000000000934</v>
          </cell>
          <cell r="C82" t="str">
            <v>Gallimax Pigeon Pellet, 50Kg</v>
          </cell>
          <cell r="D82" t="str">
            <v>White</v>
          </cell>
          <cell r="G82">
            <v>1</v>
          </cell>
          <cell r="H82">
            <v>5000000000669</v>
          </cell>
          <cell r="I82" t="str">
            <v>Empty Sacks - Gallimax Pigeon Pellet</v>
          </cell>
          <cell r="K82">
            <v>5000000000668</v>
          </cell>
          <cell r="L82" t="str">
            <v>Tag - Gallimax Pigeon Pellet</v>
          </cell>
        </row>
        <row r="83">
          <cell r="B83">
            <v>1000000000939</v>
          </cell>
          <cell r="C83" t="str">
            <v>Classic Hog Growex, Pellet 50Kg</v>
          </cell>
          <cell r="D83" t="str">
            <v>White</v>
          </cell>
          <cell r="G83">
            <v>1</v>
          </cell>
          <cell r="H83">
            <v>5000000000355</v>
          </cell>
          <cell r="I83" t="str">
            <v>Classic Hog Growex, 50kg white PP bag</v>
          </cell>
          <cell r="K83">
            <v>5000000000352</v>
          </cell>
          <cell r="L83" t="str">
            <v>Tag - Classic Growex, Pellet 50kg</v>
          </cell>
        </row>
        <row r="84">
          <cell r="B84">
            <v>1000000000940</v>
          </cell>
          <cell r="C84" t="str">
            <v>Classic Finex</v>
          </cell>
          <cell r="D84" t="str">
            <v>White</v>
          </cell>
          <cell r="G84">
            <v>1</v>
          </cell>
          <cell r="H84">
            <v>5000000000351</v>
          </cell>
          <cell r="I84" t="str">
            <v>Packaging: Classic Hog Finex, 50kg white</v>
          </cell>
          <cell r="K84">
            <v>5000000000353</v>
          </cell>
          <cell r="L84" t="str">
            <v>Tag - Classic Finex, Pellet 50kg</v>
          </cell>
        </row>
        <row r="85">
          <cell r="B85">
            <v>1000000000941</v>
          </cell>
          <cell r="C85" t="str">
            <v>Classic Hog Startex, Mini Pellet 50Kg</v>
          </cell>
          <cell r="D85" t="str">
            <v>White</v>
          </cell>
          <cell r="G85">
            <v>1</v>
          </cell>
          <cell r="H85">
            <v>5000000000350</v>
          </cell>
          <cell r="I85" t="str">
            <v>Classic Hog Startex, 50kg white PP bag (NEW)</v>
          </cell>
          <cell r="K85">
            <v>5000000000354</v>
          </cell>
          <cell r="L85" t="str">
            <v>Tag - Classic Startex, Mini-pellet</v>
          </cell>
        </row>
        <row r="86">
          <cell r="B86">
            <v>1000000000964</v>
          </cell>
          <cell r="C86" t="str">
            <v>Poultry Solutions Chicken Layer 1 Csl Mash, 500Kg</v>
          </cell>
          <cell r="D86" t="str">
            <v>White</v>
          </cell>
          <cell r="G86">
            <v>12</v>
          </cell>
          <cell r="H86">
            <v>5000000000601</v>
          </cell>
          <cell r="I86" t="str">
            <v>Tote Bag 1000 kg</v>
          </cell>
          <cell r="L86" t="str">
            <v>-</v>
          </cell>
        </row>
        <row r="87">
          <cell r="B87">
            <v>1000000000967</v>
          </cell>
          <cell r="C87" t="str">
            <v>Poultry Solutions Pre Lay Mash, 500Kg.</v>
          </cell>
          <cell r="D87" t="str">
            <v>White</v>
          </cell>
          <cell r="G87">
            <v>12</v>
          </cell>
          <cell r="H87">
            <v>5000000000601</v>
          </cell>
          <cell r="I87" t="str">
            <v>Tote Bag 1000 kg</v>
          </cell>
        </row>
        <row r="88">
          <cell r="B88">
            <v>1000000000969</v>
          </cell>
          <cell r="C88" t="str">
            <v>Poultry Solutions Broiler Booster Md-P Crumble,</v>
          </cell>
          <cell r="D88" t="str">
            <v>Red White</v>
          </cell>
          <cell r="E88" t="str">
            <v>969 BSTR ABFI</v>
          </cell>
          <cell r="G88">
            <v>6</v>
          </cell>
          <cell r="H88">
            <v>5000000000557</v>
          </cell>
          <cell r="I88" t="str">
            <v>v2 - Poultry Solutions Broiler Booster, 50kg</v>
          </cell>
          <cell r="K88">
            <v>5000000000154</v>
          </cell>
          <cell r="L88" t="str">
            <v>Tag - Poultry Solutions Broiler Booster, 50kg</v>
          </cell>
        </row>
        <row r="89">
          <cell r="B89">
            <v>1000000000970</v>
          </cell>
          <cell r="C89" t="str">
            <v>Poultry Solutions Broiler Starter Md-P Crumble,</v>
          </cell>
          <cell r="D89" t="str">
            <v>Red White</v>
          </cell>
          <cell r="E89" t="str">
            <v>970 STR ABFI</v>
          </cell>
          <cell r="G89">
            <v>7</v>
          </cell>
          <cell r="H89">
            <v>5000000000558</v>
          </cell>
          <cell r="I89" t="str">
            <v>v2 - Poultry Solutions Broiler Starter, 50kg</v>
          </cell>
          <cell r="K89">
            <v>5000000000113</v>
          </cell>
          <cell r="L89" t="str">
            <v>Tag - Poultry Solutions Broiler Starter Crumble</v>
          </cell>
        </row>
        <row r="90">
          <cell r="B90">
            <v>1000000000971</v>
          </cell>
          <cell r="C90" t="str">
            <v>Poultry Solutions Broiler Finisher Md-P Cs Mini</v>
          </cell>
          <cell r="D90" t="str">
            <v>Red White</v>
          </cell>
          <cell r="E90" t="str">
            <v>971 FIN ABFI</v>
          </cell>
          <cell r="G90">
            <v>7</v>
          </cell>
          <cell r="H90">
            <v>5000000000559</v>
          </cell>
          <cell r="I90" t="str">
            <v>v2 - Poultry Solutions Broiler Finisher, 50kg</v>
          </cell>
          <cell r="K90">
            <v>5000000000115</v>
          </cell>
          <cell r="L90" t="str">
            <v>Tag - Poultry Solutions Broiler Finisher Crumble</v>
          </cell>
        </row>
        <row r="91">
          <cell r="B91">
            <v>1000000000979</v>
          </cell>
          <cell r="C91" t="str">
            <v>Poultry Solutions Chick Booster Breeder Crumble,</v>
          </cell>
          <cell r="D91" t="str">
            <v>White</v>
          </cell>
          <cell r="G91">
            <v>3</v>
          </cell>
          <cell r="H91">
            <v>5000000000560</v>
          </cell>
          <cell r="I91" t="str">
            <v>Sack Poultry Solutions Chick Booster</v>
          </cell>
          <cell r="K91">
            <v>5000000000124</v>
          </cell>
          <cell r="L91" t="str">
            <v>Tag - Poultry Solution Chick Booster Crumble</v>
          </cell>
        </row>
        <row r="92">
          <cell r="B92">
            <v>1000000000980</v>
          </cell>
          <cell r="C92" t="str">
            <v>Poultry Solutions Chick Starter Breeder Crumble,</v>
          </cell>
          <cell r="D92" t="str">
            <v>Green</v>
          </cell>
          <cell r="E92" t="str">
            <v>980 CHCK STR BR</v>
          </cell>
          <cell r="G92">
            <v>15</v>
          </cell>
          <cell r="H92">
            <v>5000000000561</v>
          </cell>
          <cell r="I92" t="str">
            <v>v2 - Poultry Solutions Chick Starter, 50</v>
          </cell>
          <cell r="K92">
            <v>5000000000125</v>
          </cell>
          <cell r="L92" t="str">
            <v>Tag - Poultry Solutions Chick Starter Crumble</v>
          </cell>
        </row>
        <row r="93">
          <cell r="B93">
            <v>1000000000981</v>
          </cell>
          <cell r="C93" t="str">
            <v>Poultry Solutions Chick Grower Breeder Crumble, 50Kg</v>
          </cell>
          <cell r="D93" t="str">
            <v>Green</v>
          </cell>
          <cell r="E93" t="str">
            <v>981 CHICK GR BR</v>
          </cell>
          <cell r="G93">
            <v>14</v>
          </cell>
          <cell r="H93">
            <v>5000000000562</v>
          </cell>
          <cell r="I93" t="str">
            <v>Sack Poultry Sol Chick Growex 1, 50kg</v>
          </cell>
          <cell r="K93">
            <v>5000000000122</v>
          </cell>
          <cell r="L93" t="str">
            <v>Tag - Poultry Solutions Chick Grower 1 Crumble</v>
          </cell>
        </row>
        <row r="94">
          <cell r="B94">
            <v>1000000000982</v>
          </cell>
          <cell r="C94" t="str">
            <v>Poultry Solutions Pre-Lay Breeder Crumble, 50Kg</v>
          </cell>
          <cell r="D94" t="str">
            <v>Green</v>
          </cell>
          <cell r="E94" t="str">
            <v>982 PS Pre-lay BRdr Cr</v>
          </cell>
          <cell r="G94">
            <v>6</v>
          </cell>
          <cell r="H94">
            <v>5000000000563</v>
          </cell>
          <cell r="I94" t="str">
            <v>v2 - Poultry Solutions Pre-Layer 50kg</v>
          </cell>
          <cell r="K94">
            <v>5000000000615</v>
          </cell>
          <cell r="L94" t="str">
            <v>Tag - Poultry Solutions Pre-Lay Crumble, 50kg</v>
          </cell>
        </row>
        <row r="95">
          <cell r="B95">
            <v>1000000000983</v>
          </cell>
          <cell r="C95" t="str">
            <v>Poultry Solutions Breeder Layer 1 Crumble, 50Kg</v>
          </cell>
          <cell r="D95" t="str">
            <v>Green</v>
          </cell>
          <cell r="E95" t="str">
            <v>983 COBB L-1</v>
          </cell>
          <cell r="G95">
            <v>6</v>
          </cell>
          <cell r="H95">
            <v>5000000000555</v>
          </cell>
          <cell r="I95" t="str">
            <v>v2 - Poultry Solutions Breeder Layer 1, 50kg</v>
          </cell>
          <cell r="K95">
            <v>5000000000614</v>
          </cell>
          <cell r="L95" t="str">
            <v>Poultry Solutions Breeder Layer 1 Crumble, 50kg</v>
          </cell>
        </row>
        <row r="96">
          <cell r="B96">
            <v>1000000000984</v>
          </cell>
          <cell r="C96" t="str">
            <v>Poultry Solutions Breeder Layer 2 Crumble, 50Kg</v>
          </cell>
          <cell r="D96" t="str">
            <v>Green</v>
          </cell>
          <cell r="E96" t="str">
            <v>984 - L 2</v>
          </cell>
          <cell r="G96">
            <v>6</v>
          </cell>
          <cell r="H96">
            <v>5000000000983</v>
          </cell>
          <cell r="I96" t="str">
            <v>v2 - Poultry Solutions Breeder Layer 2, 50kg</v>
          </cell>
          <cell r="K96">
            <v>5000000000117</v>
          </cell>
          <cell r="L96" t="str">
            <v>Tag Poultry Solutions Chicken Layer 2</v>
          </cell>
        </row>
        <row r="97">
          <cell r="B97">
            <v>1000000000985</v>
          </cell>
          <cell r="C97" t="str">
            <v>Poultry Solutions Breeder Layer Male Crumble, 50Kg</v>
          </cell>
          <cell r="D97" t="str">
            <v>Green</v>
          </cell>
          <cell r="E97">
            <v>985</v>
          </cell>
          <cell r="G97">
            <v>4</v>
          </cell>
          <cell r="H97">
            <v>5000000000556</v>
          </cell>
          <cell r="I97" t="str">
            <v>v2 - Poultry Solutions Breeder Layer Male, 50kg</v>
          </cell>
          <cell r="K97">
            <v>5000000000498</v>
          </cell>
          <cell r="L97" t="str">
            <v>Tag - Poultry Breeder Layer Male, Mash</v>
          </cell>
        </row>
        <row r="98">
          <cell r="B98">
            <v>1000000001008</v>
          </cell>
          <cell r="C98" t="str">
            <v>Poultry Solutions Chicken Layer 1 Mash, 500Kg</v>
          </cell>
          <cell r="D98" t="str">
            <v>White</v>
          </cell>
          <cell r="G98">
            <v>12</v>
          </cell>
          <cell r="H98">
            <v>5000000000601</v>
          </cell>
          <cell r="I98" t="str">
            <v>Tote Bag 1000 kg</v>
          </cell>
          <cell r="L98" t="str">
            <v>-</v>
          </cell>
        </row>
        <row r="99">
          <cell r="B99">
            <v>1000000001009</v>
          </cell>
          <cell r="C99" t="str">
            <v>Poultry Solutions Chicken Layer 2 Mash, 500Kg</v>
          </cell>
          <cell r="D99" t="str">
            <v>White</v>
          </cell>
          <cell r="G99">
            <v>12</v>
          </cell>
          <cell r="H99">
            <v>5000000000601</v>
          </cell>
          <cell r="I99" t="str">
            <v>Tote Bag 1000 kg</v>
          </cell>
          <cell r="L99" t="str">
            <v>-</v>
          </cell>
        </row>
        <row r="100">
          <cell r="B100">
            <v>1000000001010</v>
          </cell>
          <cell r="C100" t="str">
            <v>Poultry Solutions Chicken Layer 3 Mash, 500Kg</v>
          </cell>
          <cell r="D100" t="str">
            <v>White</v>
          </cell>
          <cell r="G100">
            <v>12</v>
          </cell>
          <cell r="H100">
            <v>5000000000601</v>
          </cell>
          <cell r="I100" t="str">
            <v>Tote Bag 1000 kg</v>
          </cell>
          <cell r="L100" t="str">
            <v>-</v>
          </cell>
        </row>
        <row r="101">
          <cell r="B101">
            <v>1000000001014</v>
          </cell>
          <cell r="C101" t="str">
            <v>Poultry Solutions Pre-Lay Breeder Mash, 50Kg</v>
          </cell>
          <cell r="D101" t="str">
            <v>Orange</v>
          </cell>
          <cell r="E101" t="str">
            <v>1014 - P-L Brdr</v>
          </cell>
          <cell r="G101">
            <v>7</v>
          </cell>
          <cell r="H101">
            <v>5000000000038</v>
          </cell>
          <cell r="I101" t="str">
            <v>Empty Sack - Plain White Sacks 50 kg</v>
          </cell>
          <cell r="L101" t="str">
            <v>None</v>
          </cell>
        </row>
        <row r="102">
          <cell r="B102">
            <v>1000000001015</v>
          </cell>
          <cell r="C102" t="str">
            <v>Poultry Solutions Breeder Layer 1 Mash, 50Kg</v>
          </cell>
          <cell r="D102" t="str">
            <v>Orange</v>
          </cell>
          <cell r="E102" t="str">
            <v xml:space="preserve">1015 - Brdr L -1 </v>
          </cell>
          <cell r="G102">
            <v>6</v>
          </cell>
          <cell r="H102">
            <v>5000000000555</v>
          </cell>
          <cell r="I102" t="str">
            <v>v2 - Poultry Solutions Breeder Layer 1, 50kg</v>
          </cell>
          <cell r="K102">
            <v>5000000000187</v>
          </cell>
          <cell r="L102" t="str">
            <v>Tag - Poultry Solutions Breeder Layer 1 Mash, 50kg</v>
          </cell>
        </row>
        <row r="103">
          <cell r="B103">
            <v>1000000001016</v>
          </cell>
          <cell r="C103" t="str">
            <v>Poultry Solutions Breeder Layer Male Mash, 50Kg</v>
          </cell>
          <cell r="D103" t="str">
            <v>Orange</v>
          </cell>
          <cell r="E103" t="str">
            <v>1016 - Brdr L Male</v>
          </cell>
          <cell r="G103">
            <v>0</v>
          </cell>
        </row>
        <row r="104">
          <cell r="B104">
            <v>1000000001087</v>
          </cell>
          <cell r="C104" t="str">
            <v>Supremecon Hog Protein Concentrate Mash (Lm)</v>
          </cell>
          <cell r="D104" t="str">
            <v>White Orange</v>
          </cell>
          <cell r="E104" t="str">
            <v>1087 LM</v>
          </cell>
          <cell r="G104">
            <v>4</v>
          </cell>
          <cell r="H104">
            <v>5000000000399</v>
          </cell>
          <cell r="I104" t="str">
            <v>Packaging - Hog Supremecon Growmix / Gestamix / Lactamix</v>
          </cell>
        </row>
        <row r="105">
          <cell r="B105">
            <v>1000000001088</v>
          </cell>
          <cell r="C105" t="str">
            <v>Supremecon Hog Protein Concentrates Gestation, 50Kg</v>
          </cell>
          <cell r="D105" t="str">
            <v>Green</v>
          </cell>
          <cell r="E105">
            <v>1088</v>
          </cell>
          <cell r="G105">
            <v>4</v>
          </cell>
          <cell r="H105">
            <v>5000000000399</v>
          </cell>
          <cell r="I105" t="str">
            <v>Packaging - Hog Supremecon Growmix / Gestamix / Lactamix</v>
          </cell>
          <cell r="K105">
            <v>5000000000449</v>
          </cell>
          <cell r="L105" t="str">
            <v>Tag - Supremecon Hog Protein Concentrate Gestamix Mash, 25kg</v>
          </cell>
        </row>
        <row r="106">
          <cell r="B106">
            <v>1000000001089</v>
          </cell>
          <cell r="C106" t="str">
            <v>Supremecon Hog Protein Concentrates Lactation, 50Kg</v>
          </cell>
          <cell r="D106" t="str">
            <v>Orange</v>
          </cell>
          <cell r="E106">
            <v>1089</v>
          </cell>
          <cell r="G106">
            <v>4</v>
          </cell>
          <cell r="H106">
            <v>5000000000399</v>
          </cell>
          <cell r="I106" t="str">
            <v>Packaging - Hog Supremecon Growmix / Gestamix / Lactamix</v>
          </cell>
          <cell r="K106">
            <v>5000000000448</v>
          </cell>
          <cell r="L106" t="str">
            <v>Tag - Supremecon Hog Protein Concentrate Lactamix Mash, 25kg</v>
          </cell>
        </row>
        <row r="107">
          <cell r="B107">
            <v>1000000001116</v>
          </cell>
          <cell r="C107" t="str">
            <v>Poultry Solutions Chick Booster 50Kg.</v>
          </cell>
          <cell r="D107" t="str">
            <v>Blue</v>
          </cell>
          <cell r="E107" t="str">
            <v>1116 - CHK BSTR</v>
          </cell>
          <cell r="G107">
            <v>3</v>
          </cell>
          <cell r="H107">
            <v>5000000000560</v>
          </cell>
          <cell r="I107" t="str">
            <v>Sack Poultry Solutions Chick Booster</v>
          </cell>
          <cell r="K107">
            <v>5000000000124</v>
          </cell>
          <cell r="L107" t="str">
            <v>Tag - Poultry Solution Chick Booster Crumble</v>
          </cell>
        </row>
        <row r="108">
          <cell r="B108">
            <v>1000000001121</v>
          </cell>
          <cell r="C108" t="str">
            <v>Pork Solution Hog Booster Mash Plus,25 Kg</v>
          </cell>
          <cell r="D108" t="str">
            <v>Red</v>
          </cell>
          <cell r="E108" t="str">
            <v>1121 PLUS</v>
          </cell>
          <cell r="G108">
            <v>5</v>
          </cell>
          <cell r="H108">
            <v>5000000000055</v>
          </cell>
          <cell r="I108" t="str">
            <v>Pork Solution Hog Booster 25kg</v>
          </cell>
          <cell r="K108">
            <v>5000000000109</v>
          </cell>
          <cell r="L108" t="str">
            <v>Tag Pork Sol Hog Booster M 50kg</v>
          </cell>
        </row>
        <row r="109">
          <cell r="B109">
            <v>1000000001122</v>
          </cell>
          <cell r="C109" t="str">
            <v>Poultry Solutions Chick Starter 50Kg_Bfc</v>
          </cell>
          <cell r="D109" t="str">
            <v>White</v>
          </cell>
          <cell r="E109" t="str">
            <v>1122 - CHK STR</v>
          </cell>
          <cell r="G109">
            <v>15</v>
          </cell>
          <cell r="H109">
            <v>5000000000561</v>
          </cell>
          <cell r="I109" t="str">
            <v>v2 - Poultry Solutions Chick Starter, 50</v>
          </cell>
          <cell r="K109">
            <v>5000000000125</v>
          </cell>
          <cell r="L109" t="str">
            <v>Tag - Poultry Solutions Chick Starter Crumble</v>
          </cell>
        </row>
        <row r="110">
          <cell r="B110">
            <v>1000000001123</v>
          </cell>
          <cell r="C110" t="str">
            <v>Poultry Solutions Pre-Layer 50Kg.</v>
          </cell>
          <cell r="D110" t="str">
            <v>Yellow</v>
          </cell>
          <cell r="E110" t="str">
            <v>1123 PS Pre-layer</v>
          </cell>
          <cell r="G110">
            <v>6</v>
          </cell>
          <cell r="H110">
            <v>5000000000563</v>
          </cell>
          <cell r="I110" t="str">
            <v>v2 - Poultry Solutions Pre-Layer 50kg</v>
          </cell>
          <cell r="K110">
            <v>5000000000615</v>
          </cell>
          <cell r="L110" t="str">
            <v>Tag - Poultry Solutions Pre-Lay Crumble, 50kg</v>
          </cell>
        </row>
        <row r="111">
          <cell r="B111">
            <v>1000000001126</v>
          </cell>
          <cell r="C111" t="str">
            <v>Poultry Solutions Layer 1 50Kg.</v>
          </cell>
          <cell r="D111" t="str">
            <v>White</v>
          </cell>
          <cell r="E111">
            <v>1126</v>
          </cell>
          <cell r="G111">
            <v>8</v>
          </cell>
          <cell r="H111">
            <v>5000000000564</v>
          </cell>
          <cell r="I111" t="str">
            <v>v2 - Poultry Solutions Layer 1, 50kg</v>
          </cell>
          <cell r="K111">
            <v>5000000000116</v>
          </cell>
          <cell r="L111" t="str">
            <v>Tag - Poultry Solutions Chicken Layer 1 Crumble</v>
          </cell>
        </row>
        <row r="112">
          <cell r="B112">
            <v>1000000001240</v>
          </cell>
          <cell r="C112" t="str">
            <v>Poultry Solutions Chicken Layer 1 Mf, Crumble 50Kg</v>
          </cell>
          <cell r="D112" t="str">
            <v>Green Yellow</v>
          </cell>
          <cell r="E112" t="str">
            <v>1240 L -1</v>
          </cell>
          <cell r="G112">
            <v>8</v>
          </cell>
          <cell r="H112">
            <v>5000000000564</v>
          </cell>
          <cell r="I112" t="str">
            <v>v2 - Poultry Solutions Layer 1, 50kg</v>
          </cell>
          <cell r="K112">
            <v>5000000000116</v>
          </cell>
          <cell r="L112" t="str">
            <v>Tag - Poultry Solutions Chicken Layer 1 Crumble</v>
          </cell>
        </row>
        <row r="113">
          <cell r="B113">
            <v>1000000001251</v>
          </cell>
          <cell r="C113" t="str">
            <v>Poultry Solutions Chick Booster Mash, 50Kg</v>
          </cell>
          <cell r="D113" t="str">
            <v>Orange</v>
          </cell>
          <cell r="E113" t="str">
            <v>1251 - CHK BSTR</v>
          </cell>
          <cell r="G113">
            <v>3</v>
          </cell>
          <cell r="H113">
            <v>5000000000560</v>
          </cell>
          <cell r="I113" t="str">
            <v>Sack Poultry Solutions Chick Booster</v>
          </cell>
          <cell r="K113">
            <v>5000000000124</v>
          </cell>
          <cell r="L113" t="str">
            <v>Tag - Poultry Solution Chick Booster Crumble</v>
          </cell>
        </row>
        <row r="114">
          <cell r="B114">
            <v>1000000001252</v>
          </cell>
          <cell r="C114" t="str">
            <v>Poultry Solutions Chick Starter Mash, 50Kg</v>
          </cell>
          <cell r="D114" t="str">
            <v>Orange</v>
          </cell>
          <cell r="E114" t="str">
            <v>1252 - CHK STR</v>
          </cell>
          <cell r="G114">
            <v>15</v>
          </cell>
          <cell r="H114">
            <v>5000000000561</v>
          </cell>
          <cell r="I114" t="str">
            <v>v2 - Poultry Solutions Chick Starter, 50</v>
          </cell>
          <cell r="K114">
            <v>5000000000125</v>
          </cell>
          <cell r="L114" t="str">
            <v>Tag - Poultry Solutions Chick Starter Crumble</v>
          </cell>
        </row>
        <row r="115">
          <cell r="B115">
            <v>1000000001253</v>
          </cell>
          <cell r="C115" t="str">
            <v>Poultry Solutions Chick Grower 1 Mash, 50Kg</v>
          </cell>
          <cell r="D115" t="str">
            <v>Orange Green</v>
          </cell>
          <cell r="E115" t="str">
            <v>1253 CG 1</v>
          </cell>
          <cell r="G115">
            <v>14</v>
          </cell>
          <cell r="H115">
            <v>5000000000562</v>
          </cell>
          <cell r="I115" t="str">
            <v>Sack Poultry Sol Chick Growex 1, 50kg</v>
          </cell>
          <cell r="K115">
            <v>5000000000122</v>
          </cell>
          <cell r="L115" t="str">
            <v>Tag - Poultry Solutions Chick Grower 1 Crumble</v>
          </cell>
        </row>
        <row r="116">
          <cell r="B116">
            <v>1000000001254</v>
          </cell>
          <cell r="C116" t="str">
            <v>Poultry Solutions Chick Grower 2 Mash, 50Kg</v>
          </cell>
          <cell r="D116" t="str">
            <v>Orange</v>
          </cell>
          <cell r="E116" t="str">
            <v>1254 CG 2</v>
          </cell>
          <cell r="G116">
            <v>14</v>
          </cell>
          <cell r="H116">
            <v>5000000000562</v>
          </cell>
          <cell r="I116" t="str">
            <v>Sack Poultry Sol Chick Growex 1, 50kg</v>
          </cell>
          <cell r="K116">
            <v>5000000000122</v>
          </cell>
          <cell r="L116" t="str">
            <v>Tag - Poultry Solutions Chick Grower 1 Crumble</v>
          </cell>
        </row>
        <row r="117">
          <cell r="B117">
            <v>1000000001255</v>
          </cell>
          <cell r="C117" t="str">
            <v>Poultry Solutions Pre-Lay Mash, 50Kg</v>
          </cell>
          <cell r="D117" t="str">
            <v>Orange</v>
          </cell>
          <cell r="E117" t="str">
            <v>1255 PS Pre-lay</v>
          </cell>
          <cell r="G117">
            <v>4</v>
          </cell>
          <cell r="H117">
            <v>5000000000610</v>
          </cell>
          <cell r="I117" t="str">
            <v>Sack Plain white PP 26x45</v>
          </cell>
          <cell r="K117">
            <v>5000000000616</v>
          </cell>
          <cell r="L117" t="str">
            <v>Tag - Poultry Solutions Pre-lay Mash, 50kg</v>
          </cell>
        </row>
        <row r="118">
          <cell r="B118">
            <v>1000000001256</v>
          </cell>
          <cell r="C118" t="str">
            <v>Poultry Solution Layer 1 Mash, 50Kg</v>
          </cell>
          <cell r="D118" t="str">
            <v>Orange</v>
          </cell>
          <cell r="E118" t="str">
            <v xml:space="preserve">1256 PS L 1 </v>
          </cell>
          <cell r="G118">
            <v>8</v>
          </cell>
          <cell r="H118">
            <v>5000000000564</v>
          </cell>
          <cell r="I118" t="str">
            <v>v2 - Poultry Solutions Layer 1, 50kg</v>
          </cell>
          <cell r="K118">
            <v>5000000000116</v>
          </cell>
          <cell r="L118" t="str">
            <v>Tag - Poultry Solutions Chicken Layer 1 Crumble</v>
          </cell>
        </row>
        <row r="119">
          <cell r="B119">
            <v>1000000001257</v>
          </cell>
          <cell r="C119" t="str">
            <v>Poultry Solution Layer 2 Mash, 50Kg</v>
          </cell>
          <cell r="D119" t="str">
            <v>Orange</v>
          </cell>
          <cell r="E119" t="str">
            <v>1257 PS L 2</v>
          </cell>
          <cell r="G119">
            <v>7</v>
          </cell>
          <cell r="H119">
            <v>5000000000565</v>
          </cell>
          <cell r="I119" t="str">
            <v>v2 - Poultry Solutions Layer 2 50kg.</v>
          </cell>
          <cell r="K119">
            <v>5000000000117</v>
          </cell>
          <cell r="L119" t="str">
            <v>Tag Poultry Solution Chicken Layer II (C)</v>
          </cell>
        </row>
        <row r="120">
          <cell r="B120">
            <v>1000000001387</v>
          </cell>
          <cell r="C120" t="str">
            <v>Gallimax 2 Plus (Red) Ready Mix, 50Kg</v>
          </cell>
          <cell r="D120" t="str">
            <v>Red</v>
          </cell>
          <cell r="G120">
            <v>1</v>
          </cell>
          <cell r="H120">
            <v>5000000000658</v>
          </cell>
          <cell r="I120" t="str">
            <v>Empty Sacks - Gallimax 2 Plus Developer Plus</v>
          </cell>
          <cell r="K120">
            <v>5000000000152</v>
          </cell>
          <cell r="L120" t="str">
            <v>Tag - Gallimax 2 Plus Ready Mix, 50kg</v>
          </cell>
        </row>
        <row r="121">
          <cell r="B121">
            <v>1000000001401</v>
          </cell>
          <cell r="C121" t="str">
            <v>Pork Solutions Gestation H, Pellet 50Kg</v>
          </cell>
          <cell r="D121" t="str">
            <v>White Blue</v>
          </cell>
          <cell r="E121">
            <v>1401</v>
          </cell>
          <cell r="G121">
            <v>5</v>
          </cell>
          <cell r="H121">
            <v>5000000000052</v>
          </cell>
          <cell r="I121" t="str">
            <v>Sack Pork Solutions Breeder Hog 50kg</v>
          </cell>
          <cell r="K121">
            <v>5000000000106</v>
          </cell>
          <cell r="L121" t="str">
            <v>Tag - Pork Solutions Breeder Hog Gestation Pellet</v>
          </cell>
        </row>
        <row r="122">
          <cell r="B122">
            <v>1000000001402</v>
          </cell>
          <cell r="C122" t="str">
            <v>Pork Solutions Gestation H, Mash 50Kg</v>
          </cell>
          <cell r="D122" t="str">
            <v>White Orange</v>
          </cell>
          <cell r="E122">
            <v>1402</v>
          </cell>
          <cell r="G122">
            <v>5</v>
          </cell>
          <cell r="H122">
            <v>5000000000052</v>
          </cell>
          <cell r="I122" t="str">
            <v>Pork Solution Breeder Hog (Gestation)</v>
          </cell>
          <cell r="K122">
            <v>5000000000111</v>
          </cell>
          <cell r="L122" t="str">
            <v>Tag - Pork Solutions Breeder Hog Gestation Mash</v>
          </cell>
        </row>
        <row r="123">
          <cell r="B123">
            <v>1000000001403</v>
          </cell>
          <cell r="C123" t="str">
            <v>Pork Solutions Lactation H, Pellet 50Kg</v>
          </cell>
          <cell r="D123" t="str">
            <v>White Blue</v>
          </cell>
          <cell r="E123">
            <v>1403</v>
          </cell>
          <cell r="G123">
            <v>4</v>
          </cell>
          <cell r="H123">
            <v>5000000000053</v>
          </cell>
          <cell r="I123" t="str">
            <v>Sack Pork Solutions Breeder Hog 50kg</v>
          </cell>
          <cell r="K123">
            <v>5000000000107</v>
          </cell>
          <cell r="L123" t="str">
            <v>Tag - Pork Solutions Breeder Hog Lactat Pelletion</v>
          </cell>
        </row>
        <row r="124">
          <cell r="B124">
            <v>1000000001404</v>
          </cell>
          <cell r="C124" t="str">
            <v>Pork Solutions Lactation H, Mash 50Kg</v>
          </cell>
          <cell r="D124" t="str">
            <v>White Orange</v>
          </cell>
          <cell r="E124">
            <v>1404</v>
          </cell>
          <cell r="G124">
            <v>4</v>
          </cell>
          <cell r="H124">
            <v>5000000000053</v>
          </cell>
          <cell r="I124" t="str">
            <v>Empty Sack - Pork Solutions Breeder Hog Lactation, 50 kg</v>
          </cell>
          <cell r="K124">
            <v>5000000000112</v>
          </cell>
          <cell r="L124" t="str">
            <v>Tag - Pork Solutions Breeder Hog Lactation Mash</v>
          </cell>
        </row>
        <row r="125">
          <cell r="B125">
            <v>1000000001474</v>
          </cell>
          <cell r="C125" t="str">
            <v>Salto Stag Conditioner (Bundle Of 25 Pieces)</v>
          </cell>
          <cell r="D125" t="str">
            <v>White</v>
          </cell>
          <cell r="G125">
            <v>1</v>
          </cell>
          <cell r="H125">
            <v>5000000000665</v>
          </cell>
          <cell r="I125" t="str">
            <v>Empty Sack - Salto Stag Conditioner 1kg Packaging</v>
          </cell>
          <cell r="K125">
            <v>5000000000130</v>
          </cell>
          <cell r="L125" t="str">
            <v>Tag - Salto Bundle Pack</v>
          </cell>
        </row>
        <row r="126">
          <cell r="B126">
            <v>1000000001475</v>
          </cell>
          <cell r="C126" t="str">
            <v>Salto Power Pellet 1Kg (Bundle Of 25 Pieces)</v>
          </cell>
          <cell r="D126" t="str">
            <v>White</v>
          </cell>
          <cell r="G126">
            <v>1</v>
          </cell>
          <cell r="H126">
            <v>5000000000666</v>
          </cell>
          <cell r="I126" t="str">
            <v>Empty Sack - Salto Power Pellet 1kg Packaging</v>
          </cell>
          <cell r="K126">
            <v>5000000000130</v>
          </cell>
          <cell r="L126" t="str">
            <v>Tag - Salto Bundle Pack</v>
          </cell>
        </row>
        <row r="127">
          <cell r="B127">
            <v>1000000001494</v>
          </cell>
          <cell r="C127" t="str">
            <v>Poultry Express Chick Boostex Crumble, 50 Kg</v>
          </cell>
          <cell r="D127" t="str">
            <v>White</v>
          </cell>
          <cell r="G127">
            <v>1</v>
          </cell>
          <cell r="H127">
            <v>5000000000008</v>
          </cell>
          <cell r="I127" t="str">
            <v>v2 - Poultry Express Chick Boostex, 50 kg</v>
          </cell>
          <cell r="K127">
            <v>5000000000674</v>
          </cell>
          <cell r="L127" t="str">
            <v>Tag P/E Chick Boostex Crumble</v>
          </cell>
        </row>
        <row r="128">
          <cell r="B128">
            <v>1000000001495</v>
          </cell>
          <cell r="C128" t="str">
            <v>Poultry Express Broiler Finex Cs Pellet, 50 Kg</v>
          </cell>
          <cell r="D128" t="str">
            <v>Red</v>
          </cell>
          <cell r="G128">
            <v>2</v>
          </cell>
          <cell r="H128">
            <v>5000000000545</v>
          </cell>
          <cell r="I128" t="str">
            <v>v2 - Poultry Express Broiler Finex, 50 kg</v>
          </cell>
          <cell r="K128">
            <v>5000000000094</v>
          </cell>
          <cell r="L128" t="str">
            <v>Tag - P/E Broiler Finex Crumble</v>
          </cell>
        </row>
        <row r="129">
          <cell r="B129">
            <v>1000000001496</v>
          </cell>
          <cell r="C129" t="str">
            <v>Poultry Express Chick Growex Crumble, 50 Kg</v>
          </cell>
          <cell r="D129" t="str">
            <v>White</v>
          </cell>
          <cell r="G129">
            <v>1</v>
          </cell>
          <cell r="H129">
            <v>5000000000546</v>
          </cell>
          <cell r="I129" t="str">
            <v>v2 - Poultry Express Chick Growex, 50 kg</v>
          </cell>
          <cell r="K129">
            <v>5000000000675</v>
          </cell>
          <cell r="L129" t="str">
            <v>Tag - P/E Chick Growex Crumble</v>
          </cell>
        </row>
        <row r="130">
          <cell r="B130">
            <v>1000000001497</v>
          </cell>
          <cell r="C130" t="str">
            <v>Poultry Express Chicken Layer Crumble, 50 Kg</v>
          </cell>
          <cell r="D130" t="str">
            <v>White</v>
          </cell>
          <cell r="G130">
            <v>1</v>
          </cell>
          <cell r="H130">
            <v>5000000000548</v>
          </cell>
          <cell r="I130" t="str">
            <v>v2 - Poultry Express Chicken Layer, 50 kg</v>
          </cell>
          <cell r="K130">
            <v>5000000000676</v>
          </cell>
          <cell r="L130" t="str">
            <v>Tag - P/E Chicken Layex Crumble</v>
          </cell>
        </row>
        <row r="131">
          <cell r="B131">
            <v>1000000001507</v>
          </cell>
          <cell r="C131" t="str">
            <v>Pork Solutions Hog Pre-Starter Mash, 50 Kg</v>
          </cell>
          <cell r="D131" t="str">
            <v>Orange Yellow</v>
          </cell>
          <cell r="E131">
            <v>1507</v>
          </cell>
          <cell r="G131">
            <v>5</v>
          </cell>
          <cell r="H131">
            <v>5000000000057</v>
          </cell>
          <cell r="I131" t="str">
            <v>Empty Sack - Pork Solutions Pre-starter Mini Pellet ,50kg</v>
          </cell>
          <cell r="K131">
            <v>5000000000102</v>
          </cell>
          <cell r="L131" t="str">
            <v>Tag Pork Sol Hog Pre-Starter 1 MP 50Kg</v>
          </cell>
        </row>
        <row r="132">
          <cell r="B132">
            <v>1000000001509</v>
          </cell>
          <cell r="C132" t="str">
            <v>Supremecon Hog Protein Concentrate Mash 50Kg</v>
          </cell>
          <cell r="D132" t="str">
            <v>White</v>
          </cell>
          <cell r="G132">
            <v>4</v>
          </cell>
          <cell r="H132">
            <v>5000000000399</v>
          </cell>
          <cell r="I132" t="str">
            <v>Packaging - Hog Supremecon Growmix / Gestamix / Lactamix</v>
          </cell>
          <cell r="K132">
            <v>5000000000444</v>
          </cell>
          <cell r="L132" t="str">
            <v>Tags - Supremecon Hog Protein Concentrate Growmix Mash, 25kg</v>
          </cell>
        </row>
        <row r="133">
          <cell r="B133">
            <v>1000000001605</v>
          </cell>
          <cell r="C133" t="str">
            <v>Powerheal Crumble, 1X25Kg</v>
          </cell>
          <cell r="D133" t="str">
            <v>White</v>
          </cell>
          <cell r="E133">
            <v>1605</v>
          </cell>
          <cell r="G133">
            <v>0</v>
          </cell>
          <cell r="I133" t="str">
            <v>Empty Sack - Powerheal Crumble, 1kg</v>
          </cell>
          <cell r="L133" t="str">
            <v>-</v>
          </cell>
        </row>
        <row r="134">
          <cell r="B134">
            <v>1000000001636</v>
          </cell>
          <cell r="C134" t="str">
            <v>Poultry Sol Breeder Grower  2 Cr 50Kg</v>
          </cell>
          <cell r="D134" t="str">
            <v>White Orange</v>
          </cell>
          <cell r="E134" t="str">
            <v>1636 PS Brdr Gr 2 Cr</v>
          </cell>
          <cell r="G134">
            <v>14</v>
          </cell>
          <cell r="H134">
            <v>5000000000562</v>
          </cell>
          <cell r="I134" t="str">
            <v>Sack Poultry Sol Chick Growex 1, 50kg</v>
          </cell>
          <cell r="K134">
            <v>5000000000123</v>
          </cell>
          <cell r="L134" t="str">
            <v>Tag Poultry Solution Chick Grower II</v>
          </cell>
        </row>
        <row r="135">
          <cell r="B135">
            <v>1000000001659</v>
          </cell>
          <cell r="C135" t="str">
            <v>Poultry Solutions Chick Starter Breeder 2 Crumble, 50Kg</v>
          </cell>
          <cell r="D135" t="str">
            <v>Red</v>
          </cell>
          <cell r="E135" t="str">
            <v>1659 CHK STR BR 2</v>
          </cell>
          <cell r="G135">
            <v>15</v>
          </cell>
          <cell r="H135">
            <v>5000000000561</v>
          </cell>
          <cell r="I135" t="str">
            <v>v2 - Poultry Solutions Chick Starter, 50</v>
          </cell>
          <cell r="K135">
            <v>5000000000125</v>
          </cell>
          <cell r="L135" t="str">
            <v>Tag - Poultry Solutions Chick Starter Crumble</v>
          </cell>
        </row>
        <row r="136">
          <cell r="B136">
            <v>1000000001664</v>
          </cell>
          <cell r="C136" t="str">
            <v>Pork Solution Hog Booster Mash, 25 Kg</v>
          </cell>
          <cell r="D136" t="str">
            <v>Orange</v>
          </cell>
          <cell r="E136">
            <v>1664</v>
          </cell>
          <cell r="G136">
            <v>5</v>
          </cell>
          <cell r="H136">
            <v>5000000000055</v>
          </cell>
          <cell r="I136" t="str">
            <v>Pork Solution Hog Booster 25kg</v>
          </cell>
          <cell r="K136">
            <v>5000000000109</v>
          </cell>
          <cell r="L136" t="str">
            <v>Pork Solutions Hog Booster Mash</v>
          </cell>
        </row>
        <row r="137">
          <cell r="B137">
            <v>1000000001666</v>
          </cell>
          <cell r="C137" t="str">
            <v>ELITE XP RFG PRE STARTER</v>
          </cell>
          <cell r="D137" t="str">
            <v>Green</v>
          </cell>
          <cell r="E137" t="str">
            <v>PS T2</v>
          </cell>
          <cell r="G137">
            <v>0</v>
          </cell>
        </row>
        <row r="138">
          <cell r="B138">
            <v>1000000001696</v>
          </cell>
          <cell r="C138" t="str">
            <v>Elite Xp Grower 2 ,50 Kg  T3</v>
          </cell>
          <cell r="D138" t="str">
            <v>Green</v>
          </cell>
          <cell r="F138" t="str">
            <v>XP G2 T3</v>
          </cell>
          <cell r="G138">
            <v>2</v>
          </cell>
          <cell r="H138">
            <v>5000000000421</v>
          </cell>
          <cell r="I138" t="str">
            <v>Elite XP Hog Growex  2 50kg. Mocha PP bag</v>
          </cell>
          <cell r="K138">
            <v>5000000000475</v>
          </cell>
          <cell r="L138" t="str">
            <v>Tag- Elite XP Growex 2, Pellet 50 kg</v>
          </cell>
        </row>
        <row r="139">
          <cell r="B139">
            <v>1000000001697</v>
          </cell>
          <cell r="C139" t="str">
            <v>Elite Xp Pre-Starter 25Kg T3</v>
          </cell>
          <cell r="D139" t="str">
            <v>Yellow</v>
          </cell>
          <cell r="F139" t="str">
            <v>1697 - PS T2</v>
          </cell>
          <cell r="G139">
            <v>2</v>
          </cell>
          <cell r="H139">
            <v>5000000000422</v>
          </cell>
          <cell r="I139" t="str">
            <v>Elite XP Hog Pre-startex, 25kg mocha PP bag</v>
          </cell>
          <cell r="K139">
            <v>5000000000478</v>
          </cell>
          <cell r="L139" t="str">
            <v>Tag- Elite XP Pre-Starter Mini-Pellet, Pellet 50 kg</v>
          </cell>
        </row>
        <row r="140">
          <cell r="B140">
            <v>1000000001715</v>
          </cell>
          <cell r="C140" t="str">
            <v>ELITE XP RFG GROWER 2</v>
          </cell>
          <cell r="D140" t="str">
            <v>Green</v>
          </cell>
          <cell r="E140" t="str">
            <v>will comment marking</v>
          </cell>
          <cell r="F140" t="str">
            <v>XP G2 T2</v>
          </cell>
          <cell r="G140">
            <v>0</v>
          </cell>
          <cell r="K140">
            <v>5000000000475</v>
          </cell>
          <cell r="L140" t="str">
            <v>Tag- Elite XP Growex 2, Pellet 50 kg</v>
          </cell>
        </row>
        <row r="141">
          <cell r="B141">
            <v>1000000001716</v>
          </cell>
          <cell r="C141" t="str">
            <v>ELITE XP RFG GROWER 1</v>
          </cell>
          <cell r="D141" t="str">
            <v>Green</v>
          </cell>
          <cell r="E141" t="str">
            <v>will comment marking</v>
          </cell>
          <cell r="F141" t="str">
            <v>GRO T2</v>
          </cell>
          <cell r="G141">
            <v>0</v>
          </cell>
          <cell r="K141">
            <v>5000000000476</v>
          </cell>
          <cell r="L141" t="str">
            <v>Tag- Elite XP Growex 1, Pellet 50 kg</v>
          </cell>
        </row>
        <row r="142">
          <cell r="B142">
            <v>1000000001721</v>
          </cell>
          <cell r="C142" t="str">
            <v>Poultry Solutions Breeder Developer Cr 50Kg</v>
          </cell>
          <cell r="D142" t="str">
            <v>Red Green</v>
          </cell>
          <cell r="E142" t="str">
            <v>1721 PS Brdr Dev Cr</v>
          </cell>
          <cell r="G142">
            <v>4</v>
          </cell>
          <cell r="H142">
            <v>5000000000610</v>
          </cell>
          <cell r="I142" t="str">
            <v>Plain white PP 26x45</v>
          </cell>
        </row>
        <row r="143">
          <cell r="B143">
            <v>1000000001722</v>
          </cell>
          <cell r="C143" t="str">
            <v>Elite XP RFG Starter</v>
          </cell>
          <cell r="D143" t="str">
            <v>Green</v>
          </cell>
          <cell r="F143" t="str">
            <v>1722 XP RFG</v>
          </cell>
          <cell r="G143">
            <v>3</v>
          </cell>
          <cell r="H143">
            <v>5000000000419</v>
          </cell>
          <cell r="I143" t="str">
            <v>Elite XP Hog Startex 50kg. Mocha PP bag</v>
          </cell>
          <cell r="K143">
            <v>5000000000477</v>
          </cell>
          <cell r="L143" t="str">
            <v>Tag- Elite XP Startex Mini-Pellet, Pellet 50 kg</v>
          </cell>
        </row>
        <row r="144">
          <cell r="B144">
            <v>1000000001723</v>
          </cell>
          <cell r="C144" t="str">
            <v>ELITE XP RFG2 STARTER</v>
          </cell>
          <cell r="D144" t="str">
            <v>Red</v>
          </cell>
          <cell r="G144">
            <v>3</v>
          </cell>
          <cell r="H144">
            <v>5000000000419</v>
          </cell>
          <cell r="I144" t="str">
            <v>Elite XP Hog Startex, 50kg mocha PP bag</v>
          </cell>
          <cell r="K144">
            <v>5000000000477</v>
          </cell>
          <cell r="L144" t="str">
            <v>Tag Elite XP Startex Mini-pellet 50kg</v>
          </cell>
        </row>
        <row r="145">
          <cell r="B145">
            <v>1000000001983</v>
          </cell>
          <cell r="C145" t="str">
            <v>Powerheal Crumble, 25Kg</v>
          </cell>
          <cell r="D145" t="str">
            <v>White</v>
          </cell>
          <cell r="G145">
            <v>0</v>
          </cell>
        </row>
        <row r="146">
          <cell r="B146">
            <v>1000000001984</v>
          </cell>
          <cell r="C146" t="str">
            <v>Powerheal Cs M-Pellet, 25Kg</v>
          </cell>
          <cell r="D146" t="str">
            <v>White</v>
          </cell>
          <cell r="G146">
            <v>0</v>
          </cell>
        </row>
        <row r="147">
          <cell r="B147">
            <v>1000000001985</v>
          </cell>
          <cell r="C147" t="str">
            <v>Powerheal Cs M-Pellet, 1X25Kg</v>
          </cell>
          <cell r="D147" t="str">
            <v>White</v>
          </cell>
          <cell r="G147">
            <v>0</v>
          </cell>
          <cell r="I147" t="str">
            <v>Empty Sack - Powerheal CS Pellet, 1kg</v>
          </cell>
          <cell r="L147" t="str">
            <v>-</v>
          </cell>
        </row>
        <row r="148">
          <cell r="B148">
            <v>1000000002335</v>
          </cell>
          <cell r="C148" t="str">
            <v>Poultry Solutions Br Btr C 50Kg- Abfi</v>
          </cell>
          <cell r="D148" t="str">
            <v>Red</v>
          </cell>
          <cell r="E148" t="str">
            <v>2335 ABFI</v>
          </cell>
          <cell r="G148">
            <v>6</v>
          </cell>
          <cell r="H148">
            <v>5000000000557</v>
          </cell>
          <cell r="I148" t="str">
            <v>v2 - Poultry Solutions Broiler Booster, 50kg</v>
          </cell>
          <cell r="K148">
            <v>5000000000154</v>
          </cell>
          <cell r="L148" t="str">
            <v>Tag - Poultry Solutions Broiler Booster, 50kg</v>
          </cell>
        </row>
        <row r="149">
          <cell r="B149">
            <v>1000000002336</v>
          </cell>
          <cell r="C149" t="str">
            <v>Poultry Solutions Br Str C 50Kg- Abfi</v>
          </cell>
          <cell r="D149" t="str">
            <v>Red</v>
          </cell>
          <cell r="E149" t="str">
            <v>2336 ABFI</v>
          </cell>
          <cell r="G149">
            <v>7</v>
          </cell>
          <cell r="H149">
            <v>5000000000558</v>
          </cell>
          <cell r="I149" t="str">
            <v>v2 - Poultry Solutions Broiler Starter, 50kg</v>
          </cell>
          <cell r="K149">
            <v>5000000000113</v>
          </cell>
          <cell r="L149" t="str">
            <v>Tag - Poultry Solutions Broiler Starter Crumble</v>
          </cell>
        </row>
        <row r="150">
          <cell r="B150">
            <v>1000000002337</v>
          </cell>
          <cell r="C150" t="str">
            <v>Poultry Solutions Br Fin C 50Kg- Abfi</v>
          </cell>
          <cell r="D150" t="str">
            <v>Red</v>
          </cell>
          <cell r="E150" t="str">
            <v>2337 ABFI</v>
          </cell>
          <cell r="G150">
            <v>7</v>
          </cell>
          <cell r="H150">
            <v>5000000000559</v>
          </cell>
          <cell r="I150" t="str">
            <v>v2 - Poultry Solutions Broiler Finisher, 50kg</v>
          </cell>
          <cell r="K150">
            <v>5000000000115</v>
          </cell>
          <cell r="L150" t="str">
            <v>Tag - Poultry Solutions Broiler Finisher Crumble</v>
          </cell>
        </row>
        <row r="151">
          <cell r="B151">
            <v>1000000002338</v>
          </cell>
          <cell r="C151" t="str">
            <v>Poultry Solutions Cl1 M 50Kg- Rcf</v>
          </cell>
          <cell r="D151" t="str">
            <v>Blue Orange</v>
          </cell>
          <cell r="E151" t="str">
            <v>2338 CL 1 M - RCF</v>
          </cell>
          <cell r="G151">
            <v>8</v>
          </cell>
          <cell r="H151">
            <v>5000000000564</v>
          </cell>
          <cell r="I151" t="str">
            <v>v2 - Poultry Solutions Layer 1, 50kg</v>
          </cell>
          <cell r="K151">
            <v>5000000000116</v>
          </cell>
          <cell r="L151" t="str">
            <v>Tag - Poultry Solutions Chicken Layer 1 Crumble</v>
          </cell>
        </row>
        <row r="152">
          <cell r="B152">
            <v>1000000002339</v>
          </cell>
          <cell r="C152" t="str">
            <v>Poultry Solutions Cl2 M 50Kg- Rcf</v>
          </cell>
          <cell r="D152" t="str">
            <v>Blue Orange</v>
          </cell>
          <cell r="E152" t="str">
            <v>2339 CL 2 M - RCF</v>
          </cell>
          <cell r="G152">
            <v>7</v>
          </cell>
          <cell r="H152">
            <v>5000000000565</v>
          </cell>
          <cell r="I152" t="str">
            <v>v2 - Poultry Solutions Layer 2 50kg.</v>
          </cell>
          <cell r="K152">
            <v>5000000000117</v>
          </cell>
          <cell r="L152" t="str">
            <v>Tag Poultry Solution Chicken Layer II (C)</v>
          </cell>
        </row>
        <row r="153">
          <cell r="B153">
            <v>1000000002340</v>
          </cell>
          <cell r="C153" t="str">
            <v>Poultry Solutions Cl3 M 50Kg- Rcf</v>
          </cell>
          <cell r="D153" t="str">
            <v>Blue Orange</v>
          </cell>
          <cell r="E153" t="str">
            <v>2340 CL 3 M - RCF</v>
          </cell>
          <cell r="G153">
            <v>4</v>
          </cell>
          <cell r="H153">
            <v>5000000000610</v>
          </cell>
          <cell r="I153" t="str">
            <v>Plain white PP 26x45</v>
          </cell>
          <cell r="K153">
            <v>5000000000116</v>
          </cell>
          <cell r="L153" t="str">
            <v>Tag - Poultry Solutions Chicken Layer 1 Crumble</v>
          </cell>
        </row>
        <row r="154">
          <cell r="B154">
            <v>1000000002474</v>
          </cell>
          <cell r="C154" t="str">
            <v>Poultry Solutions Bdr Gr1 C 50Kg-Abfi</v>
          </cell>
          <cell r="D154" t="str">
            <v>Red White</v>
          </cell>
          <cell r="E154" t="str">
            <v>2474 GR-1 ABFI</v>
          </cell>
          <cell r="G154">
            <v>14</v>
          </cell>
          <cell r="H154">
            <v>5000000000562</v>
          </cell>
          <cell r="I154" t="str">
            <v>Sack Poultry Sol Chick Growex 1, 50kg</v>
          </cell>
          <cell r="K154">
            <v>5000000000122</v>
          </cell>
          <cell r="L154" t="str">
            <v>Tag - Poultry Solutions Chick Grower 1 Crumble</v>
          </cell>
        </row>
        <row r="155">
          <cell r="B155">
            <v>1000000002476</v>
          </cell>
          <cell r="C155" t="str">
            <v>Pork Solutions Btr Md C 25Kg - Dtf</v>
          </cell>
          <cell r="D155" t="str">
            <v>White</v>
          </cell>
          <cell r="E155" t="str">
            <v>2476 DTF</v>
          </cell>
          <cell r="G155">
            <v>5</v>
          </cell>
          <cell r="H155">
            <v>5000000000055</v>
          </cell>
          <cell r="I155" t="str">
            <v>Pork Solution Hog Booster 25kg</v>
          </cell>
          <cell r="K155">
            <v>5000000000108</v>
          </cell>
          <cell r="L155" t="str">
            <v>Tag - Pork Solutions Hog Booster Mini Pellet</v>
          </cell>
        </row>
        <row r="156">
          <cell r="B156">
            <v>3000000000033</v>
          </cell>
          <cell r="C156" t="str">
            <v>Salto - Stag Developer Pellet 50 Kg</v>
          </cell>
          <cell r="D156" t="str">
            <v>Green</v>
          </cell>
          <cell r="E156" t="str">
            <v>033</v>
          </cell>
          <cell r="G156">
            <v>2</v>
          </cell>
          <cell r="H156">
            <v>5000000000718</v>
          </cell>
          <cell r="I156" t="str">
            <v>Empty Sack - Salto Stag Developer, 50kg</v>
          </cell>
          <cell r="K156">
            <v>5000000000721</v>
          </cell>
          <cell r="L156" t="str">
            <v>Tag - Salto Stag Developer, 50kg</v>
          </cell>
        </row>
        <row r="157">
          <cell r="B157">
            <v>3000000000045</v>
          </cell>
          <cell r="C157" t="str">
            <v>Salto Conditioner 50Kg</v>
          </cell>
          <cell r="D157" t="str">
            <v>White</v>
          </cell>
          <cell r="E157" t="str">
            <v>045</v>
          </cell>
          <cell r="G157">
            <v>0</v>
          </cell>
        </row>
        <row r="158">
          <cell r="B158">
            <v>3000000000051</v>
          </cell>
          <cell r="C158" t="str">
            <v xml:space="preserve">Salto Baby Stag Developer 50 Kg </v>
          </cell>
          <cell r="D158" t="str">
            <v>Yellow</v>
          </cell>
          <cell r="E158" t="str">
            <v>051</v>
          </cell>
          <cell r="G158">
            <v>2</v>
          </cell>
          <cell r="H158">
            <v>5000000000717</v>
          </cell>
          <cell r="I158" t="str">
            <v>Empty Sack - Salto Baby Stag Developer, 50kg</v>
          </cell>
          <cell r="K158">
            <v>5000000000720</v>
          </cell>
          <cell r="L158" t="str">
            <v>Tag - Salto Baby Stag Developer, 50kg</v>
          </cell>
        </row>
        <row r="159">
          <cell r="B159">
            <v>3000000000057</v>
          </cell>
          <cell r="C159" t="str">
            <v>Powermix 3 Pellet</v>
          </cell>
          <cell r="D159" t="str">
            <v>White</v>
          </cell>
          <cell r="E159" t="str">
            <v>PMRX 3 pellet</v>
          </cell>
          <cell r="G159">
            <v>1</v>
          </cell>
          <cell r="H159">
            <v>5000000000042</v>
          </cell>
          <cell r="I159" t="str">
            <v>Sack Plain Yellow 50kg</v>
          </cell>
          <cell r="L159" t="str">
            <v>-</v>
          </cell>
        </row>
        <row r="160">
          <cell r="B160">
            <v>3000000000065</v>
          </cell>
          <cell r="C160" t="str">
            <v>Salto Stag Conditioner 50Kg</v>
          </cell>
          <cell r="D160" t="str">
            <v>White</v>
          </cell>
          <cell r="E160" t="str">
            <v>065</v>
          </cell>
          <cell r="G160">
            <v>7</v>
          </cell>
          <cell r="H160">
            <v>5000000000038</v>
          </cell>
          <cell r="I160" t="str">
            <v>Empty Sack - Plain White Sacks 50 kg</v>
          </cell>
          <cell r="L160" t="str">
            <v>-</v>
          </cell>
        </row>
        <row r="161">
          <cell r="B161">
            <v>3000000000067</v>
          </cell>
          <cell r="C161" t="str">
            <v>Salto Power Pellet 50Kg</v>
          </cell>
          <cell r="D161" t="str">
            <v>White</v>
          </cell>
          <cell r="E161" t="str">
            <v>067</v>
          </cell>
          <cell r="G161">
            <v>0</v>
          </cell>
        </row>
        <row r="162">
          <cell r="B162">
            <v>3000000000072</v>
          </cell>
          <cell r="C162" t="str">
            <v>Salto Wheat Germ Plus Pellet, 50Kg</v>
          </cell>
          <cell r="D162" t="str">
            <v>White</v>
          </cell>
          <cell r="E162" t="str">
            <v>072</v>
          </cell>
          <cell r="G162">
            <v>0</v>
          </cell>
        </row>
        <row r="163">
          <cell r="B163">
            <v>3000000000076</v>
          </cell>
          <cell r="C163" t="str">
            <v>Salto Baby Stag With Grits 50Kg (Nc-Grains)</v>
          </cell>
          <cell r="D163" t="str">
            <v>Yellow</v>
          </cell>
          <cell r="E163" t="str">
            <v>076</v>
          </cell>
          <cell r="G163">
            <v>0</v>
          </cell>
        </row>
        <row r="164">
          <cell r="B164">
            <v>3000000000078</v>
          </cell>
          <cell r="C164" t="str">
            <v>Salto Stag Developer Ready Mix 50Kg (Nc W/Grains)</v>
          </cell>
          <cell r="D164" t="str">
            <v>Green</v>
          </cell>
          <cell r="E164" t="str">
            <v>with grains</v>
          </cell>
          <cell r="G164">
            <v>0</v>
          </cell>
        </row>
        <row r="165">
          <cell r="B165">
            <v>3000000000248</v>
          </cell>
          <cell r="C165" t="str">
            <v>Gallimax 2 16%, 50Kg</v>
          </cell>
          <cell r="D165" t="str">
            <v>White</v>
          </cell>
          <cell r="E165" t="str">
            <v>2+ pellet</v>
          </cell>
          <cell r="G165">
            <v>2</v>
          </cell>
          <cell r="H165">
            <v>5000000000041</v>
          </cell>
          <cell r="I165" t="str">
            <v>Sack Plain Green 50 kg</v>
          </cell>
          <cell r="K165">
            <v>5000000000152</v>
          </cell>
          <cell r="L165" t="str">
            <v>Tag - Gallimax 2 Plus Ready Mix, 50kg</v>
          </cell>
        </row>
        <row r="166">
          <cell r="B166">
            <v>3000000000480</v>
          </cell>
          <cell r="C166" t="str">
            <v>Gallimax 2 Plus Red (Pellet), 50Kg</v>
          </cell>
          <cell r="D166" t="str">
            <v>Red</v>
          </cell>
          <cell r="E166" t="str">
            <v>2+ RED pellet</v>
          </cell>
          <cell r="G166">
            <v>2</v>
          </cell>
          <cell r="H166">
            <v>5000000000041</v>
          </cell>
          <cell r="I166" t="str">
            <v>Sack Plain Green 50 kg</v>
          </cell>
          <cell r="K166">
            <v>5000000000152</v>
          </cell>
          <cell r="L166" t="str">
            <v>Tag - Gallimax 2 Plus Ready Mix, 50kg</v>
          </cell>
        </row>
        <row r="167">
          <cell r="B167">
            <v>3000000000567</v>
          </cell>
          <cell r="C167" t="str">
            <v>Elite Hog Sprinter, M-Pellet 50Kg</v>
          </cell>
          <cell r="D167" t="str">
            <v>BLUE</v>
          </cell>
          <cell r="E167">
            <v>567</v>
          </cell>
          <cell r="G167">
            <v>0</v>
          </cell>
        </row>
        <row r="168">
          <cell r="B168">
            <v>3000000000828</v>
          </cell>
          <cell r="C168" t="str">
            <v>Basic Broiler Finex Pellet 50Kg.</v>
          </cell>
          <cell r="D168" t="str">
            <v>Red</v>
          </cell>
          <cell r="E168" t="str">
            <v>MP</v>
          </cell>
          <cell r="G168">
            <v>0</v>
          </cell>
        </row>
        <row r="169">
          <cell r="B169">
            <v>3000000000858</v>
          </cell>
          <cell r="C169" t="str">
            <v>Salto  Chick Booster Crumble 50Kg (Non Comm)</v>
          </cell>
          <cell r="D169" t="str">
            <v>Orange</v>
          </cell>
          <cell r="E169">
            <v>858</v>
          </cell>
          <cell r="G169">
            <v>0</v>
          </cell>
        </row>
        <row r="170">
          <cell r="B170">
            <v>3000000000885</v>
          </cell>
          <cell r="C170" t="str">
            <v>Salto - Conditioner Pellet 50 Kg</v>
          </cell>
          <cell r="D170" t="str">
            <v>Red</v>
          </cell>
          <cell r="E170">
            <v>885</v>
          </cell>
          <cell r="G170">
            <v>0</v>
          </cell>
        </row>
        <row r="171">
          <cell r="B171">
            <v>3000000001282</v>
          </cell>
          <cell r="C171" t="str">
            <v>Ps Breeder Starter 2 Cr 50Kg V603</v>
          </cell>
          <cell r="D171" t="str">
            <v>Red Blue</v>
          </cell>
          <cell r="E171" t="str">
            <v>1282 2B</v>
          </cell>
          <cell r="G171">
            <v>0</v>
          </cell>
        </row>
        <row r="172">
          <cell r="B172">
            <v>3000000001289</v>
          </cell>
          <cell r="C172" t="str">
            <v>Pork Solutions Booster Mash Cooked 50Kg Trial</v>
          </cell>
          <cell r="D172" t="str">
            <v>Orange</v>
          </cell>
          <cell r="E172">
            <v>1289</v>
          </cell>
          <cell r="G172">
            <v>0</v>
          </cell>
        </row>
        <row r="173">
          <cell r="B173">
            <v>1000000002459</v>
          </cell>
          <cell r="C173" t="str">
            <v>POULTRY SOLUTIONS BDR STR 1A C 50KG-ABFI</v>
          </cell>
          <cell r="D173" t="str">
            <v>Red Yellow</v>
          </cell>
          <cell r="E173" t="str">
            <v>2459 1-A ABFI</v>
          </cell>
          <cell r="G173">
            <v>15</v>
          </cell>
          <cell r="H173">
            <v>5000000000561</v>
          </cell>
          <cell r="I173" t="str">
            <v>v2 - Poultry Solutions Chick Starter, 50</v>
          </cell>
          <cell r="K173">
            <v>5000000000125</v>
          </cell>
          <cell r="L173" t="str">
            <v>Tag - Poultry Solutions Chick Starter Crumble</v>
          </cell>
        </row>
        <row r="174">
          <cell r="B174">
            <v>1000000002475</v>
          </cell>
          <cell r="C174" t="str">
            <v>POULTRY SOLUTIONS BDR GR2 C 50KG-ABFI</v>
          </cell>
          <cell r="D174" t="str">
            <v>Red Yellow</v>
          </cell>
          <cell r="E174" t="str">
            <v>2475 GR-2 ABFI</v>
          </cell>
          <cell r="G174">
            <v>14</v>
          </cell>
          <cell r="H174">
            <v>5000000000562</v>
          </cell>
          <cell r="I174" t="str">
            <v>Sack Poultry Sol Chick Growex 1, 50kg</v>
          </cell>
          <cell r="K174">
            <v>5000000000123</v>
          </cell>
          <cell r="L174" t="str">
            <v>Tag Poultry Solution Chick Grower II</v>
          </cell>
        </row>
        <row r="175">
          <cell r="B175">
            <v>1000000002460</v>
          </cell>
          <cell r="C175" t="str">
            <v>POULTRY SOLUTIONS BDR STR 1B C 50KG-ABFI</v>
          </cell>
          <cell r="D175" t="str">
            <v>Red Yellow</v>
          </cell>
          <cell r="E175" t="str">
            <v>2460 1-B ABFI</v>
          </cell>
          <cell r="G175">
            <v>15</v>
          </cell>
          <cell r="H175">
            <v>5000000000561</v>
          </cell>
          <cell r="I175" t="str">
            <v>v2 - Poultry Solutions Chick Starter, 50</v>
          </cell>
          <cell r="K175">
            <v>5000000000125</v>
          </cell>
          <cell r="L175" t="str">
            <v>Tag - Poultry Solutions Chick Starter Crumble</v>
          </cell>
        </row>
        <row r="176">
          <cell r="B176">
            <v>1000000002504</v>
          </cell>
          <cell r="C176" t="str">
            <v>POULTRY SOL BROILER FINISHER SB 50 KG</v>
          </cell>
          <cell r="D176" t="str">
            <v>Green</v>
          </cell>
          <cell r="E176" t="str">
            <v>2504 SB</v>
          </cell>
          <cell r="G176">
            <v>7</v>
          </cell>
          <cell r="H176">
            <v>5000000000559</v>
          </cell>
          <cell r="I176" t="str">
            <v>v2 - Poultry Solutions Broiler Finisher, 50kg</v>
          </cell>
          <cell r="K176">
            <v>5000000000115</v>
          </cell>
          <cell r="L176" t="str">
            <v>Tag - Poultry Solutions Broiler Finisher Crumble</v>
          </cell>
        </row>
        <row r="177">
          <cell r="B177">
            <v>1000000002505</v>
          </cell>
          <cell r="C177" t="str">
            <v xml:space="preserve">POULTRY SOL BREEDER LAYER 3 CR 50 KG </v>
          </cell>
          <cell r="D177" t="str">
            <v>Green</v>
          </cell>
          <cell r="E177" t="str">
            <v>2505 L-3</v>
          </cell>
          <cell r="G177">
            <v>7</v>
          </cell>
          <cell r="H177">
            <v>5000000000565</v>
          </cell>
          <cell r="I177" t="str">
            <v>v2 - Poultry Solutions Layer 2 50kg.</v>
          </cell>
          <cell r="K177">
            <v>5000000000117</v>
          </cell>
          <cell r="L177" t="str">
            <v>Tag Poultry Solution Chicken Layer II (C)</v>
          </cell>
        </row>
        <row r="178">
          <cell r="B178">
            <v>1000000000936</v>
          </cell>
          <cell r="C178" t="str">
            <v>Lakas Gatas (P) 50kg</v>
          </cell>
          <cell r="D178" t="str">
            <v>White</v>
          </cell>
          <cell r="G178">
            <v>1</v>
          </cell>
          <cell r="H178">
            <v>5000000000048</v>
          </cell>
          <cell r="I178" t="str">
            <v>Empty Sack - Lakas Gatas Pellet, 50kg</v>
          </cell>
          <cell r="K178">
            <v>5000000000101</v>
          </cell>
          <cell r="L178" t="str">
            <v>Tag - Lakas Gatas Pellet</v>
          </cell>
        </row>
        <row r="179">
          <cell r="B179">
            <v>1000000000937</v>
          </cell>
          <cell r="C179" t="str">
            <v>Lakas Mama Breeder Pellet 50kg</v>
          </cell>
          <cell r="D179" t="str">
            <v>White</v>
          </cell>
          <cell r="G179">
            <v>1</v>
          </cell>
          <cell r="H179">
            <v>5000000000060</v>
          </cell>
          <cell r="I179" t="str">
            <v>Empty Sack - Lakas Mama Breeder Gestation Pellet, 50 kg</v>
          </cell>
          <cell r="K179">
            <v>5000000000126</v>
          </cell>
          <cell r="L179" t="str">
            <v>Tag - Lakas Mama Breeder Gestation Pellet</v>
          </cell>
        </row>
        <row r="180">
          <cell r="B180">
            <v>1000000002471</v>
          </cell>
          <cell r="C180" t="str">
            <v>POULTRY SOLUTIONS BDR STR 2A C 50KG-ABFI</v>
          </cell>
          <cell r="D180" t="str">
            <v>Red Yellow</v>
          </cell>
          <cell r="E180" t="str">
            <v>2471 2-A C ABFI</v>
          </cell>
          <cell r="G180">
            <v>15</v>
          </cell>
          <cell r="H180">
            <v>5000000000561</v>
          </cell>
          <cell r="I180" t="str">
            <v>v2 - Poultry Solutions Chick Starter, 50</v>
          </cell>
          <cell r="K180">
            <v>5000000000125</v>
          </cell>
          <cell r="L180" t="str">
            <v>Tag - Poultry Solutions Chick Starter Crumble</v>
          </cell>
        </row>
        <row r="181">
          <cell r="B181">
            <v>1000000002472</v>
          </cell>
          <cell r="C181" t="str">
            <v>Poultry Solutions BDR STR 2B C 50KG-ABFI</v>
          </cell>
          <cell r="D181" t="str">
            <v>Red Blue</v>
          </cell>
          <cell r="E181" t="str">
            <v>2472 2-B C ABFI</v>
          </cell>
          <cell r="G181">
            <v>15</v>
          </cell>
          <cell r="H181">
            <v>5000000000561</v>
          </cell>
          <cell r="I181" t="str">
            <v>v2 - Poultry Solutions Chick Starter, 50</v>
          </cell>
          <cell r="K181">
            <v>5000000000125</v>
          </cell>
          <cell r="L181" t="str">
            <v>Tag - Poultry Solutions Chick Starter Crumble</v>
          </cell>
        </row>
        <row r="182">
          <cell r="B182">
            <v>1000000002508</v>
          </cell>
          <cell r="C182" t="str">
            <v>Poultry Solutions CL1 M 50KG- EGC</v>
          </cell>
          <cell r="D182" t="str">
            <v>Green Orange</v>
          </cell>
          <cell r="E182" t="str">
            <v>2508 CL 1 - M</v>
          </cell>
          <cell r="G182">
            <v>8</v>
          </cell>
          <cell r="H182">
            <v>5000000000564</v>
          </cell>
          <cell r="I182" t="str">
            <v>v2 - Poultry Solutions Layer 1, 50kg</v>
          </cell>
          <cell r="K182">
            <v>5000000000116</v>
          </cell>
          <cell r="L182" t="str">
            <v>Tag - Poultry Solutions Chicken Layer 1 Crumble</v>
          </cell>
        </row>
        <row r="183">
          <cell r="B183">
            <v>1000000002509</v>
          </cell>
          <cell r="C183" t="str">
            <v>Poultry Solutions CL2 M 50KG- EGC</v>
          </cell>
          <cell r="D183" t="str">
            <v>Green Orange</v>
          </cell>
          <cell r="E183" t="str">
            <v>2509 CL 2 - M</v>
          </cell>
          <cell r="G183">
            <v>7</v>
          </cell>
          <cell r="H183">
            <v>5000000000565</v>
          </cell>
          <cell r="I183" t="str">
            <v>v2 - Poultry Solutions Layer 2 50kg.</v>
          </cell>
          <cell r="K183">
            <v>5000000000117</v>
          </cell>
          <cell r="L183" t="str">
            <v>Tag Poultry Solutions Chicken Layer 2</v>
          </cell>
        </row>
        <row r="184">
          <cell r="B184">
            <v>1000000002510</v>
          </cell>
          <cell r="C184" t="str">
            <v>Poultry Solutions CL3 M 50KG- EGC</v>
          </cell>
          <cell r="D184" t="str">
            <v>Yellow Orange</v>
          </cell>
          <cell r="E184" t="str">
            <v>2510 CL 3 - M</v>
          </cell>
          <cell r="G184">
            <v>7</v>
          </cell>
          <cell r="H184">
            <v>5000000000038</v>
          </cell>
          <cell r="I184" t="str">
            <v>Empty Sack - Plain White Sacks 50 kg</v>
          </cell>
        </row>
        <row r="185">
          <cell r="B185">
            <v>1000000002559</v>
          </cell>
          <cell r="C185" t="str">
            <v>Poultry Solutions CL1 P 50KG- EGC</v>
          </cell>
          <cell r="D185" t="str">
            <v>Yellow Orange</v>
          </cell>
          <cell r="E185" t="str">
            <v xml:space="preserve"> 2559 CL 1 P</v>
          </cell>
          <cell r="G185">
            <v>8</v>
          </cell>
          <cell r="H185">
            <v>5000000000564</v>
          </cell>
          <cell r="I185" t="str">
            <v>v2 - Poultry Solutions Layer 1, 50kg</v>
          </cell>
          <cell r="K185">
            <v>5000000000116</v>
          </cell>
          <cell r="L185" t="str">
            <v>Tag - Poultry Solutions Chicken Layer 1 Crumble</v>
          </cell>
        </row>
        <row r="186">
          <cell r="B186">
            <v>1000000002560</v>
          </cell>
          <cell r="C186" t="str">
            <v>Poultry Solutions CL2 P 50KG- EGC</v>
          </cell>
          <cell r="D186" t="str">
            <v>Yellow Orange</v>
          </cell>
          <cell r="E186" t="str">
            <v xml:space="preserve"> 2560 CL 2 P</v>
          </cell>
          <cell r="G186">
            <v>7</v>
          </cell>
          <cell r="H186">
            <v>5000000000565</v>
          </cell>
          <cell r="I186" t="str">
            <v>v2 - Poultry Solutions Layer 2 50kg.</v>
          </cell>
          <cell r="K186">
            <v>5000000000117</v>
          </cell>
          <cell r="L186" t="str">
            <v>Tag Poultry Solutions Chicken Layer 2</v>
          </cell>
        </row>
        <row r="187">
          <cell r="B187">
            <v>1000000002561</v>
          </cell>
          <cell r="C187" t="str">
            <v>Poultry Solutions CL3 P 50KG- EGC</v>
          </cell>
          <cell r="D187" t="str">
            <v>Green Orange</v>
          </cell>
          <cell r="E187" t="str">
            <v xml:space="preserve"> 2561 CL 3 P</v>
          </cell>
          <cell r="G187">
            <v>7</v>
          </cell>
          <cell r="H187">
            <v>5000000000038</v>
          </cell>
          <cell r="I187" t="str">
            <v>Empty Sack - Plain White Sacks 50 kg</v>
          </cell>
        </row>
        <row r="188">
          <cell r="B188">
            <v>1000000002547</v>
          </cell>
          <cell r="C188" t="str">
            <v>Pork Sol Pre Starter Davao TFarms</v>
          </cell>
          <cell r="D188" t="str">
            <v>Blue</v>
          </cell>
          <cell r="E188" t="str">
            <v>2547 DTF</v>
          </cell>
          <cell r="G188">
            <v>5</v>
          </cell>
          <cell r="H188">
            <v>5000000000057</v>
          </cell>
          <cell r="I188" t="str">
            <v>Sack Pork Solutions Pre-starter 50kg</v>
          </cell>
          <cell r="K188">
            <v>5000000000102</v>
          </cell>
          <cell r="L188" t="str">
            <v>Tag Pork Sol Hog Pre-Starter 1 MP 50Kg</v>
          </cell>
        </row>
        <row r="189">
          <cell r="B189">
            <v>1000000002625</v>
          </cell>
          <cell r="C189" t="str">
            <v>Poultry Sol Supremecon LAYMIX CON M 50kg</v>
          </cell>
          <cell r="D189" t="str">
            <v>White</v>
          </cell>
          <cell r="E189" t="str">
            <v>2625 LYMX CON</v>
          </cell>
          <cell r="G189">
            <v>7</v>
          </cell>
          <cell r="H189">
            <v>5000000000038</v>
          </cell>
          <cell r="I189" t="str">
            <v>Empty Sack - Plain White Sacks 50 kg</v>
          </cell>
        </row>
        <row r="190">
          <cell r="B190">
            <v>1000000002725</v>
          </cell>
          <cell r="C190" t="str">
            <v>POULTRY SOL BDR L1 C 50KG-ABFI</v>
          </cell>
          <cell r="D190" t="str">
            <v>Red Green</v>
          </cell>
          <cell r="E190" t="str">
            <v>2725 IR L-1</v>
          </cell>
          <cell r="G190">
            <v>6</v>
          </cell>
          <cell r="H190">
            <v>5000000000555</v>
          </cell>
          <cell r="I190" t="str">
            <v>v2 - Poultry Solutions Breeder Layer 1, 50kg</v>
          </cell>
          <cell r="K190">
            <v>5000000000614</v>
          </cell>
          <cell r="L190" t="str">
            <v>Poultry Solutions Breeder Layer 1 Crumble, 50kg</v>
          </cell>
        </row>
        <row r="191">
          <cell r="B191">
            <v>1000000002724</v>
          </cell>
          <cell r="C191" t="str">
            <v>POULTRY SOL BDR LM C 50KG-ABFI</v>
          </cell>
          <cell r="D191" t="str">
            <v>Red Green</v>
          </cell>
          <cell r="E191" t="str">
            <v>2724 LM ABFI</v>
          </cell>
          <cell r="G191">
            <v>4</v>
          </cell>
          <cell r="H191">
            <v>5000000000556</v>
          </cell>
          <cell r="I191" t="str">
            <v>v2 - Poultry Solutions Breeder Layer Male, 50kg</v>
          </cell>
          <cell r="K191">
            <v>5000000000498</v>
          </cell>
          <cell r="L191" t="str">
            <v>Tag - Poultry Breeder Layer Male, Mash</v>
          </cell>
        </row>
        <row r="192">
          <cell r="B192">
            <v>1000000002719</v>
          </cell>
          <cell r="C192" t="str">
            <v>Poultry Sol BDR L2 C 50KG-ABFI</v>
          </cell>
          <cell r="D192" t="str">
            <v>Red Green</v>
          </cell>
          <cell r="E192" t="str">
            <v>2719 L-2</v>
          </cell>
          <cell r="G192">
            <v>6</v>
          </cell>
          <cell r="H192">
            <v>5000000000983</v>
          </cell>
          <cell r="I192" t="str">
            <v>V2-POULTRY SOLUTIONS BREEDER LAYER2 50KG</v>
          </cell>
          <cell r="K192">
            <v>5000000000117</v>
          </cell>
          <cell r="L192" t="str">
            <v>TAG POULTRY SOLUTIONS CHICKEN LAYER 2</v>
          </cell>
        </row>
        <row r="193">
          <cell r="B193">
            <v>1000000002720</v>
          </cell>
          <cell r="C193" t="str">
            <v>Poultry Sol BDR L3 C 50KG-ABFI</v>
          </cell>
          <cell r="D193" t="str">
            <v>Red Green</v>
          </cell>
          <cell r="E193" t="str">
            <v>2720 L-3</v>
          </cell>
          <cell r="G193">
            <v>7</v>
          </cell>
          <cell r="H193">
            <v>5000000000565</v>
          </cell>
          <cell r="I193" t="str">
            <v>SACK POULTRY SOLUTIONS CHICKEN LAYER 2</v>
          </cell>
          <cell r="K193">
            <v>5000000000117</v>
          </cell>
          <cell r="L193" t="str">
            <v>TAG POULTRY SOLUTIONS CHICKEN LAYER 2</v>
          </cell>
        </row>
        <row r="194">
          <cell r="B194">
            <v>1000000002782</v>
          </cell>
          <cell r="C194" t="str">
            <v>Poultry Solutions Pre-Layer 500kg crumble</v>
          </cell>
          <cell r="D194" t="str">
            <v>White</v>
          </cell>
          <cell r="E194" t="str">
            <v>2782 Pre Layer</v>
          </cell>
          <cell r="G194">
            <v>12</v>
          </cell>
          <cell r="H194">
            <v>5000000000601</v>
          </cell>
          <cell r="I194" t="str">
            <v>Tote Bag 1000 kg</v>
          </cell>
        </row>
        <row r="195">
          <cell r="B195">
            <v>1000000002783</v>
          </cell>
          <cell r="C195" t="str">
            <v>Poultry Solutions Layer 1 crumble, 500kg</v>
          </cell>
          <cell r="D195" t="str">
            <v>White</v>
          </cell>
          <cell r="E195" t="str">
            <v>2783 PS L-1</v>
          </cell>
          <cell r="G195">
            <v>12</v>
          </cell>
          <cell r="H195">
            <v>5000000000601</v>
          </cell>
          <cell r="I195" t="str">
            <v>Tote Bag 1000 kg</v>
          </cell>
        </row>
        <row r="196">
          <cell r="B196">
            <v>1000000002784</v>
          </cell>
          <cell r="C196" t="str">
            <v>Poultry Solutions Layer 2 crumble, 500kg.</v>
          </cell>
          <cell r="D196" t="str">
            <v>White</v>
          </cell>
          <cell r="E196" t="str">
            <v>2784 PS L-2</v>
          </cell>
          <cell r="G196">
            <v>12</v>
          </cell>
          <cell r="H196">
            <v>5000000000601</v>
          </cell>
          <cell r="I196" t="str">
            <v>Tote Bag 1000 kg</v>
          </cell>
        </row>
        <row r="197">
          <cell r="B197">
            <v>1000000002785</v>
          </cell>
          <cell r="C197" t="str">
            <v>Poultry Solutions Layer 3 crumble, 500kg.</v>
          </cell>
          <cell r="D197" t="str">
            <v>White</v>
          </cell>
          <cell r="E197" t="str">
            <v>2785 PS L-3</v>
          </cell>
          <cell r="G197">
            <v>12</v>
          </cell>
          <cell r="H197">
            <v>5000000000601</v>
          </cell>
          <cell r="I197" t="str">
            <v>Tote Bag 1000 kg</v>
          </cell>
        </row>
        <row r="198">
          <cell r="B198">
            <v>1000000002786</v>
          </cell>
          <cell r="C198" t="str">
            <v>Poultry Solutions Chicken Layer 1 CSL crumble 500kg (startlay)</v>
          </cell>
          <cell r="D198" t="str">
            <v>White</v>
          </cell>
          <cell r="E198" t="str">
            <v>2786 - PS CSL</v>
          </cell>
          <cell r="G198">
            <v>12</v>
          </cell>
          <cell r="H198">
            <v>5000000000601</v>
          </cell>
          <cell r="I198" t="str">
            <v>Tote Bag 1000 kg</v>
          </cell>
        </row>
        <row r="199">
          <cell r="B199">
            <v>1000000002832</v>
          </cell>
          <cell r="C199" t="str">
            <v>Poultry Sol BDR L1 C 50KG-MNTRX TRL ABFI</v>
          </cell>
          <cell r="D199" t="str">
            <v>Yellow Green</v>
          </cell>
          <cell r="E199" t="str">
            <v>2832 COBB L-1 MNTRX</v>
          </cell>
          <cell r="G199">
            <v>6</v>
          </cell>
          <cell r="H199">
            <v>5000000000555</v>
          </cell>
          <cell r="I199" t="str">
            <v>v2 - Poultry Solutions Breeder Layer 1, 50kg</v>
          </cell>
          <cell r="K199">
            <v>5000000000614</v>
          </cell>
          <cell r="L199" t="str">
            <v>Poultry Solutions Breeder Layer 1 Crumble, 50kg</v>
          </cell>
        </row>
        <row r="200">
          <cell r="B200">
            <v>1000000002833</v>
          </cell>
          <cell r="C200" t="str">
            <v>Poultry Sol BDR L2 C 50KG-MNTRX TRL ABFI</v>
          </cell>
          <cell r="D200" t="str">
            <v>Red Blue</v>
          </cell>
          <cell r="E200" t="str">
            <v>2833 COBB L-2 MNTRX</v>
          </cell>
          <cell r="G200">
            <v>6</v>
          </cell>
          <cell r="H200">
            <v>5000000000983</v>
          </cell>
          <cell r="I200" t="str">
            <v>V2-POULTRY SOLUTIONS BREEDER LAYER2 50KG</v>
          </cell>
          <cell r="K200">
            <v>5000000000117</v>
          </cell>
          <cell r="L200" t="str">
            <v>TAG POULTRY SOLUTIONS CHICKEN LAYER 2</v>
          </cell>
        </row>
        <row r="201">
          <cell r="B201">
            <v>1000000002871</v>
          </cell>
          <cell r="C201" t="str">
            <v>POULTRY SOL CGB C 50KG-SFPI</v>
          </cell>
          <cell r="D201" t="str">
            <v>Green</v>
          </cell>
          <cell r="E201" t="str">
            <v>2871 GB C - SFPI</v>
          </cell>
          <cell r="G201">
            <v>14</v>
          </cell>
          <cell r="H201">
            <v>5000000000562</v>
          </cell>
          <cell r="I201" t="str">
            <v>Sack Poultry Sol Chick Growex 1, 50kg</v>
          </cell>
          <cell r="K201">
            <v>5000000000122</v>
          </cell>
          <cell r="L201" t="str">
            <v>Tag - Poultry Solutions Chick Grower 1 Crumble</v>
          </cell>
        </row>
        <row r="202">
          <cell r="B202">
            <v>1000000001012</v>
          </cell>
          <cell r="C202" t="str">
            <v>Poultry Sol Chick Starter Breeder M 50kg</v>
          </cell>
          <cell r="D202" t="str">
            <v>Orange</v>
          </cell>
          <cell r="E202">
            <v>1012</v>
          </cell>
          <cell r="G202">
            <v>15</v>
          </cell>
          <cell r="H202">
            <v>5000000000561</v>
          </cell>
          <cell r="I202" t="str">
            <v>v2 - Poultry Solutions Chick Starter, 50</v>
          </cell>
          <cell r="K202">
            <v>5000000000125</v>
          </cell>
          <cell r="L202" t="str">
            <v>Tag - Poultry Solutions Chick Starter Crumble</v>
          </cell>
        </row>
        <row r="203">
          <cell r="B203">
            <v>1000000001013</v>
          </cell>
          <cell r="C203" t="str">
            <v>Poultry Sol Chick Grower Breeder M 50kg</v>
          </cell>
          <cell r="D203" t="str">
            <v>Orange</v>
          </cell>
          <cell r="E203">
            <v>1013</v>
          </cell>
          <cell r="G203">
            <v>14</v>
          </cell>
          <cell r="H203">
            <v>5000000000562</v>
          </cell>
          <cell r="I203" t="str">
            <v>Sack Poultry Sol Chick Growex 1, 50kg</v>
          </cell>
          <cell r="K203">
            <v>5000000000122</v>
          </cell>
          <cell r="L203" t="str">
            <v>Tag - Poultry Solutions Chick Grower 1 Crumble</v>
          </cell>
        </row>
        <row r="204">
          <cell r="B204">
            <v>1000000002967</v>
          </cell>
          <cell r="C204" t="str">
            <v>PS Broiler Starter MD MP</v>
          </cell>
          <cell r="D204" t="str">
            <v>Red Green</v>
          </cell>
          <cell r="E204" t="str">
            <v>2967 MP</v>
          </cell>
          <cell r="G204">
            <v>7</v>
          </cell>
          <cell r="H204">
            <v>5000000000558</v>
          </cell>
          <cell r="I204" t="str">
            <v>v2 - Poultry Solutions Broiler Starter, 50kg</v>
          </cell>
          <cell r="K204">
            <v>5000000000113</v>
          </cell>
          <cell r="L204" t="str">
            <v>Tag - Poultry Solutions Broiler Starter Crumble</v>
          </cell>
        </row>
        <row r="205">
          <cell r="B205">
            <v>1000000002960</v>
          </cell>
          <cell r="C205" t="str">
            <v>Poultry Sol CG 2 MP 50KG</v>
          </cell>
          <cell r="D205" t="str">
            <v>Yellow</v>
          </cell>
          <cell r="E205" t="str">
            <v>2960 CG 2 MP</v>
          </cell>
          <cell r="G205">
            <v>14</v>
          </cell>
          <cell r="H205">
            <v>5000000000562</v>
          </cell>
          <cell r="I205" t="str">
            <v>Poultry Solution Chick Grower 50kg 1&amp;2</v>
          </cell>
          <cell r="K205">
            <v>5000000000123</v>
          </cell>
          <cell r="L205" t="str">
            <v>Tag Poultry Solution Chick Grower II</v>
          </cell>
        </row>
        <row r="206">
          <cell r="B206">
            <v>1000000002997</v>
          </cell>
          <cell r="C206" t="str">
            <v>Poultry Sol P DEV P 50KG</v>
          </cell>
          <cell r="D206" t="str">
            <v>White</v>
          </cell>
          <cell r="E206" t="str">
            <v>2997 PS PDEVP</v>
          </cell>
          <cell r="G206">
            <v>4</v>
          </cell>
          <cell r="H206">
            <v>5000000000610</v>
          </cell>
          <cell r="I206" t="str">
            <v>Sack Plain white PP w/ liner; 50kg 26x45</v>
          </cell>
        </row>
        <row r="207">
          <cell r="B207">
            <v>1000000002870</v>
          </cell>
          <cell r="C207" t="str">
            <v>POULTRY SOL CSB C 50KG-SFPI</v>
          </cell>
          <cell r="D207" t="str">
            <v>Green</v>
          </cell>
          <cell r="E207" t="str">
            <v>2870 SFPI</v>
          </cell>
          <cell r="G207">
            <v>15</v>
          </cell>
          <cell r="H207">
            <v>5000000000561</v>
          </cell>
          <cell r="I207" t="str">
            <v>v2 - Poultry Solutions Chick Starter, 50</v>
          </cell>
          <cell r="K207">
            <v>5000000000125</v>
          </cell>
          <cell r="L207" t="str">
            <v>Tag - Poultry Solutions Chick Starter Crumble</v>
          </cell>
        </row>
        <row r="208">
          <cell r="B208">
            <v>1000000002872</v>
          </cell>
          <cell r="C208" t="str">
            <v>Poultry Sol PLB C 50KG-SFPI</v>
          </cell>
          <cell r="D208" t="str">
            <v>Green</v>
          </cell>
          <cell r="E208" t="str">
            <v>2872 SFPI</v>
          </cell>
          <cell r="G208">
            <v>6</v>
          </cell>
          <cell r="H208">
            <v>5000000000563</v>
          </cell>
          <cell r="I208" t="str">
            <v>Sack Poultry Solutions Pre-Lay 50kg</v>
          </cell>
          <cell r="K208">
            <v>5000000000615</v>
          </cell>
          <cell r="L208" t="str">
            <v>Tag Poultry Solutions Pre-Lay Crumble</v>
          </cell>
        </row>
        <row r="209">
          <cell r="B209">
            <v>1000000002873</v>
          </cell>
          <cell r="C209" t="str">
            <v>Poultry Sol BDR L1 C 50KG-SFPI</v>
          </cell>
          <cell r="D209" t="str">
            <v>Green</v>
          </cell>
          <cell r="E209" t="str">
            <v>2873 SFPI</v>
          </cell>
          <cell r="G209">
            <v>6</v>
          </cell>
          <cell r="H209">
            <v>5000000000555</v>
          </cell>
          <cell r="I209" t="str">
            <v>v2 - Poultry Solutions Breeder Layer 1, 50kg</v>
          </cell>
          <cell r="K209">
            <v>5000000000614</v>
          </cell>
          <cell r="L209" t="str">
            <v>Poultry Solutions Breeder Layer 1 Crumble, 50kg</v>
          </cell>
        </row>
        <row r="210">
          <cell r="B210">
            <v>1000000002874</v>
          </cell>
          <cell r="C210" t="str">
            <v>Poultry Sol BDR L2 C 50KG-SFPI</v>
          </cell>
          <cell r="D210" t="str">
            <v>Green</v>
          </cell>
          <cell r="E210" t="str">
            <v>2874 SFPI</v>
          </cell>
          <cell r="G210">
            <v>6</v>
          </cell>
          <cell r="H210">
            <v>5000000000983</v>
          </cell>
          <cell r="I210" t="str">
            <v>V2-POULTRY SOLUTIONS BREEDER LAYER2 50KG</v>
          </cell>
          <cell r="K210">
            <v>5000000000117</v>
          </cell>
          <cell r="L210" t="str">
            <v>TAG POULTRY SOLUTIONS CHICKEN LAYER 2</v>
          </cell>
        </row>
        <row r="211">
          <cell r="B211">
            <v>1000000002875</v>
          </cell>
          <cell r="C211" t="str">
            <v>Poultry Sol BDR LM C 50KG-SFPI</v>
          </cell>
          <cell r="D211" t="str">
            <v>Green</v>
          </cell>
          <cell r="E211" t="str">
            <v>2875 SFPI</v>
          </cell>
          <cell r="G211">
            <v>4</v>
          </cell>
          <cell r="H211">
            <v>5000000000556</v>
          </cell>
          <cell r="I211" t="str">
            <v>v2 - Poultry Solutions Breeder Layer Male, 50kg</v>
          </cell>
          <cell r="K211">
            <v>5000000000498</v>
          </cell>
          <cell r="L211" t="str">
            <v>Tag - Poultry Breeder Layer Male, Mash</v>
          </cell>
        </row>
        <row r="212">
          <cell r="B212">
            <v>1000000003164</v>
          </cell>
          <cell r="C212" t="str">
            <v>PS Chicken Layer 1 Cr R12</v>
          </cell>
          <cell r="D212" t="str">
            <v>Green</v>
          </cell>
          <cell r="E212" t="str">
            <v xml:space="preserve">3164 - Layer 1 </v>
          </cell>
          <cell r="G212">
            <v>8</v>
          </cell>
          <cell r="H212">
            <v>5000000000564</v>
          </cell>
          <cell r="I212" t="str">
            <v>v2 - Poultry Solutions Layer 1, 50kg</v>
          </cell>
          <cell r="K212">
            <v>5000000000116</v>
          </cell>
          <cell r="L212" t="str">
            <v>Tag - Poultry Solutions Chicken Layer 1 Crumble</v>
          </cell>
        </row>
        <row r="213">
          <cell r="B213">
            <v>1000000003165</v>
          </cell>
          <cell r="C213" t="str">
            <v>PS Chicken Layer 2 C 50KG R12</v>
          </cell>
          <cell r="D213" t="str">
            <v>Blue</v>
          </cell>
          <cell r="E213" t="str">
            <v>3165 - Layer 2</v>
          </cell>
          <cell r="G213">
            <v>7</v>
          </cell>
          <cell r="H213">
            <v>5000000000038</v>
          </cell>
          <cell r="I213" t="str">
            <v>Sack Plain White w/o Liner; 50kg 26 x42</v>
          </cell>
          <cell r="K213">
            <v>5000000000117</v>
          </cell>
          <cell r="L213" t="str">
            <v>Tag Poultry Solutions Chicken Layer 2</v>
          </cell>
        </row>
        <row r="214">
          <cell r="B214">
            <v>1000000002747</v>
          </cell>
          <cell r="C214" t="str">
            <v>POULTRY SOL SUPREMECON LAYMIX 2 M 50KG</v>
          </cell>
          <cell r="D214" t="str">
            <v>Orange Green</v>
          </cell>
          <cell r="E214" t="str">
            <v>2747 - L2 MASH</v>
          </cell>
          <cell r="G214">
            <v>7</v>
          </cell>
          <cell r="H214">
            <v>5000000000038</v>
          </cell>
          <cell r="I214" t="str">
            <v>Empty Sack - Plain White Sacks 50 kg</v>
          </cell>
          <cell r="L214" t="str">
            <v>None</v>
          </cell>
        </row>
        <row r="215">
          <cell r="B215">
            <v>1000000003162</v>
          </cell>
          <cell r="C215" t="str">
            <v>PS Chicken  Pre-Layer 50kg Pellet</v>
          </cell>
          <cell r="D215" t="str">
            <v>Blue</v>
          </cell>
          <cell r="E215" t="str">
            <v>3162 - P-Layer</v>
          </cell>
          <cell r="G215">
            <v>6</v>
          </cell>
          <cell r="H215">
            <v>5000000000563</v>
          </cell>
          <cell r="I215" t="str">
            <v>v2 - Poultry Solutions Pre-Layer 50kg</v>
          </cell>
          <cell r="K215">
            <v>5000000000615</v>
          </cell>
          <cell r="L215" t="str">
            <v>Tag - Poultry Solutions Pre-Lay Crumble, 50kg</v>
          </cell>
        </row>
        <row r="216">
          <cell r="B216">
            <v>1000000001634</v>
          </cell>
          <cell r="C216" t="str">
            <v>Poultry Solutions Breeder Layer 2 Mash,</v>
          </cell>
          <cell r="D216" t="str">
            <v>Orange</v>
          </cell>
          <cell r="E216">
            <v>1634</v>
          </cell>
          <cell r="G216">
            <v>6</v>
          </cell>
          <cell r="H216">
            <v>5000000000983</v>
          </cell>
          <cell r="I216" t="str">
            <v>v2 - Poultry Solutions Breeder Layer 2, 50kg</v>
          </cell>
          <cell r="K216">
            <v>5000000000117</v>
          </cell>
          <cell r="L216" t="str">
            <v>Tag Poultry Solution Chicken Layer II (C)</v>
          </cell>
        </row>
        <row r="217">
          <cell r="B217">
            <v>1000000000477</v>
          </cell>
          <cell r="C217" t="str">
            <v>ELITE XP RFG SPRINTER</v>
          </cell>
          <cell r="D217" t="str">
            <v>Green</v>
          </cell>
          <cell r="E217" t="str">
            <v>BST T2</v>
          </cell>
          <cell r="G217">
            <v>0</v>
          </cell>
        </row>
        <row r="218">
          <cell r="B218">
            <v>1000000001714</v>
          </cell>
          <cell r="C218" t="str">
            <v>ELITE XP RFG FINISHER</v>
          </cell>
          <cell r="D218" t="str">
            <v>Green</v>
          </cell>
          <cell r="E218" t="str">
            <v>Fin T2</v>
          </cell>
          <cell r="G218">
            <v>0</v>
          </cell>
        </row>
        <row r="219">
          <cell r="B219">
            <v>1000000003114</v>
          </cell>
          <cell r="C219" t="str">
            <v>ELITE XP RFG2 SPRINTER, 1X25KG</v>
          </cell>
          <cell r="D219" t="str">
            <v>Green</v>
          </cell>
          <cell r="F219" t="str">
            <v>3114 - BST T2</v>
          </cell>
          <cell r="G219">
            <v>2</v>
          </cell>
          <cell r="H219">
            <v>5000000000163</v>
          </cell>
          <cell r="I219" t="str">
            <v>v2- Bundle Packaging for Elite Sprinter 1kg, 25kg</v>
          </cell>
          <cell r="K219">
            <v>5000000000479</v>
          </cell>
          <cell r="L219" t="str">
            <v>Tag- Elite XP Sprinter Mini-Pellet, Pellet 10 kg</v>
          </cell>
        </row>
        <row r="220">
          <cell r="B220">
            <v>1000000003702</v>
          </cell>
          <cell r="C220" t="str">
            <v>POULTRY SOLUTIONS CSB CR 50 KG-SF</v>
          </cell>
          <cell r="D220" t="str">
            <v>White</v>
          </cell>
          <cell r="E220">
            <v>3702</v>
          </cell>
          <cell r="G220">
            <v>15</v>
          </cell>
          <cell r="H220">
            <v>5000000000561</v>
          </cell>
          <cell r="I220" t="str">
            <v>v2 - Poultry Solutions Chick Starter, 50</v>
          </cell>
          <cell r="K220">
            <v>5000000000125</v>
          </cell>
          <cell r="L220" t="str">
            <v>Tag Poultry Solutions Chick Starter</v>
          </cell>
        </row>
        <row r="221">
          <cell r="B221">
            <v>1000000003706</v>
          </cell>
          <cell r="C221" t="str">
            <v>POULTRY SOLUTIONS CGB CR 50 KG-SF</v>
          </cell>
          <cell r="D221" t="str">
            <v>Yellow Green</v>
          </cell>
          <cell r="E221" t="str">
            <v>3706 - IR WC</v>
          </cell>
          <cell r="G221">
            <v>14</v>
          </cell>
          <cell r="H221">
            <v>5000000000562</v>
          </cell>
          <cell r="I221" t="str">
            <v>Sack Poultry Sol Chick Growex 1, 50kg</v>
          </cell>
          <cell r="K221">
            <v>5000000000122</v>
          </cell>
          <cell r="L221" t="str">
            <v>Tag Poultry Solutions Chick Grower</v>
          </cell>
        </row>
        <row r="222">
          <cell r="B222">
            <v>1000000003703</v>
          </cell>
          <cell r="C222" t="str">
            <v>POULTRY SOLUTIONS PLB CR 50 KG-SF</v>
          </cell>
          <cell r="D222" t="str">
            <v>White</v>
          </cell>
          <cell r="E222" t="str">
            <v>3703 - IR</v>
          </cell>
          <cell r="G222">
            <v>6</v>
          </cell>
          <cell r="H222">
            <v>5000000000563</v>
          </cell>
          <cell r="I222" t="str">
            <v>Sack Poultry Solutions Pre-Lay 50kg</v>
          </cell>
          <cell r="K222">
            <v>5000000000615</v>
          </cell>
          <cell r="L222" t="str">
            <v>Tag Poultry Solutions Pre-Lay Crumble</v>
          </cell>
        </row>
        <row r="223">
          <cell r="B223">
            <v>1000000003705</v>
          </cell>
          <cell r="C223" t="str">
            <v>POULTRY SOLUTIONS BL MALE CR 50 KG-SF</v>
          </cell>
          <cell r="D223" t="str">
            <v>White</v>
          </cell>
          <cell r="E223">
            <v>3705</v>
          </cell>
          <cell r="G223">
            <v>4</v>
          </cell>
          <cell r="H223">
            <v>5000000000556</v>
          </cell>
          <cell r="I223" t="str">
            <v>Sack Poultry Solutions Breeder L Male</v>
          </cell>
          <cell r="K223">
            <v>5000000000498</v>
          </cell>
          <cell r="L223" t="str">
            <v>Tag - Poultry Breeder Layer Male, Mash</v>
          </cell>
        </row>
        <row r="224">
          <cell r="B224">
            <v>1000000003707</v>
          </cell>
          <cell r="C224" t="str">
            <v>POULTRY SOLUTIONS BL1 CR 50 KG-SF</v>
          </cell>
          <cell r="D224" t="str">
            <v>White</v>
          </cell>
          <cell r="E224" t="str">
            <v>3707 AA</v>
          </cell>
          <cell r="G224">
            <v>6</v>
          </cell>
          <cell r="H224">
            <v>5000000000555</v>
          </cell>
          <cell r="I224" t="str">
            <v>Sack Poultry Solutions Breeder Layer 1</v>
          </cell>
          <cell r="K224">
            <v>5000000000614</v>
          </cell>
          <cell r="L224" t="str">
            <v>Tag - PS Breeder Layer 1 Crumble, 50kg</v>
          </cell>
        </row>
        <row r="225">
          <cell r="B225">
            <v>1000000003704</v>
          </cell>
          <cell r="C225" t="str">
            <v>POULTRY SOLUTIONS BL2 CR 50 KG-SF</v>
          </cell>
          <cell r="D225" t="str">
            <v>White</v>
          </cell>
          <cell r="E225">
            <v>3704</v>
          </cell>
          <cell r="G225">
            <v>6</v>
          </cell>
          <cell r="H225">
            <v>5000000000983</v>
          </cell>
          <cell r="I225" t="str">
            <v>v2-Poultry Solutions Breeder Layer2 50kg</v>
          </cell>
          <cell r="K225">
            <v>5000000000117</v>
          </cell>
          <cell r="L225" t="str">
            <v>Tag Poultry Solutions Chicken Layer 2</v>
          </cell>
        </row>
        <row r="226">
          <cell r="B226">
            <v>1000000003454</v>
          </cell>
          <cell r="C226" t="str">
            <v>Pork Solutions Pre Starter MP 25kg</v>
          </cell>
          <cell r="D226" t="str">
            <v>Yellow</v>
          </cell>
          <cell r="E226">
            <v>3454</v>
          </cell>
          <cell r="G226">
            <v>0</v>
          </cell>
        </row>
        <row r="227">
          <cell r="B227">
            <v>1000000001695</v>
          </cell>
          <cell r="C227" t="str">
            <v>ELITE XP RFG2 FINISHER</v>
          </cell>
          <cell r="D227" t="str">
            <v>Green</v>
          </cell>
          <cell r="G227">
            <v>0</v>
          </cell>
          <cell r="K227">
            <v>5000000000082</v>
          </cell>
          <cell r="L227" t="str">
            <v>Tag - Elite Hog Finex Pellet</v>
          </cell>
        </row>
        <row r="228">
          <cell r="B228">
            <v>1000000000915</v>
          </cell>
          <cell r="C228" t="str">
            <v>SALTO BABY STAG W/GRITS 1KG(BNDLOF25PCS)</v>
          </cell>
          <cell r="D228" t="str">
            <v>Green</v>
          </cell>
          <cell r="G228">
            <v>1</v>
          </cell>
          <cell r="H228">
            <v>5000000000451</v>
          </cell>
          <cell r="I228" t="str">
            <v>Pouch Salto Baby Stag Dev 1kg Corn Grits</v>
          </cell>
          <cell r="K228">
            <v>5000000000130</v>
          </cell>
          <cell r="L228" t="str">
            <v>Tag - Salto Bundle Pack</v>
          </cell>
        </row>
        <row r="229">
          <cell r="B229">
            <v>1000000003740</v>
          </cell>
          <cell r="C229" t="str">
            <v>PS CHICKEN LAYER 1 CR 750 KG</v>
          </cell>
          <cell r="D229" t="str">
            <v>White Tag</v>
          </cell>
          <cell r="G229">
            <v>0</v>
          </cell>
        </row>
        <row r="230">
          <cell r="B230">
            <v>1000000003699</v>
          </cell>
          <cell r="C230" t="str">
            <v>PS CHICK GROWER CR 750KG</v>
          </cell>
          <cell r="D230" t="str">
            <v>Yellow Tag</v>
          </cell>
          <cell r="G230">
            <v>0</v>
          </cell>
        </row>
        <row r="231">
          <cell r="B231">
            <v>1000000003869</v>
          </cell>
          <cell r="C231" t="str">
            <v>PS Broiler Finisher MD CA MP, 50kg</v>
          </cell>
          <cell r="D231" t="str">
            <v>Red Blue</v>
          </cell>
          <cell r="E231" t="str">
            <v>3869 MD CA</v>
          </cell>
          <cell r="G231">
            <v>7</v>
          </cell>
          <cell r="H231">
            <v>5000000000559</v>
          </cell>
          <cell r="I231" t="str">
            <v>v2 - Poultry Solutions Broiler Finisher, 50kg</v>
          </cell>
          <cell r="K231">
            <v>5000000000115</v>
          </cell>
          <cell r="L231" t="str">
            <v>Tag - Poultry Solutions Broiler Finisher Crumble</v>
          </cell>
        </row>
        <row r="232">
          <cell r="B232">
            <v>1000000003879</v>
          </cell>
          <cell r="C232" t="str">
            <v>PS Broiler Starter MD CA Crumble, 50kg</v>
          </cell>
          <cell r="D232" t="str">
            <v>Red Blue</v>
          </cell>
          <cell r="E232" t="str">
            <v>3879 MD CA</v>
          </cell>
          <cell r="G232">
            <v>7</v>
          </cell>
          <cell r="H232">
            <v>5000000000558</v>
          </cell>
          <cell r="I232" t="str">
            <v>v2 - Poultry Solutions Broiler Starter, 50kg</v>
          </cell>
          <cell r="K232">
            <v>5000000000113</v>
          </cell>
          <cell r="L232" t="str">
            <v>Tag - Poultry Solutions Broiler Starter Crumble</v>
          </cell>
        </row>
        <row r="233">
          <cell r="B233">
            <v>1000000003880</v>
          </cell>
          <cell r="C233" t="str">
            <v>PS Broiler Booster MD CA Crumble, 50kg</v>
          </cell>
          <cell r="D233" t="str">
            <v>Red Blue</v>
          </cell>
          <cell r="E233" t="str">
            <v>3880 MD CA</v>
          </cell>
          <cell r="G233">
            <v>6</v>
          </cell>
          <cell r="H233">
            <v>5000000000557</v>
          </cell>
          <cell r="I233" t="str">
            <v>v2 - Poultry Solutions Broiler Booster, 50kg</v>
          </cell>
          <cell r="K233">
            <v>5000000000154</v>
          </cell>
          <cell r="L233" t="str">
            <v>Tag - Poultry Solutions Broiler Booster, 50kg</v>
          </cell>
        </row>
        <row r="234">
          <cell r="B234">
            <v>1000000003870</v>
          </cell>
          <cell r="C234" t="str">
            <v>Kunemax Sprinter MP 25 kg</v>
          </cell>
          <cell r="D234" t="str">
            <v>Yellow</v>
          </cell>
          <cell r="G234">
            <v>2</v>
          </cell>
          <cell r="H234">
            <v>5000000000402</v>
          </cell>
          <cell r="I234" t="str">
            <v>Packaging - Kunemax Sprinter Pellet, 25Kg</v>
          </cell>
          <cell r="K234">
            <v>5000000000442</v>
          </cell>
          <cell r="L234" t="str">
            <v>Tag - Kunemax Sprinter Pellet, 25Kg</v>
          </cell>
        </row>
        <row r="235">
          <cell r="B235">
            <v>1000000003891</v>
          </cell>
          <cell r="C235" t="str">
            <v>Kunemax Grower MP 25 kg</v>
          </cell>
          <cell r="D235" t="str">
            <v>Yellow</v>
          </cell>
          <cell r="G235">
            <v>2</v>
          </cell>
          <cell r="H235">
            <v>5000000000401</v>
          </cell>
          <cell r="I235" t="str">
            <v>Packaging-Kunemax GP, 25kg</v>
          </cell>
          <cell r="K235">
            <v>5000000000443</v>
          </cell>
          <cell r="L235" t="str">
            <v>Tag Kunemax Grower Pellet, 25Kg</v>
          </cell>
        </row>
        <row r="236">
          <cell r="B236">
            <v>1000000001032</v>
          </cell>
          <cell r="C236" t="str">
            <v>POULTRY SOL BROILER BOOSTER MD-PC CR50KG</v>
          </cell>
          <cell r="D236" t="str">
            <v>BLUE ORANGE</v>
          </cell>
          <cell r="E236" t="str">
            <v>1032-MD-PC</v>
          </cell>
          <cell r="G236">
            <v>6</v>
          </cell>
          <cell r="H236">
            <v>5000000000557</v>
          </cell>
          <cell r="I236" t="str">
            <v>Sack Poultry Solutions Broiler Booster</v>
          </cell>
          <cell r="K236">
            <v>5000000000154</v>
          </cell>
          <cell r="L236" t="str">
            <v>Tag Poultry Solutions Broiler Booster</v>
          </cell>
        </row>
        <row r="237">
          <cell r="B237">
            <v>1000000003738</v>
          </cell>
          <cell r="C237" t="str">
            <v>PS Pre-lay Cr 750 KG</v>
          </cell>
          <cell r="D237" t="str">
            <v>Green Tag</v>
          </cell>
          <cell r="G237">
            <v>12</v>
          </cell>
          <cell r="H237">
            <v>5000000000601</v>
          </cell>
          <cell r="I237" t="str">
            <v>Tote Bag 1000 kg</v>
          </cell>
        </row>
        <row r="238">
          <cell r="B238">
            <v>1000000003741</v>
          </cell>
          <cell r="C238" t="str">
            <v>PS CHICKEN LAYER 2 CR 750KG</v>
          </cell>
          <cell r="D238" t="str">
            <v>Blue Tag</v>
          </cell>
          <cell r="H238">
            <v>5000000000601</v>
          </cell>
          <cell r="I238" t="str">
            <v>Tote Bag 1000 kg</v>
          </cell>
        </row>
        <row r="239">
          <cell r="B239">
            <v>1000000004004</v>
          </cell>
          <cell r="C239" t="str">
            <v>PS CHICK STARTER 2 CRUMBLE, 50 KG</v>
          </cell>
          <cell r="D239" t="str">
            <v>White Blue</v>
          </cell>
          <cell r="E239">
            <v>4004</v>
          </cell>
          <cell r="H239">
            <v>5000000000561</v>
          </cell>
          <cell r="I239" t="str">
            <v>v2 - Poultry Solutions Chick Starter, 50</v>
          </cell>
          <cell r="K239">
            <v>5000000000125</v>
          </cell>
          <cell r="L239" t="str">
            <v>Tag Poultry Solutions Chick Starter</v>
          </cell>
        </row>
        <row r="240">
          <cell r="B240">
            <v>1000000004082</v>
          </cell>
          <cell r="C240" t="str">
            <v>POL SOL BRO BOOSTER, C 50KG-JW</v>
          </cell>
          <cell r="D240" t="str">
            <v>Blue</v>
          </cell>
          <cell r="E240">
            <v>4082</v>
          </cell>
        </row>
        <row r="241">
          <cell r="B241">
            <v>1000000004084</v>
          </cell>
          <cell r="C241" t="str">
            <v>Pol Sol Chk Grower, C 50kg-JW</v>
          </cell>
          <cell r="D241" t="str">
            <v>Blue</v>
          </cell>
          <cell r="E241">
            <v>4084</v>
          </cell>
          <cell r="H241">
            <v>5000000000562</v>
          </cell>
          <cell r="I241" t="str">
            <v>Sack Poultry Sol Chick Growex 1, 50kg</v>
          </cell>
          <cell r="K241">
            <v>5000000000122</v>
          </cell>
          <cell r="L241" t="str">
            <v>Tag Poultry Solutions Chick Grower</v>
          </cell>
        </row>
        <row r="242">
          <cell r="B242">
            <v>1000000004161</v>
          </cell>
          <cell r="C242" t="str">
            <v>Poultry Solutions Pre-Layer Cr 50kg -BCM</v>
          </cell>
          <cell r="D242" t="str">
            <v>Green</v>
          </cell>
          <cell r="E242">
            <v>4161</v>
          </cell>
          <cell r="H242">
            <v>5000000000563</v>
          </cell>
          <cell r="I242" t="str">
            <v>Sack Poultry Solutions Pre-Lay 50kg</v>
          </cell>
          <cell r="K242">
            <v>5000000000615</v>
          </cell>
          <cell r="L242" t="str">
            <v>Tag Poultry Solutions Pre-Lay Crumble</v>
          </cell>
        </row>
        <row r="243">
          <cell r="B243">
            <v>1000000004003</v>
          </cell>
          <cell r="C243" t="str">
            <v>PS Chick Starter 1 Crumble, 50 kg</v>
          </cell>
          <cell r="D243" t="str">
            <v>Yellow</v>
          </cell>
          <cell r="E243">
            <v>4003</v>
          </cell>
          <cell r="H243">
            <v>5000000000561</v>
          </cell>
          <cell r="I243" t="str">
            <v>v2 - Poultry Solutions Chick Starter, 50</v>
          </cell>
          <cell r="K243">
            <v>5000000000125</v>
          </cell>
          <cell r="L243" t="str">
            <v>Tag Poultry Solutions Chick Starter</v>
          </cell>
        </row>
        <row r="244">
          <cell r="B244">
            <v>1000000004132</v>
          </cell>
          <cell r="C244" t="str">
            <v>BOBBIT RABBIT - PELLET 1KG X25</v>
          </cell>
          <cell r="D244" t="str">
            <v>White</v>
          </cell>
        </row>
        <row r="245">
          <cell r="B245">
            <v>1000000004162</v>
          </cell>
          <cell r="C245" t="str">
            <v>Poultry Solutions Layer 1 Cr 50kg -BCM</v>
          </cell>
          <cell r="D245" t="str">
            <v>Green</v>
          </cell>
          <cell r="E245">
            <v>4162</v>
          </cell>
          <cell r="H245">
            <v>5000000000564</v>
          </cell>
          <cell r="I245" t="str">
            <v>Sack Poultry Solutions Chicken Layer 1</v>
          </cell>
          <cell r="K245">
            <v>5000000000116</v>
          </cell>
          <cell r="L245" t="str">
            <v>Tag Poultry Solutions Chicken Layer 1</v>
          </cell>
        </row>
      </sheetData>
      <sheetData sheetId="3">
        <row r="2">
          <cell r="A2">
            <v>3000000000014</v>
          </cell>
          <cell r="B2" t="str">
            <v>Rolled Corn - for PSLAyer 2 MASH</v>
          </cell>
          <cell r="C2" t="str">
            <v>MX</v>
          </cell>
          <cell r="D2" t="str">
            <v/>
          </cell>
          <cell r="E2" t="str">
            <v/>
          </cell>
          <cell r="F2" t="str">
            <v/>
          </cell>
          <cell r="G2" t="str">
            <v/>
          </cell>
          <cell r="H2">
            <v>7.500000000000008</v>
          </cell>
          <cell r="I2" t="str">
            <v/>
          </cell>
          <cell r="J2" t="str">
            <v/>
          </cell>
        </row>
        <row r="3">
          <cell r="A3">
            <v>3000000000033</v>
          </cell>
          <cell r="B3" t="str">
            <v>Salto - Stag Developer PelletSFG1</v>
          </cell>
          <cell r="C3" t="str">
            <v>MP</v>
          </cell>
          <cell r="D3">
            <v>19.084082256383439</v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</row>
        <row r="4">
          <cell r="A4">
            <v>3000000000045</v>
          </cell>
          <cell r="B4" t="str">
            <v>Salto - Conditioner PelletSFG1</v>
          </cell>
          <cell r="C4" t="str">
            <v>MP</v>
          </cell>
          <cell r="D4">
            <v>19.31013951575834</v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</row>
        <row r="5">
          <cell r="A5">
            <v>3000000000053</v>
          </cell>
          <cell r="B5" t="str">
            <v>Salto Powermix 2SFG1</v>
          </cell>
          <cell r="C5" t="str">
            <v>MX</v>
          </cell>
          <cell r="D5" t="str">
            <v/>
          </cell>
          <cell r="E5" t="str">
            <v/>
          </cell>
          <cell r="F5" t="str">
            <v/>
          </cell>
          <cell r="G5" t="str">
            <v/>
          </cell>
          <cell r="H5">
            <v>6.53675819309123</v>
          </cell>
          <cell r="I5" t="str">
            <v/>
          </cell>
          <cell r="J5" t="str">
            <v/>
          </cell>
        </row>
        <row r="6">
          <cell r="A6">
            <v>3000000000057</v>
          </cell>
          <cell r="B6" t="str">
            <v>SFG Powermix Pellet -SFG</v>
          </cell>
          <cell r="C6" t="str">
            <v>MP</v>
          </cell>
          <cell r="D6">
            <v>19.113977617489983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</row>
        <row r="7">
          <cell r="A7">
            <v>3000000000061</v>
          </cell>
          <cell r="B7" t="str">
            <v>Salto Powermix 4SFG1</v>
          </cell>
          <cell r="C7" t="str">
            <v>MX</v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>
            <v>4.1402337228714519</v>
          </cell>
          <cell r="I7" t="str">
            <v/>
          </cell>
          <cell r="J7" t="str">
            <v/>
          </cell>
        </row>
        <row r="8">
          <cell r="A8">
            <v>3000000000065</v>
          </cell>
          <cell r="B8" t="str">
            <v>SFG Salto Stag Conditioner 50kg</v>
          </cell>
          <cell r="C8" t="str">
            <v>MP</v>
          </cell>
          <cell r="D8">
            <v>18.839799390629491</v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</row>
        <row r="9">
          <cell r="A9">
            <v>3000000000067</v>
          </cell>
          <cell r="B9" t="str">
            <v>SFG Salto Power Pellet 50kg - SFG</v>
          </cell>
          <cell r="C9" t="str">
            <v>MP</v>
          </cell>
          <cell r="D9">
            <v>18.195462301761221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</row>
        <row r="10">
          <cell r="A10">
            <v>3000000000072</v>
          </cell>
          <cell r="B10" t="str">
            <v>Salto Wheat Germ PlusSFG1</v>
          </cell>
          <cell r="C10" t="str">
            <v>MP</v>
          </cell>
          <cell r="D10">
            <v>19.663669007990393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</row>
        <row r="11">
          <cell r="A11">
            <v>3000000000076</v>
          </cell>
          <cell r="B11" t="str">
            <v>SFG Salto Baby Stag with Grits 50kg( SFGPMX -non-com)</v>
          </cell>
          <cell r="C11" t="str">
            <v>C</v>
          </cell>
          <cell r="D11" t="str">
            <v/>
          </cell>
          <cell r="E11" t="str">
            <v/>
          </cell>
          <cell r="F11">
            <v>6.5492321808127008</v>
          </cell>
          <cell r="G11">
            <v>7.5474284815724832</v>
          </cell>
          <cell r="H11" t="str">
            <v/>
          </cell>
          <cell r="I11">
            <v>5.8662912000000009</v>
          </cell>
          <cell r="J11" t="str">
            <v/>
          </cell>
        </row>
        <row r="12">
          <cell r="A12">
            <v>3000000000078</v>
          </cell>
          <cell r="B12" t="str">
            <v>SFG Salto Stag Developer, Ready Mix 50kg</v>
          </cell>
          <cell r="C12" t="str">
            <v>MX</v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>
            <v>12.672035139092241</v>
          </cell>
          <cell r="I12" t="str">
            <v/>
          </cell>
          <cell r="J12" t="str">
            <v/>
          </cell>
        </row>
        <row r="13">
          <cell r="A13">
            <v>3000000000080</v>
          </cell>
          <cell r="B13" t="str">
            <v>SFG Gallimax Pigeon Pellet,50kg</v>
          </cell>
          <cell r="C13" t="str">
            <v>MP</v>
          </cell>
          <cell r="D13">
            <v>19.397075706027227</v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</row>
        <row r="14">
          <cell r="A14">
            <v>3000000000164</v>
          </cell>
          <cell r="B14" t="str">
            <v>SFG Poultry Solutions Chick Booster</v>
          </cell>
          <cell r="C14" t="str">
            <v>C</v>
          </cell>
          <cell r="D14" t="str">
            <v/>
          </cell>
          <cell r="E14" t="str">
            <v/>
          </cell>
          <cell r="F14" t="str">
            <v/>
          </cell>
          <cell r="G14">
            <v>8.2581319538106239</v>
          </cell>
          <cell r="H14" t="str">
            <v/>
          </cell>
          <cell r="I14" t="str">
            <v/>
          </cell>
          <cell r="J14" t="str">
            <v/>
          </cell>
        </row>
        <row r="15">
          <cell r="A15">
            <v>3000000000166</v>
          </cell>
          <cell r="B15" t="str">
            <v>SFG Poultry Solutions Chick Starter</v>
          </cell>
          <cell r="C15" t="str">
            <v>C</v>
          </cell>
          <cell r="D15" t="str">
            <v/>
          </cell>
          <cell r="E15" t="str">
            <v/>
          </cell>
          <cell r="F15" t="str">
            <v/>
          </cell>
          <cell r="G15">
            <v>7.9237147713125893</v>
          </cell>
          <cell r="H15" t="str">
            <v/>
          </cell>
          <cell r="I15" t="str">
            <v/>
          </cell>
          <cell r="J15" t="str">
            <v/>
          </cell>
        </row>
        <row r="16">
          <cell r="A16">
            <v>3000000000168</v>
          </cell>
          <cell r="B16" t="str">
            <v>SFG PS PreLayer 50kg.</v>
          </cell>
          <cell r="C16" t="str">
            <v>C</v>
          </cell>
          <cell r="D16" t="str">
            <v/>
          </cell>
          <cell r="E16" t="str">
            <v/>
          </cell>
          <cell r="F16">
            <v>7.6358749090909139</v>
          </cell>
          <cell r="G16">
            <v>8.1634119344262288</v>
          </cell>
          <cell r="H16" t="str">
            <v/>
          </cell>
          <cell r="I16" t="str">
            <v/>
          </cell>
          <cell r="J16" t="str">
            <v/>
          </cell>
        </row>
        <row r="17">
          <cell r="A17">
            <v>3000000000170</v>
          </cell>
          <cell r="B17" t="str">
            <v>SFG Poultry Solutions Layer 1</v>
          </cell>
          <cell r="C17" t="str">
            <v>C</v>
          </cell>
          <cell r="D17" t="str">
            <v/>
          </cell>
          <cell r="E17" t="str">
            <v/>
          </cell>
          <cell r="F17">
            <v>7.5878590452572841</v>
          </cell>
          <cell r="G17">
            <v>8.5544764019138757</v>
          </cell>
          <cell r="H17" t="str">
            <v/>
          </cell>
          <cell r="I17">
            <v>8.0679359229130725</v>
          </cell>
          <cell r="J17" t="str">
            <v/>
          </cell>
        </row>
        <row r="18">
          <cell r="A18">
            <v>3000000000172</v>
          </cell>
          <cell r="B18" t="str">
            <v>SFG Poultry Solutions Layer 2 50kg</v>
          </cell>
          <cell r="C18" t="str">
            <v>C</v>
          </cell>
          <cell r="D18" t="str">
            <v/>
          </cell>
          <cell r="E18" t="str">
            <v/>
          </cell>
          <cell r="F18">
            <v>7.774150309859154</v>
          </cell>
          <cell r="G18">
            <v>8.5802368558951958</v>
          </cell>
          <cell r="H18" t="str">
            <v/>
          </cell>
          <cell r="I18" t="str">
            <v/>
          </cell>
          <cell r="J18" t="str">
            <v/>
          </cell>
        </row>
        <row r="19">
          <cell r="A19">
            <v>3000000000192</v>
          </cell>
          <cell r="B19" t="str">
            <v>Poultry Solutions Broiler BoosterSFG1</v>
          </cell>
          <cell r="C19" t="str">
            <v>C</v>
          </cell>
          <cell r="D19" t="str">
            <v/>
          </cell>
          <cell r="E19" t="str">
            <v/>
          </cell>
          <cell r="F19" t="str">
            <v/>
          </cell>
          <cell r="G19">
            <v>8.6063457103448293</v>
          </cell>
          <cell r="H19" t="str">
            <v/>
          </cell>
          <cell r="I19" t="str">
            <v/>
          </cell>
          <cell r="J19" t="str">
            <v/>
          </cell>
        </row>
        <row r="20">
          <cell r="A20">
            <v>3000000000194</v>
          </cell>
          <cell r="B20" t="str">
            <v>Poultry Solutions Broiler StarterSFG1</v>
          </cell>
          <cell r="C20" t="str">
            <v>C</v>
          </cell>
          <cell r="D20" t="str">
            <v/>
          </cell>
          <cell r="E20" t="str">
            <v/>
          </cell>
          <cell r="F20">
            <v>7.4493101886792452</v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</row>
        <row r="21">
          <cell r="A21">
            <v>3000000000196</v>
          </cell>
          <cell r="B21" t="str">
            <v>Poultry Solutions Broiler Finisher MD-P-CS Mini Pellet, SFG</v>
          </cell>
          <cell r="C21" t="str">
            <v>MP</v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>
            <v>7.9994880000000004</v>
          </cell>
          <cell r="J21">
            <v>8.9697482727787587</v>
          </cell>
        </row>
        <row r="22">
          <cell r="A22">
            <v>3000000000200</v>
          </cell>
          <cell r="B22" t="str">
            <v>SFG Chick Growex 1- Poultry Solution</v>
          </cell>
          <cell r="C22" t="str">
            <v>C</v>
          </cell>
          <cell r="D22" t="str">
            <v/>
          </cell>
          <cell r="E22" t="str">
            <v/>
          </cell>
          <cell r="F22">
            <v>7.3624530548302873</v>
          </cell>
          <cell r="G22">
            <v>7.4468619886749732</v>
          </cell>
          <cell r="H22" t="str">
            <v/>
          </cell>
          <cell r="I22">
            <v>7.058371764705881</v>
          </cell>
          <cell r="J22" t="str">
            <v/>
          </cell>
        </row>
        <row r="23">
          <cell r="A23">
            <v>3000000000202</v>
          </cell>
          <cell r="B23" t="str">
            <v>SFG Chick Growex 2 - Poultry Solution</v>
          </cell>
          <cell r="C23" t="str">
            <v>C</v>
          </cell>
          <cell r="D23" t="str">
            <v/>
          </cell>
          <cell r="E23" t="str">
            <v/>
          </cell>
          <cell r="F23">
            <v>7.4477991724137942</v>
          </cell>
          <cell r="G23">
            <v>7.6729782857142865</v>
          </cell>
          <cell r="H23" t="str">
            <v/>
          </cell>
          <cell r="I23" t="str">
            <v/>
          </cell>
          <cell r="J23" t="str">
            <v/>
          </cell>
        </row>
        <row r="24">
          <cell r="A24">
            <v>3000000000206</v>
          </cell>
          <cell r="B24" t="str">
            <v>SFG Basic Broiler Startex</v>
          </cell>
          <cell r="C24" t="str">
            <v>C</v>
          </cell>
          <cell r="D24" t="str">
            <v/>
          </cell>
          <cell r="E24">
            <v>14.099097600000002</v>
          </cell>
          <cell r="F24" t="str">
            <v/>
          </cell>
          <cell r="G24">
            <v>7.9382092617577227</v>
          </cell>
          <cell r="H24" t="str">
            <v/>
          </cell>
          <cell r="I24" t="str">
            <v/>
          </cell>
          <cell r="J24" t="str">
            <v/>
          </cell>
        </row>
        <row r="25">
          <cell r="A25">
            <v>3000000000208</v>
          </cell>
          <cell r="B25" t="str">
            <v>SFG Basic Broiler Finex Crumble 50kg.</v>
          </cell>
          <cell r="C25" t="str">
            <v>C</v>
          </cell>
          <cell r="D25" t="str">
            <v/>
          </cell>
          <cell r="E25" t="str">
            <v/>
          </cell>
          <cell r="F25">
            <v>6.6674465592760175</v>
          </cell>
          <cell r="G25">
            <v>8.4507683638051088</v>
          </cell>
          <cell r="H25" t="str">
            <v/>
          </cell>
          <cell r="I25" t="str">
            <v/>
          </cell>
          <cell r="J25" t="str">
            <v/>
          </cell>
        </row>
        <row r="26">
          <cell r="A26">
            <v>3000000000234</v>
          </cell>
          <cell r="B26" t="str">
            <v>SFG Gallimax 3 Maintenance Pellet</v>
          </cell>
          <cell r="C26" t="str">
            <v>MP</v>
          </cell>
          <cell r="D26">
            <v>18.959690047375933</v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</row>
        <row r="27">
          <cell r="A27">
            <v>3000000000236</v>
          </cell>
          <cell r="B27" t="str">
            <v>SFG Gallimax 1 Booster Crumble, 50kg</v>
          </cell>
          <cell r="C27" t="str">
            <v>C</v>
          </cell>
          <cell r="D27">
            <v>13.782505342588466</v>
          </cell>
          <cell r="E27">
            <v>12.870283185487422</v>
          </cell>
          <cell r="F27" t="str">
            <v/>
          </cell>
          <cell r="G27">
            <v>7.8093784242730075</v>
          </cell>
          <cell r="H27" t="str">
            <v/>
          </cell>
          <cell r="I27" t="str">
            <v/>
          </cell>
          <cell r="J27" t="str">
            <v/>
          </cell>
        </row>
        <row r="28">
          <cell r="A28">
            <v>3000000000238</v>
          </cell>
          <cell r="B28" t="str">
            <v>SFG Gallimax 2 Developer Crumble</v>
          </cell>
          <cell r="C28" t="str">
            <v>C</v>
          </cell>
          <cell r="D28" t="str">
            <v/>
          </cell>
          <cell r="E28">
            <v>13.257850616884644</v>
          </cell>
          <cell r="F28">
            <v>7.2707210847457642</v>
          </cell>
          <cell r="G28" t="str">
            <v/>
          </cell>
          <cell r="H28" t="str">
            <v/>
          </cell>
          <cell r="I28">
            <v>7.0324996736962637</v>
          </cell>
          <cell r="J28" t="str">
            <v/>
          </cell>
        </row>
        <row r="29">
          <cell r="A29">
            <v>3000000000242</v>
          </cell>
          <cell r="B29" t="str">
            <v>SFG Gallimax 21</v>
          </cell>
          <cell r="C29" t="str">
            <v>MP</v>
          </cell>
          <cell r="D29">
            <v>19.513631257519059</v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</row>
        <row r="30">
          <cell r="A30">
            <v>3000000000244</v>
          </cell>
          <cell r="B30" t="str">
            <v>Gallimax 3 Maintenance (Natural) PSFG1</v>
          </cell>
          <cell r="C30" t="str">
            <v>MP</v>
          </cell>
          <cell r="D30">
            <v>19.1416027317233</v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</row>
        <row r="31">
          <cell r="A31">
            <v>3000000000246</v>
          </cell>
          <cell r="B31" t="str">
            <v>SFG Gallimax 2 Plus, Powermix</v>
          </cell>
          <cell r="C31" t="str">
            <v>MX</v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>
            <v>20.116558976308134</v>
          </cell>
          <cell r="I31" t="str">
            <v/>
          </cell>
          <cell r="J31" t="str">
            <v/>
          </cell>
        </row>
        <row r="32">
          <cell r="A32">
            <v>3000000000248</v>
          </cell>
          <cell r="B32" t="str">
            <v>SFG Gallimax 2 plus PELLET -SFGPELL</v>
          </cell>
          <cell r="C32" t="str">
            <v>MP</v>
          </cell>
          <cell r="D32">
            <v>19.295779887551536</v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</row>
        <row r="33">
          <cell r="A33">
            <v>3000000000256</v>
          </cell>
          <cell r="B33" t="str">
            <v>SFG PS Chick Starter Breeder Cr 50kg</v>
          </cell>
          <cell r="C33" t="str">
            <v>C</v>
          </cell>
          <cell r="D33" t="str">
            <v/>
          </cell>
          <cell r="E33" t="str">
            <v/>
          </cell>
          <cell r="F33" t="str">
            <v/>
          </cell>
          <cell r="G33">
            <v>7.9994880000000155</v>
          </cell>
          <cell r="H33" t="str">
            <v/>
          </cell>
          <cell r="I33" t="str">
            <v/>
          </cell>
          <cell r="J33" t="str">
            <v/>
          </cell>
        </row>
        <row r="34">
          <cell r="A34">
            <v>3000000000258</v>
          </cell>
          <cell r="B34" t="str">
            <v>SFG Poultry Sol Chick Grower Breeder</v>
          </cell>
          <cell r="C34" t="str">
            <v>C</v>
          </cell>
          <cell r="D34" t="str">
            <v/>
          </cell>
          <cell r="E34" t="str">
            <v/>
          </cell>
          <cell r="F34">
            <v>6.6972457674418626</v>
          </cell>
          <cell r="G34">
            <v>7.9085847272727303</v>
          </cell>
          <cell r="H34" t="str">
            <v/>
          </cell>
          <cell r="I34" t="str">
            <v/>
          </cell>
          <cell r="J34" t="str">
            <v/>
          </cell>
        </row>
        <row r="35">
          <cell r="A35">
            <v>3000000000260</v>
          </cell>
          <cell r="B35" t="str">
            <v>SFG Poultry Sol Pre-Lay Breeder Cr</v>
          </cell>
          <cell r="C35" t="str">
            <v>C</v>
          </cell>
          <cell r="D35" t="str">
            <v/>
          </cell>
          <cell r="E35" t="str">
            <v/>
          </cell>
          <cell r="F35" t="str">
            <v/>
          </cell>
          <cell r="G35">
            <v>8.1096186232791005</v>
          </cell>
          <cell r="H35" t="str">
            <v/>
          </cell>
          <cell r="I35" t="str">
            <v/>
          </cell>
          <cell r="J35" t="str">
            <v/>
          </cell>
        </row>
        <row r="36">
          <cell r="A36">
            <v>3000000000262</v>
          </cell>
          <cell r="B36" t="str">
            <v>Poultry Solutions Breeder Layer 1SFG1</v>
          </cell>
          <cell r="C36" t="str">
            <v>C</v>
          </cell>
          <cell r="D36" t="str">
            <v/>
          </cell>
          <cell r="E36" t="str">
            <v/>
          </cell>
          <cell r="F36">
            <v>7.4361437746478876</v>
          </cell>
          <cell r="G36">
            <v>8.2459177251184865</v>
          </cell>
          <cell r="H36" t="str">
            <v/>
          </cell>
          <cell r="I36">
            <v>8.0336009552238803</v>
          </cell>
          <cell r="J36" t="str">
            <v/>
          </cell>
        </row>
        <row r="37">
          <cell r="A37">
            <v>3000000000264</v>
          </cell>
          <cell r="B37" t="str">
            <v>SFG PS Breeder Layer 2 Cr 50kg  G</v>
          </cell>
          <cell r="C37" t="str">
            <v>C</v>
          </cell>
          <cell r="D37" t="str">
            <v/>
          </cell>
          <cell r="E37" t="str">
            <v/>
          </cell>
          <cell r="F37">
            <v>7.3841427692307713</v>
          </cell>
          <cell r="G37">
            <v>7.9994880000000048</v>
          </cell>
          <cell r="H37" t="str">
            <v/>
          </cell>
          <cell r="I37" t="str">
            <v/>
          </cell>
          <cell r="J37" t="str">
            <v/>
          </cell>
        </row>
        <row r="38">
          <cell r="A38">
            <v>3000000000266</v>
          </cell>
          <cell r="B38" t="str">
            <v>Poultry Solutions Breeder Layer MaleSFG1</v>
          </cell>
          <cell r="C38" t="str">
            <v>C</v>
          </cell>
          <cell r="D38" t="str">
            <v/>
          </cell>
          <cell r="E38" t="str">
            <v/>
          </cell>
          <cell r="F38">
            <v>7.6358749090909015</v>
          </cell>
          <cell r="G38">
            <v>7.647461972685889</v>
          </cell>
          <cell r="H38" t="str">
            <v/>
          </cell>
          <cell r="I38" t="str">
            <v/>
          </cell>
          <cell r="J38" t="str">
            <v/>
          </cell>
        </row>
        <row r="39">
          <cell r="A39">
            <v>3000000000280</v>
          </cell>
          <cell r="B39" t="str">
            <v>Poultry Sol Broiler Booster MD-PC Cr50kg</v>
          </cell>
          <cell r="C39" t="str">
            <v>C</v>
          </cell>
          <cell r="D39" t="str">
            <v/>
          </cell>
          <cell r="E39" t="str">
            <v/>
          </cell>
          <cell r="F39" t="str">
            <v/>
          </cell>
          <cell r="G39">
            <v>8.1812945454545449</v>
          </cell>
          <cell r="H39" t="str">
            <v/>
          </cell>
          <cell r="I39" t="str">
            <v/>
          </cell>
          <cell r="J39" t="str">
            <v/>
          </cell>
        </row>
        <row r="40">
          <cell r="A40">
            <v>3000000000330</v>
          </cell>
          <cell r="B40" t="str">
            <v>SFG Poultry Solution Broiler Booster MD</v>
          </cell>
          <cell r="C40" t="str">
            <v>C</v>
          </cell>
          <cell r="D40" t="str">
            <v/>
          </cell>
          <cell r="E40" t="str">
            <v/>
          </cell>
          <cell r="F40" t="str">
            <v/>
          </cell>
          <cell r="G40">
            <v>8.3932654179324739</v>
          </cell>
          <cell r="H40" t="str">
            <v/>
          </cell>
          <cell r="I40" t="str">
            <v/>
          </cell>
          <cell r="J40" t="str">
            <v/>
          </cell>
        </row>
        <row r="41">
          <cell r="A41">
            <v>3000000000332</v>
          </cell>
          <cell r="B41" t="str">
            <v>SFG Poultry Sol Broiler Starter MD, 50kg</v>
          </cell>
          <cell r="C41" t="str">
            <v>C</v>
          </cell>
          <cell r="D41" t="str">
            <v/>
          </cell>
          <cell r="E41" t="str">
            <v/>
          </cell>
          <cell r="F41">
            <v>7.3654889180740462</v>
          </cell>
          <cell r="G41">
            <v>7.7137920000000006</v>
          </cell>
          <cell r="H41" t="str">
            <v/>
          </cell>
          <cell r="I41" t="str">
            <v/>
          </cell>
          <cell r="J41" t="str">
            <v/>
          </cell>
        </row>
        <row r="42">
          <cell r="A42">
            <v>3000000000334</v>
          </cell>
          <cell r="B42" t="str">
            <v>SFG Poultry Sol Broiler Finisher MD 50Kg</v>
          </cell>
          <cell r="C42" t="str">
            <v>MP</v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>
            <v>8.790730878519879</v>
          </cell>
          <cell r="J42">
            <v>8.8950432357455878</v>
          </cell>
        </row>
        <row r="43">
          <cell r="A43">
            <v>3000000000336</v>
          </cell>
          <cell r="B43" t="str">
            <v>SFG Finisher MD NM, 50kg</v>
          </cell>
          <cell r="C43" t="str">
            <v>MP</v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>
            <v>7.9994879999999986</v>
          </cell>
          <cell r="J43">
            <v>8.4645745116279052</v>
          </cell>
        </row>
        <row r="44">
          <cell r="A44">
            <v>3000000000391</v>
          </cell>
          <cell r="B44" t="str">
            <v>SFG PE Chicken Pre-Lay</v>
          </cell>
          <cell r="C44" t="str">
            <v>C</v>
          </cell>
          <cell r="D44" t="str">
            <v/>
          </cell>
          <cell r="E44" t="str">
            <v/>
          </cell>
          <cell r="F44" t="str">
            <v/>
          </cell>
          <cell r="G44">
            <v>7.9994880000000101</v>
          </cell>
          <cell r="H44" t="str">
            <v/>
          </cell>
          <cell r="I44" t="str">
            <v/>
          </cell>
          <cell r="J44" t="str">
            <v/>
          </cell>
        </row>
        <row r="45">
          <cell r="A45">
            <v>3000000000393</v>
          </cell>
          <cell r="B45" t="str">
            <v>SFG PE CHICK BOOSTEX 50kG</v>
          </cell>
          <cell r="C45" t="str">
            <v>C</v>
          </cell>
          <cell r="D45" t="str">
            <v/>
          </cell>
          <cell r="E45" t="str">
            <v/>
          </cell>
          <cell r="F45" t="str">
            <v/>
          </cell>
          <cell r="G45">
            <v>8.3128253458483758</v>
          </cell>
          <cell r="H45" t="str">
            <v/>
          </cell>
          <cell r="I45" t="str">
            <v/>
          </cell>
          <cell r="J45" t="str">
            <v/>
          </cell>
        </row>
        <row r="46">
          <cell r="A46">
            <v>3000000000395</v>
          </cell>
          <cell r="B46" t="str">
            <v>SFG Poultry Exp Broiler Finex CS P, 50kg</v>
          </cell>
          <cell r="C46" t="str">
            <v>C</v>
          </cell>
          <cell r="D46" t="str">
            <v/>
          </cell>
          <cell r="E46" t="str">
            <v/>
          </cell>
          <cell r="F46">
            <v>8.2126480095808372</v>
          </cell>
          <cell r="G46" t="str">
            <v/>
          </cell>
          <cell r="H46" t="str">
            <v/>
          </cell>
          <cell r="I46" t="str">
            <v/>
          </cell>
          <cell r="J46">
            <v>8.1853528811374403</v>
          </cell>
        </row>
        <row r="47">
          <cell r="A47">
            <v>3000000000397</v>
          </cell>
          <cell r="B47" t="str">
            <v>SFG Poultry Exp Chick Growex  Cr 50kg</v>
          </cell>
          <cell r="C47" t="str">
            <v>C</v>
          </cell>
          <cell r="D47" t="str">
            <v/>
          </cell>
          <cell r="E47" t="str">
            <v/>
          </cell>
          <cell r="F47">
            <v>7.1647390389536545</v>
          </cell>
          <cell r="G47">
            <v>7.8445342372881344</v>
          </cell>
          <cell r="H47" t="str">
            <v/>
          </cell>
          <cell r="I47">
            <v>6.9909565616045821</v>
          </cell>
          <cell r="J47" t="str">
            <v/>
          </cell>
        </row>
        <row r="48">
          <cell r="A48">
            <v>3000000000399</v>
          </cell>
          <cell r="B48" t="str">
            <v>SFG Poultry Exp Chicken Layer Cr 50kg</v>
          </cell>
          <cell r="C48" t="str">
            <v>C</v>
          </cell>
          <cell r="D48" t="str">
            <v/>
          </cell>
          <cell r="E48" t="str">
            <v/>
          </cell>
          <cell r="F48">
            <v>7.7236435862068973</v>
          </cell>
          <cell r="G48">
            <v>8.6042009157667394</v>
          </cell>
          <cell r="H48" t="str">
            <v/>
          </cell>
          <cell r="I48">
            <v>8.0800880784242182</v>
          </cell>
          <cell r="J48" t="str">
            <v/>
          </cell>
        </row>
        <row r="49">
          <cell r="A49">
            <v>3000000000466</v>
          </cell>
          <cell r="B49" t="str">
            <v>SFG Poultry Sol Chicken Layer 1 MF</v>
          </cell>
          <cell r="C49" t="str">
            <v>C</v>
          </cell>
          <cell r="D49" t="str">
            <v/>
          </cell>
          <cell r="E49" t="str">
            <v/>
          </cell>
          <cell r="F49" t="str">
            <v/>
          </cell>
          <cell r="G49">
            <v>8.6148332307692339</v>
          </cell>
          <cell r="H49" t="str">
            <v/>
          </cell>
          <cell r="I49">
            <v>8.0119872000000001</v>
          </cell>
          <cell r="J49" t="str">
            <v/>
          </cell>
        </row>
        <row r="50">
          <cell r="A50">
            <v>3000000000480</v>
          </cell>
          <cell r="B50" t="str">
            <v>SFG Gallimax 2 plus RED PELLET-SFGPELL</v>
          </cell>
          <cell r="C50" t="str">
            <v>MP</v>
          </cell>
          <cell r="D50">
            <v>19.08708087341541</v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A51">
            <v>3000000000482</v>
          </cell>
          <cell r="B51" t="str">
            <v>Gallimax 2 Plus (Red) Ready MixSFG1</v>
          </cell>
          <cell r="C51" t="str">
            <v>MX</v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>
            <v>13.15910660833525</v>
          </cell>
          <cell r="I51" t="str">
            <v/>
          </cell>
          <cell r="J51" t="str">
            <v/>
          </cell>
        </row>
        <row r="52">
          <cell r="A52">
            <v>3000000000555</v>
          </cell>
          <cell r="B52" t="str">
            <v>SFG Elite Finex XP 50kg</v>
          </cell>
          <cell r="C52" t="str">
            <v>P</v>
          </cell>
          <cell r="D52">
            <v>19.998719999999981</v>
          </cell>
          <cell r="E52">
            <v>20.077399346177305</v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A53">
            <v>3000000000557</v>
          </cell>
          <cell r="B53" t="str">
            <v>SFG Elite XP GestaPrime - 50Kg</v>
          </cell>
          <cell r="C53" t="str">
            <v>P</v>
          </cell>
          <cell r="D53" t="str">
            <v/>
          </cell>
          <cell r="E53">
            <v>20.157052363394442</v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A54">
            <v>3000000000559</v>
          </cell>
          <cell r="B54" t="str">
            <v>SFG Elite Gestapro XP 50KG</v>
          </cell>
          <cell r="C54" t="str">
            <v>P</v>
          </cell>
          <cell r="D54" t="str">
            <v/>
          </cell>
          <cell r="E54">
            <v>20.059766571790824</v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</row>
        <row r="55">
          <cell r="A55">
            <v>3000000000561</v>
          </cell>
          <cell r="B55" t="str">
            <v>SFG Elite XP Litter Developer/Gesta 2</v>
          </cell>
          <cell r="C55" t="str">
            <v>P</v>
          </cell>
          <cell r="D55" t="str">
            <v/>
          </cell>
          <cell r="E55">
            <v>19.847961012443577</v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</row>
        <row r="56">
          <cell r="A56">
            <v>3000000000563</v>
          </cell>
          <cell r="B56" t="str">
            <v>SFG Pork Solution Lactatex XP</v>
          </cell>
          <cell r="C56" t="str">
            <v>P</v>
          </cell>
          <cell r="D56" t="str">
            <v/>
          </cell>
          <cell r="E56">
            <v>20.04536401731648</v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</row>
        <row r="57">
          <cell r="A57">
            <v>3000000000567</v>
          </cell>
          <cell r="B57" t="str">
            <v>SFG Elite XP Sprinter, MP 50kg (NON)</v>
          </cell>
          <cell r="C57" t="str">
            <v>MP</v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>
            <v>6.5007125959367951</v>
          </cell>
          <cell r="J57">
            <v>6.5671997113545872</v>
          </cell>
        </row>
        <row r="58">
          <cell r="A58">
            <v>3000000000569</v>
          </cell>
          <cell r="B58" t="str">
            <v>Elite XP Pre-starterSFG1</v>
          </cell>
          <cell r="C58" t="str">
            <v>MP</v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>
            <v>6.8321843166090295</v>
          </cell>
          <cell r="J58">
            <v>7.0731008656475867</v>
          </cell>
        </row>
        <row r="59">
          <cell r="A59">
            <v>3000000000571</v>
          </cell>
          <cell r="B59" t="str">
            <v>SFG Elite Startex XP 50KG - 3</v>
          </cell>
          <cell r="C59" t="str">
            <v>MP</v>
          </cell>
          <cell r="D59">
            <v>19.098000822739454</v>
          </cell>
          <cell r="E59">
            <v>20.153449071702852</v>
          </cell>
          <cell r="F59" t="str">
            <v/>
          </cell>
          <cell r="G59" t="str">
            <v/>
          </cell>
          <cell r="H59" t="str">
            <v/>
          </cell>
          <cell r="I59">
            <v>6.7186884293547067</v>
          </cell>
          <cell r="J59">
            <v>6.7255682689216467</v>
          </cell>
        </row>
        <row r="60">
          <cell r="A60">
            <v>3000000000573</v>
          </cell>
          <cell r="B60" t="str">
            <v>SFG Elite Growex 1 XP 50KG</v>
          </cell>
          <cell r="C60" t="str">
            <v>P</v>
          </cell>
          <cell r="D60" t="str">
            <v/>
          </cell>
          <cell r="E60">
            <v>20.158269557932371</v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</row>
        <row r="61">
          <cell r="A61">
            <v>3000000000575</v>
          </cell>
          <cell r="B61" t="str">
            <v>SFG Pork Solution Hog Grower 2XP 50 kg</v>
          </cell>
          <cell r="C61" t="str">
            <v>P</v>
          </cell>
          <cell r="D61" t="str">
            <v/>
          </cell>
          <cell r="E61">
            <v>20.166307156512357</v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</row>
        <row r="62">
          <cell r="A62">
            <v>3000000000579</v>
          </cell>
          <cell r="B62" t="str">
            <v>SFG Lakas Gatas (P)</v>
          </cell>
          <cell r="C62" t="str">
            <v>P</v>
          </cell>
          <cell r="D62">
            <v>20.130247077374761</v>
          </cell>
          <cell r="E62">
            <v>20.046787538556149</v>
          </cell>
          <cell r="F62" t="str">
            <v/>
          </cell>
          <cell r="G62" t="str">
            <v/>
          </cell>
          <cell r="H62" t="str">
            <v/>
          </cell>
          <cell r="I62">
            <v>7.163720597014926</v>
          </cell>
          <cell r="J62" t="str">
            <v/>
          </cell>
        </row>
        <row r="63">
          <cell r="A63">
            <v>3000000000581</v>
          </cell>
          <cell r="B63" t="str">
            <v>SFG Lakas Mama Breeder</v>
          </cell>
          <cell r="C63" t="str">
            <v>P</v>
          </cell>
          <cell r="D63">
            <v>20.105212556862515</v>
          </cell>
          <cell r="E63">
            <v>19.528299745060774</v>
          </cell>
          <cell r="F63" t="str">
            <v/>
          </cell>
          <cell r="G63" t="str">
            <v/>
          </cell>
          <cell r="H63" t="str">
            <v/>
          </cell>
          <cell r="I63">
            <v>7.8918784490958904</v>
          </cell>
          <cell r="J63" t="str">
            <v/>
          </cell>
        </row>
        <row r="64">
          <cell r="A64">
            <v>3000000000605</v>
          </cell>
          <cell r="B64" t="str">
            <v>SFG Kunemax Sprinter</v>
          </cell>
          <cell r="C64" t="str">
            <v>MP</v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>
            <v>5.9996159999999978</v>
          </cell>
          <cell r="J64" t="str">
            <v/>
          </cell>
        </row>
        <row r="65">
          <cell r="A65">
            <v>3000000000607</v>
          </cell>
          <cell r="B65" t="str">
            <v>Kunemax Grower PelletSFG1</v>
          </cell>
          <cell r="C65" t="str">
            <v>P</v>
          </cell>
          <cell r="D65" t="str">
            <v/>
          </cell>
          <cell r="E65" t="str">
            <v/>
          </cell>
          <cell r="F65">
            <v>6.4433175048231517</v>
          </cell>
          <cell r="G65" t="str">
            <v/>
          </cell>
          <cell r="H65" t="str">
            <v/>
          </cell>
          <cell r="I65">
            <v>6.1153110743801644</v>
          </cell>
          <cell r="J65" t="str">
            <v/>
          </cell>
        </row>
        <row r="66">
          <cell r="A66">
            <v>3000000000607</v>
          </cell>
          <cell r="B66" t="str">
            <v>Kunemax Sprinter MP 25 kg</v>
          </cell>
          <cell r="C66" t="str">
            <v>P</v>
          </cell>
          <cell r="D66" t="str">
            <v/>
          </cell>
          <cell r="E66" t="str">
            <v/>
          </cell>
          <cell r="F66">
            <v>6.4433175048231517</v>
          </cell>
          <cell r="G66" t="str">
            <v/>
          </cell>
          <cell r="H66" t="str">
            <v/>
          </cell>
          <cell r="I66">
            <v>6.1153110743801644</v>
          </cell>
          <cell r="J66" t="str">
            <v/>
          </cell>
        </row>
        <row r="67">
          <cell r="A67">
            <v>3000000000609</v>
          </cell>
          <cell r="B67" t="str">
            <v>Kunemax Breeder PelletSFG1</v>
          </cell>
          <cell r="C67" t="str">
            <v>P</v>
          </cell>
          <cell r="D67" t="str">
            <v/>
          </cell>
          <cell r="E67" t="str">
            <v/>
          </cell>
          <cell r="F67">
            <v>6.2064993103448174</v>
          </cell>
          <cell r="G67" t="str">
            <v/>
          </cell>
          <cell r="H67" t="str">
            <v/>
          </cell>
          <cell r="I67">
            <v>6.0919177846153874</v>
          </cell>
          <cell r="J67" t="str">
            <v/>
          </cell>
        </row>
        <row r="68">
          <cell r="A68">
            <v>3000000000611</v>
          </cell>
          <cell r="B68" t="str">
            <v>SFG for Classic Hog Growex</v>
          </cell>
          <cell r="C68" t="str">
            <v>P</v>
          </cell>
          <cell r="D68">
            <v>20.223424719101121</v>
          </cell>
          <cell r="E68">
            <v>20.152829595667814</v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</row>
        <row r="69">
          <cell r="A69">
            <v>3000000000613</v>
          </cell>
          <cell r="B69" t="str">
            <v>SFG Classic Hog Finex, Pellet 50kg</v>
          </cell>
          <cell r="C69" t="str">
            <v>P</v>
          </cell>
          <cell r="D69" t="str">
            <v/>
          </cell>
          <cell r="E69">
            <v>20.042797220959756</v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</row>
        <row r="70">
          <cell r="A70">
            <v>3000000000615</v>
          </cell>
          <cell r="B70" t="str">
            <v>SFG Classic Hog Startex, MP 50kg</v>
          </cell>
          <cell r="C70" t="str">
            <v>MP</v>
          </cell>
          <cell r="D70">
            <v>19.242915574922666</v>
          </cell>
          <cell r="E70">
            <v>20.194727650727653</v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>
            <v>7.0904552727272696</v>
          </cell>
        </row>
        <row r="71">
          <cell r="A71">
            <v>3000000000655</v>
          </cell>
          <cell r="B71" t="str">
            <v>SFG Elite XP RFG Sprinter</v>
          </cell>
          <cell r="C71" t="str">
            <v>MP</v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>
            <v>7.9994879999999844</v>
          </cell>
        </row>
        <row r="72">
          <cell r="A72">
            <v>3000000000657</v>
          </cell>
          <cell r="B72" t="str">
            <v>SFG Elite Pre-startex 2, 25kg T3</v>
          </cell>
          <cell r="C72" t="str">
            <v>MP</v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>
            <v>7.6795084800000035</v>
          </cell>
          <cell r="J72">
            <v>6.8756335509202451</v>
          </cell>
        </row>
        <row r="73">
          <cell r="A73">
            <v>3000000000824</v>
          </cell>
          <cell r="B73" t="str">
            <v>SFG PE Broiler Startex</v>
          </cell>
          <cell r="C73" t="str">
            <v>C</v>
          </cell>
          <cell r="D73" t="str">
            <v/>
          </cell>
          <cell r="E73" t="str">
            <v/>
          </cell>
          <cell r="F73" t="str">
            <v/>
          </cell>
          <cell r="G73">
            <v>7.7475821833234795</v>
          </cell>
          <cell r="H73" t="str">
            <v/>
          </cell>
          <cell r="I73" t="str">
            <v/>
          </cell>
          <cell r="J73" t="str">
            <v/>
          </cell>
        </row>
        <row r="74">
          <cell r="A74">
            <v>3000000000830</v>
          </cell>
          <cell r="B74" t="str">
            <v>SFG Basic Chick Boostex</v>
          </cell>
          <cell r="C74" t="str">
            <v>C</v>
          </cell>
          <cell r="D74" t="str">
            <v/>
          </cell>
          <cell r="E74" t="str">
            <v/>
          </cell>
          <cell r="F74" t="str">
            <v/>
          </cell>
          <cell r="G74">
            <v>7.993105429787235</v>
          </cell>
          <cell r="H74" t="str">
            <v/>
          </cell>
          <cell r="I74" t="str">
            <v/>
          </cell>
          <cell r="J74" t="str">
            <v/>
          </cell>
        </row>
        <row r="75">
          <cell r="A75">
            <v>3000000000836</v>
          </cell>
          <cell r="B75" t="str">
            <v>SFG Duck Layex</v>
          </cell>
          <cell r="C75" t="str">
            <v>P</v>
          </cell>
          <cell r="D75" t="str">
            <v/>
          </cell>
          <cell r="E75">
            <v>20.172208061882589</v>
          </cell>
          <cell r="F75">
            <v>8.6148332307692339</v>
          </cell>
          <cell r="G75">
            <v>9.5993856000000015</v>
          </cell>
          <cell r="H75" t="str">
            <v/>
          </cell>
          <cell r="I75">
            <v>8.3786985115826074</v>
          </cell>
          <cell r="J75" t="str">
            <v/>
          </cell>
        </row>
        <row r="76">
          <cell r="A76">
            <v>3000000000838</v>
          </cell>
          <cell r="B76" t="str">
            <v>SFG Ave Max Duck Layex 2</v>
          </cell>
          <cell r="C76" t="str">
            <v>P</v>
          </cell>
          <cell r="D76" t="str">
            <v/>
          </cell>
          <cell r="E76">
            <v>20.148588823429368</v>
          </cell>
          <cell r="F76">
            <v>8.4407067625899312</v>
          </cell>
          <cell r="G76">
            <v>8.8646572512479196</v>
          </cell>
          <cell r="H76" t="str">
            <v/>
          </cell>
          <cell r="I76">
            <v>8.4205136842105279</v>
          </cell>
          <cell r="J76" t="str">
            <v/>
          </cell>
        </row>
        <row r="77">
          <cell r="A77">
            <v>3000000000840</v>
          </cell>
          <cell r="B77" t="str">
            <v>SFG Ave Max Duck Growex M-Pellet, 50 kg</v>
          </cell>
          <cell r="C77" t="str">
            <v>MP</v>
          </cell>
          <cell r="D77">
            <v>19.858303684335976</v>
          </cell>
          <cell r="E77" t="str">
            <v/>
          </cell>
          <cell r="F77">
            <v>7.6795084800000009</v>
          </cell>
          <cell r="G77" t="str">
            <v/>
          </cell>
          <cell r="H77" t="str">
            <v/>
          </cell>
          <cell r="I77">
            <v>7.999487999999995</v>
          </cell>
          <cell r="J77">
            <v>7.6770518234165062</v>
          </cell>
        </row>
        <row r="78">
          <cell r="A78">
            <v>3000000000842</v>
          </cell>
          <cell r="B78" t="str">
            <v>SFG Duck Startex</v>
          </cell>
          <cell r="C78" t="str">
            <v>C</v>
          </cell>
          <cell r="D78" t="str">
            <v/>
          </cell>
          <cell r="E78" t="str">
            <v/>
          </cell>
          <cell r="F78" t="str">
            <v/>
          </cell>
          <cell r="G78">
            <v>8.0560214840989435</v>
          </cell>
          <cell r="H78" t="str">
            <v/>
          </cell>
          <cell r="I78" t="str">
            <v/>
          </cell>
          <cell r="J78" t="str">
            <v/>
          </cell>
        </row>
        <row r="79">
          <cell r="A79">
            <v>3000000000844</v>
          </cell>
          <cell r="B79" t="str">
            <v>SFG Ave Max Duck Pre-Lay Pellet, 50kg</v>
          </cell>
          <cell r="C79" t="str">
            <v>P</v>
          </cell>
          <cell r="D79" t="str">
            <v/>
          </cell>
          <cell r="E79" t="str">
            <v/>
          </cell>
          <cell r="F79">
            <v>7.1995391999999985</v>
          </cell>
          <cell r="G79">
            <v>8.2430984702549583</v>
          </cell>
          <cell r="H79" t="str">
            <v/>
          </cell>
          <cell r="I79" t="str">
            <v/>
          </cell>
          <cell r="J79" t="str">
            <v/>
          </cell>
        </row>
        <row r="80">
          <cell r="A80">
            <v>3000000000848</v>
          </cell>
          <cell r="B80" t="str">
            <v>SFG Quail layex</v>
          </cell>
          <cell r="C80" t="str">
            <v>C</v>
          </cell>
          <cell r="D80">
            <v>13.999103999999996</v>
          </cell>
          <cell r="E80">
            <v>12.399206400000004</v>
          </cell>
          <cell r="F80" t="str">
            <v/>
          </cell>
          <cell r="G80">
            <v>7.881436526263137</v>
          </cell>
          <cell r="H80" t="str">
            <v/>
          </cell>
          <cell r="I80" t="str">
            <v/>
          </cell>
          <cell r="J80" t="str">
            <v/>
          </cell>
        </row>
        <row r="81">
          <cell r="A81">
            <v>3000000000858</v>
          </cell>
          <cell r="B81" t="str">
            <v>SFG Salto Chick Booster, 50 kg</v>
          </cell>
          <cell r="C81" t="str">
            <v>C</v>
          </cell>
          <cell r="D81">
            <v>14.051959005373144</v>
          </cell>
          <cell r="E81">
            <v>13.274660127386952</v>
          </cell>
          <cell r="F81" t="str">
            <v/>
          </cell>
          <cell r="G81">
            <v>7.4477991724137933</v>
          </cell>
          <cell r="H81" t="str">
            <v/>
          </cell>
          <cell r="I81" t="str">
            <v/>
          </cell>
          <cell r="J81" t="str">
            <v/>
          </cell>
        </row>
        <row r="82">
          <cell r="A82">
            <v>3000000001127</v>
          </cell>
          <cell r="B82" t="str">
            <v>Poultry Solution Broiler Booster Crumble MD, CE 50kgs</v>
          </cell>
          <cell r="C82" t="str">
            <v>C</v>
          </cell>
          <cell r="D82" t="str">
            <v/>
          </cell>
          <cell r="E82" t="str">
            <v/>
          </cell>
          <cell r="F82" t="str">
            <v/>
          </cell>
          <cell r="G82">
            <v>8.5170149500924222</v>
          </cell>
          <cell r="H82" t="str">
            <v/>
          </cell>
          <cell r="I82" t="str">
            <v/>
          </cell>
          <cell r="J82" t="str">
            <v/>
          </cell>
        </row>
        <row r="83">
          <cell r="A83">
            <v>3000000001129</v>
          </cell>
          <cell r="B83" t="str">
            <v>Poultry Solution Broiler Starter Crumble MD, CE 50kgs</v>
          </cell>
          <cell r="C83" t="str">
            <v>C</v>
          </cell>
          <cell r="D83" t="str">
            <v/>
          </cell>
          <cell r="E83" t="str">
            <v/>
          </cell>
          <cell r="F83">
            <v>7.2324138082191771</v>
          </cell>
          <cell r="G83">
            <v>7.6590842553191489</v>
          </cell>
          <cell r="H83" t="str">
            <v/>
          </cell>
          <cell r="I83" t="str">
            <v/>
          </cell>
          <cell r="J83" t="str">
            <v/>
          </cell>
        </row>
        <row r="84">
          <cell r="A84">
            <v>3000000001131</v>
          </cell>
          <cell r="B84" t="str">
            <v>Poultry Solutions Broiler FinisherSFG1</v>
          </cell>
          <cell r="C84" t="str">
            <v>MP</v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>
            <v>9.0200090829694339</v>
          </cell>
        </row>
        <row r="85">
          <cell r="A85">
            <v>3000000001133</v>
          </cell>
          <cell r="B85" t="str">
            <v>Poultry Sol Broiler Starter MP MD, 50kg</v>
          </cell>
          <cell r="C85" t="str">
            <v>MP</v>
          </cell>
          <cell r="D85" t="str">
            <v/>
          </cell>
          <cell r="E85" t="str">
            <v/>
          </cell>
          <cell r="F85">
            <v>8.4700461176470601</v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</row>
        <row r="86">
          <cell r="A86">
            <v>3000000001282</v>
          </cell>
          <cell r="B86" t="str">
            <v>Poultry Sol Breeder Starter 2 Cr 50kgSFG1</v>
          </cell>
          <cell r="C86" t="str">
            <v>C</v>
          </cell>
          <cell r="D86" t="str">
            <v/>
          </cell>
          <cell r="E86" t="str">
            <v/>
          </cell>
          <cell r="F86" t="str">
            <v/>
          </cell>
          <cell r="G86">
            <v>7.1346784864864849</v>
          </cell>
          <cell r="H86" t="str">
            <v/>
          </cell>
          <cell r="I86" t="str">
            <v/>
          </cell>
          <cell r="J86" t="str">
            <v/>
          </cell>
        </row>
        <row r="87">
          <cell r="A87">
            <v>3000000001289</v>
          </cell>
          <cell r="B87" t="str">
            <v>PS BOOSTER MASH PLUS  first pass</v>
          </cell>
          <cell r="C87" t="str">
            <v>P</v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>
            <v>7.9994879999999986</v>
          </cell>
          <cell r="J87" t="str">
            <v/>
          </cell>
        </row>
        <row r="88">
          <cell r="A88">
            <v>3000000001297</v>
          </cell>
          <cell r="B88" t="str">
            <v>SFG Elite Pre-startex 2, 25kg T2</v>
          </cell>
          <cell r="C88" t="str">
            <v>MP</v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>
            <v>7.999488000000027</v>
          </cell>
        </row>
        <row r="89">
          <cell r="A89">
            <v>3000000001300</v>
          </cell>
          <cell r="B89" t="str">
            <v>Elite XP Startex, Mini-pellet 50kg T2SFG</v>
          </cell>
          <cell r="C89" t="str">
            <v>MP</v>
          </cell>
          <cell r="D89">
            <v>19.029619030837011</v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</row>
        <row r="90">
          <cell r="A90">
            <v>3000000001302</v>
          </cell>
          <cell r="B90" t="str">
            <v>Elite XP Startex, Mini-pellet 50kg T3SFG</v>
          </cell>
          <cell r="C90" t="str">
            <v>MP</v>
          </cell>
          <cell r="D90">
            <v>19.427632986389106</v>
          </cell>
          <cell r="E90">
            <v>20.500482510023637</v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>
            <v>7.0239406829268267</v>
          </cell>
        </row>
        <row r="91">
          <cell r="A91">
            <v>3000000001304</v>
          </cell>
          <cell r="B91" t="str">
            <v>Elite XP Growex, Pellet 50kg T2SFG1</v>
          </cell>
          <cell r="C91" t="str">
            <v>P</v>
          </cell>
          <cell r="D91" t="str">
            <v/>
          </cell>
          <cell r="E91">
            <v>20.078396175298717</v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</row>
        <row r="92">
          <cell r="A92">
            <v>3000000001306</v>
          </cell>
          <cell r="B92" t="str">
            <v>Elite XP Growex 2, Pellet 50kg T2SFG1</v>
          </cell>
          <cell r="C92" t="str">
            <v>P</v>
          </cell>
          <cell r="D92" t="str">
            <v/>
          </cell>
          <cell r="E92">
            <v>20.180696143888238</v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</row>
        <row r="93">
          <cell r="A93">
            <v>3000000001308</v>
          </cell>
          <cell r="B93" t="str">
            <v>Elite XP Finex, Pellet 50kg T2SFG1</v>
          </cell>
          <cell r="C93" t="str">
            <v>P</v>
          </cell>
          <cell r="D93" t="str">
            <v/>
          </cell>
          <cell r="E93">
            <v>20.071514811383182</v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</row>
        <row r="94">
          <cell r="A94">
            <v>3000000001653</v>
          </cell>
          <cell r="B94" t="str">
            <v>POULTRY SOL BROILER FINISHER SB 50 KG</v>
          </cell>
          <cell r="C94" t="str">
            <v>MP</v>
          </cell>
          <cell r="D94" t="str">
            <v/>
          </cell>
          <cell r="E94" t="str">
            <v/>
          </cell>
          <cell r="F94">
            <v>8.3935667339022491</v>
          </cell>
          <cell r="G94" t="str">
            <v/>
          </cell>
          <cell r="H94" t="str">
            <v/>
          </cell>
          <cell r="I94">
            <v>7.9996415999999995</v>
          </cell>
          <cell r="J94">
            <v>7.744185191489362</v>
          </cell>
        </row>
        <row r="95">
          <cell r="A95">
            <v>3000000001653</v>
          </cell>
          <cell r="B95" t="str">
            <v>POULTRY SOL BROILER FINISHER SB SFG</v>
          </cell>
          <cell r="C95" t="str">
            <v>MP</v>
          </cell>
          <cell r="D95" t="str">
            <v/>
          </cell>
          <cell r="E95" t="str">
            <v/>
          </cell>
          <cell r="F95">
            <v>8.3935667339022491</v>
          </cell>
          <cell r="G95" t="str">
            <v/>
          </cell>
          <cell r="H95" t="str">
            <v/>
          </cell>
          <cell r="I95">
            <v>7.9996415999999995</v>
          </cell>
          <cell r="J95">
            <v>7.744185191489362</v>
          </cell>
        </row>
        <row r="96">
          <cell r="A96">
            <v>3000000001658</v>
          </cell>
          <cell r="B96" t="str">
            <v>Poultry Solutions CL2 P 50KG- EGC</v>
          </cell>
          <cell r="C96" t="str">
            <v>C</v>
          </cell>
          <cell r="D96" t="str">
            <v/>
          </cell>
          <cell r="E96" t="str">
            <v/>
          </cell>
          <cell r="F96" t="str">
            <v/>
          </cell>
          <cell r="G96">
            <v>8.8504973617021285</v>
          </cell>
          <cell r="H96" t="str">
            <v/>
          </cell>
          <cell r="I96" t="str">
            <v/>
          </cell>
          <cell r="J96" t="str">
            <v/>
          </cell>
        </row>
        <row r="97">
          <cell r="A97">
            <v>3000000001755</v>
          </cell>
          <cell r="B97" t="str">
            <v>Poultry Sol PreLayB C 50KG-SFPI</v>
          </cell>
          <cell r="C97" t="str">
            <v>C</v>
          </cell>
          <cell r="D97" t="str">
            <v/>
          </cell>
          <cell r="E97" t="str">
            <v/>
          </cell>
          <cell r="F97" t="str">
            <v/>
          </cell>
          <cell r="G97">
            <v>7.9994880000000093</v>
          </cell>
          <cell r="H97" t="str">
            <v/>
          </cell>
          <cell r="I97" t="str">
            <v/>
          </cell>
          <cell r="J97" t="str">
            <v/>
          </cell>
        </row>
        <row r="98">
          <cell r="A98">
            <v>3000000001756</v>
          </cell>
          <cell r="B98" t="str">
            <v>Poultry Sol BDR L1 C 50KG</v>
          </cell>
          <cell r="C98" t="str">
            <v>C</v>
          </cell>
          <cell r="D98" t="str">
            <v/>
          </cell>
          <cell r="E98" t="str">
            <v/>
          </cell>
          <cell r="F98" t="str">
            <v/>
          </cell>
          <cell r="G98">
            <v>8.210000842105261</v>
          </cell>
          <cell r="H98" t="str">
            <v/>
          </cell>
          <cell r="I98" t="str">
            <v/>
          </cell>
          <cell r="J98" t="str">
            <v/>
          </cell>
        </row>
        <row r="99">
          <cell r="A99">
            <v>3000000001757</v>
          </cell>
          <cell r="B99" t="str">
            <v>Poultry Sol BDR L2 C 50KG-SFPI</v>
          </cell>
          <cell r="C99" t="str">
            <v>C</v>
          </cell>
          <cell r="D99" t="str">
            <v/>
          </cell>
          <cell r="E99" t="str">
            <v/>
          </cell>
          <cell r="F99" t="str">
            <v/>
          </cell>
          <cell r="G99">
            <v>7.8876070489510521</v>
          </cell>
          <cell r="H99" t="str">
            <v/>
          </cell>
          <cell r="I99" t="str">
            <v/>
          </cell>
          <cell r="J99" t="str">
            <v/>
          </cell>
        </row>
        <row r="100">
          <cell r="A100">
            <v>3000000001774</v>
          </cell>
          <cell r="B100" t="str">
            <v>Poultry Sol CG 2 MP 50KG</v>
          </cell>
          <cell r="C100" t="str">
            <v>MP</v>
          </cell>
          <cell r="D100" t="str">
            <v/>
          </cell>
          <cell r="E100" t="str">
            <v/>
          </cell>
          <cell r="F100">
            <v>7.9042560000000002</v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</row>
        <row r="101">
          <cell r="A101">
            <v>3000000001821</v>
          </cell>
          <cell r="B101" t="str">
            <v xml:space="preserve">SFG ELITE XP RFG2 SPRINTER     </v>
          </cell>
          <cell r="C101" t="str">
            <v>MP</v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>
            <v>5.901261639344253</v>
          </cell>
        </row>
        <row r="102">
          <cell r="A102">
            <v>3000000001972</v>
          </cell>
          <cell r="B102" t="str">
            <v>POULTRY SOLUTIONS CSB CR 50 KG-SF</v>
          </cell>
          <cell r="C102" t="str">
            <v>C</v>
          </cell>
          <cell r="D102" t="str">
            <v/>
          </cell>
          <cell r="E102" t="str">
            <v/>
          </cell>
          <cell r="F102" t="str">
            <v/>
          </cell>
          <cell r="G102">
            <v>8.4700461176470636</v>
          </cell>
          <cell r="H102" t="str">
            <v/>
          </cell>
          <cell r="I102" t="str">
            <v/>
          </cell>
          <cell r="J102" t="str">
            <v/>
          </cell>
        </row>
        <row r="103">
          <cell r="A103">
            <v>3000000001973</v>
          </cell>
          <cell r="B103" t="str">
            <v>POULTRY SOLUTIONS CGB CR 50 KG-SENCO</v>
          </cell>
          <cell r="C103" t="str">
            <v>C</v>
          </cell>
          <cell r="D103" t="str">
            <v/>
          </cell>
          <cell r="E103" t="str">
            <v/>
          </cell>
          <cell r="F103" t="str">
            <v/>
          </cell>
          <cell r="G103">
            <v>7.872512000000004</v>
          </cell>
          <cell r="H103" t="str">
            <v/>
          </cell>
          <cell r="I103" t="str">
            <v/>
          </cell>
          <cell r="J103" t="str">
            <v/>
          </cell>
        </row>
        <row r="104">
          <cell r="A104">
            <v>3000000001974</v>
          </cell>
          <cell r="B104" t="str">
            <v>PS Pre-lay Breeder Cr 50 kg-SENCO</v>
          </cell>
          <cell r="C104" t="str">
            <v>C</v>
          </cell>
          <cell r="D104" t="str">
            <v/>
          </cell>
          <cell r="E104" t="str">
            <v/>
          </cell>
          <cell r="F104" t="str">
            <v/>
          </cell>
          <cell r="G104">
            <v>7.3658651881188151</v>
          </cell>
          <cell r="H104" t="str">
            <v/>
          </cell>
          <cell r="I104" t="str">
            <v/>
          </cell>
          <cell r="J104" t="str">
            <v/>
          </cell>
        </row>
        <row r="105">
          <cell r="A105">
            <v>3000000001975</v>
          </cell>
          <cell r="B105" t="str">
            <v>PS Breeder Layer 1 Cr 50 kg-SENCO</v>
          </cell>
          <cell r="C105" t="str">
            <v>C</v>
          </cell>
          <cell r="D105" t="str">
            <v/>
          </cell>
          <cell r="E105" t="str">
            <v/>
          </cell>
          <cell r="F105" t="str">
            <v/>
          </cell>
          <cell r="G105">
            <v>7.9379534769230782</v>
          </cell>
          <cell r="H105" t="str">
            <v/>
          </cell>
          <cell r="I105" t="str">
            <v/>
          </cell>
          <cell r="J105" t="str">
            <v/>
          </cell>
        </row>
        <row r="106">
          <cell r="A106">
            <v>3000000001982</v>
          </cell>
          <cell r="B106" t="str">
            <v>PS Chick Starter 2 Cr 750 kg</v>
          </cell>
          <cell r="C106" t="str">
            <v>C</v>
          </cell>
          <cell r="D106" t="str">
            <v/>
          </cell>
          <cell r="E106" t="str">
            <v/>
          </cell>
          <cell r="F106" t="str">
            <v/>
          </cell>
          <cell r="G106">
            <v>7.4375404958677711</v>
          </cell>
          <cell r="H106" t="str">
            <v/>
          </cell>
          <cell r="I106" t="str">
            <v/>
          </cell>
          <cell r="J106" t="str">
            <v/>
          </cell>
        </row>
        <row r="107">
          <cell r="A107">
            <v>3000000001983</v>
          </cell>
          <cell r="B107" t="str">
            <v>SFG PS Chick Grower Cr 750 kg</v>
          </cell>
          <cell r="C107" t="str">
            <v>C</v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>
            <v>7.0973553953544828</v>
          </cell>
          <cell r="J107" t="str">
            <v/>
          </cell>
        </row>
        <row r="108">
          <cell r="A108">
            <v>3000000002008</v>
          </cell>
          <cell r="B108" t="str">
            <v>SFG PS Pre-lay Cr 750 kg</v>
          </cell>
          <cell r="C108" t="str">
            <v>C</v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>
            <v>7.7720144075829376</v>
          </cell>
          <cell r="J108" t="str">
            <v/>
          </cell>
        </row>
        <row r="109">
          <cell r="A109">
            <v>3000000002011</v>
          </cell>
          <cell r="B109" t="str">
            <v>SFG PS Chicken Layer 1 Cr 750 kg</v>
          </cell>
          <cell r="C109" t="str">
            <v>C</v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>
            <v>7.7595277988783158</v>
          </cell>
          <cell r="J109" t="str">
            <v/>
          </cell>
        </row>
        <row r="110">
          <cell r="A110">
            <v>3000000002012</v>
          </cell>
          <cell r="B110" t="str">
            <v>SFG PS Chicken Layer 2 Cr 750 kg</v>
          </cell>
          <cell r="C110" t="str">
            <v>C</v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>
            <v>8.2048942080000007</v>
          </cell>
          <cell r="J110" t="str">
            <v/>
          </cell>
        </row>
        <row r="111">
          <cell r="A111">
            <v>3000000002050</v>
          </cell>
          <cell r="B111" t="str">
            <v>SFG PS Broiler Finisher MD CA MP</v>
          </cell>
          <cell r="C111" t="str">
            <v>MP</v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>
            <v>8.194597463414631</v>
          </cell>
          <cell r="J111">
            <v>8.7214942854391815</v>
          </cell>
        </row>
        <row r="112">
          <cell r="A112">
            <v>3000000002073</v>
          </cell>
          <cell r="B112" t="str">
            <v>PS Broiler Starter MD CA Crumble, 50kg</v>
          </cell>
          <cell r="C112" t="str">
            <v>C</v>
          </cell>
          <cell r="D112" t="str">
            <v/>
          </cell>
          <cell r="E112" t="str">
            <v/>
          </cell>
          <cell r="F112">
            <v>7.5307940617180993</v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</row>
        <row r="113">
          <cell r="A113">
            <v>3000000002074</v>
          </cell>
          <cell r="B113" t="str">
            <v>PS Broiler Booster MD CA Crumble, 50kg</v>
          </cell>
          <cell r="C113" t="str">
            <v>C</v>
          </cell>
          <cell r="D113" t="str">
            <v/>
          </cell>
          <cell r="E113" t="str">
            <v/>
          </cell>
          <cell r="F113" t="str">
            <v/>
          </cell>
          <cell r="G113">
            <v>8.3372782802303274</v>
          </cell>
          <cell r="H113" t="str">
            <v/>
          </cell>
          <cell r="I113" t="str">
            <v/>
          </cell>
          <cell r="J113" t="str">
            <v/>
          </cell>
        </row>
        <row r="114">
          <cell r="A114">
            <v>3000000002141</v>
          </cell>
          <cell r="B114" t="str">
            <v>POL SOL BRO BOOSTER, C 50KG-JW</v>
          </cell>
          <cell r="C114" t="str">
            <v>C</v>
          </cell>
          <cell r="D114" t="str">
            <v/>
          </cell>
          <cell r="E114" t="str">
            <v/>
          </cell>
          <cell r="F114" t="str">
            <v/>
          </cell>
          <cell r="G114">
            <v>7.9994879999999995</v>
          </cell>
          <cell r="H114" t="str">
            <v/>
          </cell>
          <cell r="I114">
            <v>6.4757760000000006</v>
          </cell>
          <cell r="J114" t="str">
            <v/>
          </cell>
        </row>
        <row r="115">
          <cell r="A115">
            <v>3000000002141</v>
          </cell>
          <cell r="B115" t="str">
            <v>Poultry Solutions Broiler Booster, Cr 50kg-JW</v>
          </cell>
          <cell r="C115" t="str">
            <v>C</v>
          </cell>
          <cell r="D115" t="str">
            <v/>
          </cell>
          <cell r="E115" t="str">
            <v/>
          </cell>
          <cell r="F115" t="str">
            <v/>
          </cell>
          <cell r="G115">
            <v>7.9994879999999995</v>
          </cell>
          <cell r="H115" t="str">
            <v/>
          </cell>
          <cell r="I115">
            <v>6.4757760000000006</v>
          </cell>
          <cell r="J115" t="str">
            <v/>
          </cell>
        </row>
        <row r="116">
          <cell r="A116">
            <v>3000000002141</v>
          </cell>
          <cell r="B116" t="str">
            <v>SFG Poultry Solutions Broiler Booster, Cr-JW</v>
          </cell>
          <cell r="C116" t="str">
            <v>C</v>
          </cell>
          <cell r="D116" t="str">
            <v/>
          </cell>
          <cell r="E116" t="str">
            <v/>
          </cell>
          <cell r="F116" t="str">
            <v/>
          </cell>
          <cell r="G116">
            <v>7.9994879999999995</v>
          </cell>
          <cell r="H116" t="str">
            <v/>
          </cell>
          <cell r="I116">
            <v>6.4757760000000006</v>
          </cell>
          <cell r="J116" t="str">
            <v/>
          </cell>
        </row>
        <row r="117">
          <cell r="A117">
            <v>3000000002143</v>
          </cell>
          <cell r="B117" t="str">
            <v>Poultry Solutions Chick Grower 1, Cr 50kg-JW</v>
          </cell>
          <cell r="C117" t="str">
            <v>C</v>
          </cell>
          <cell r="D117" t="str">
            <v/>
          </cell>
          <cell r="E117" t="str">
            <v/>
          </cell>
          <cell r="F117" t="str">
            <v/>
          </cell>
          <cell r="G117">
            <v>7.3407066352941177</v>
          </cell>
          <cell r="H117" t="str">
            <v/>
          </cell>
          <cell r="I117" t="str">
            <v/>
          </cell>
          <cell r="J117" t="str">
            <v/>
          </cell>
        </row>
        <row r="118">
          <cell r="A118">
            <v>3000000002181</v>
          </cell>
          <cell r="B118" t="str">
            <v>Pol Sol Chk Pre-lay, C BCM 50kg</v>
          </cell>
          <cell r="C118" t="str">
            <v>C</v>
          </cell>
          <cell r="D118" t="str">
            <v/>
          </cell>
          <cell r="E118" t="str">
            <v/>
          </cell>
          <cell r="F118" t="str">
            <v/>
          </cell>
          <cell r="G118">
            <v>8.7799258536585327</v>
          </cell>
          <cell r="H118" t="str">
            <v/>
          </cell>
          <cell r="I118" t="str">
            <v/>
          </cell>
          <cell r="J118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PwC Slide Master">
  <a:themeElements>
    <a:clrScheme name="PwC Office Colours">
      <a:dk1>
        <a:srgbClr val="000000"/>
      </a:dk1>
      <a:lt1>
        <a:srgbClr val="FFFFFF"/>
      </a:lt1>
      <a:dk2>
        <a:srgbClr val="000000"/>
      </a:dk2>
      <a:lt2>
        <a:srgbClr val="EBEBEB"/>
      </a:lt2>
      <a:accent1>
        <a:srgbClr val="FD5108"/>
      </a:accent1>
      <a:accent2>
        <a:srgbClr val="FE7C39"/>
      </a:accent2>
      <a:accent3>
        <a:srgbClr val="FFAA72"/>
      </a:accent3>
      <a:accent4>
        <a:srgbClr val="A1A8B3"/>
      </a:accent4>
      <a:accent5>
        <a:srgbClr val="B5BCC4"/>
      </a:accent5>
      <a:accent6>
        <a:srgbClr val="CBD1D6"/>
      </a:accent6>
      <a:hlink>
        <a:srgbClr val="000000"/>
      </a:hlink>
      <a:folHlink>
        <a:srgbClr val="A1A8B3"/>
      </a:folHlink>
    </a:clrScheme>
    <a:fontScheme name="PwC Offic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>
            <a:latin typeface="+mj-lt"/>
          </a:defRPr>
        </a:defPPr>
      </a:lstStyle>
    </a:txDef>
  </a:objectDefaults>
  <a:extraClrSchemeLst/>
  <a:custClrLst>
    <a:custClr name="Orange">
      <a:srgbClr val="FD5108"/>
    </a:custClr>
    <a:custClr name="Medium Orange">
      <a:srgbClr val="FE7C39"/>
    </a:custClr>
    <a:custClr name="Light Orange">
      <a:srgbClr val="FFAA72"/>
    </a:custClr>
    <a:custClr name="Orange Tint 1">
      <a:srgbClr val="FFCDA8"/>
    </a:custClr>
    <a:custClr name="Orange Tint 2">
      <a:srgbClr val="FFE8D4"/>
    </a:custClr>
    <a:custClr name="Orange Tint 3">
      <a:srgbClr val="FFF5ED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Grey">
      <a:srgbClr val="A1A8B3"/>
    </a:custClr>
    <a:custClr name="Medium Grey">
      <a:srgbClr val="B5BCC4"/>
    </a:custClr>
    <a:custClr name="Light Grey">
      <a:srgbClr val="CBD1D6"/>
    </a:custClr>
    <a:custClr name="Grey Tint 1">
      <a:srgbClr val="DFE3E6"/>
    </a:custClr>
    <a:custClr name="Grey Tint 2">
      <a:srgbClr val="EEEFF1"/>
    </a:custClr>
    <a:custClr name="Grey Tint 3">
      <a:srgbClr val="F5F7F8"/>
    </a:custClr>
  </a:custClrLst>
  <a:extLst>
    <a:ext uri="{05A4C25C-085E-4340-85A3-A5531E510DB2}">
      <thm15:themeFamily xmlns:thm15="http://schemas.microsoft.com/office/thememl/2012/main" name="PwC_ppt_template" id="{0B296F49-9839-BE48-A6B0-07FAE54AD4FB}" vid="{251455FA-3AFB-1547-9744-D9A80673297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AEB3-9DAB-44B7-8FB8-2F91DE5DC757}">
  <sheetPr>
    <tabColor theme="4"/>
  </sheetPr>
  <dimension ref="A1:Z359"/>
  <sheetViews>
    <sheetView tabSelected="1" zoomScale="140" zoomScaleNormal="140" workbookViewId="0">
      <selection activeCell="D14" sqref="D14"/>
    </sheetView>
  </sheetViews>
  <sheetFormatPr defaultColWidth="20.6328125" defaultRowHeight="13.85" x14ac:dyDescent="0.25"/>
  <cols>
    <col min="1" max="1" width="20.6328125" style="7"/>
    <col min="2" max="2" width="34.26953125" style="8" customWidth="1"/>
    <col min="3" max="3" width="20.6328125" style="3" customWidth="1"/>
    <col min="4" max="4" width="20.6328125" style="8" customWidth="1"/>
    <col min="5" max="8" width="20.6328125" style="3" customWidth="1"/>
    <col min="9" max="11" width="20.6328125" style="7" customWidth="1"/>
    <col min="12" max="12" width="20.6328125" style="3" customWidth="1"/>
    <col min="13" max="13" width="20.6328125" style="9" customWidth="1"/>
    <col min="14" max="14" width="20.6328125" style="3" customWidth="1"/>
    <col min="15" max="15" width="20.6328125" style="10" customWidth="1"/>
    <col min="16" max="16" width="20.6328125" style="3" customWidth="1"/>
    <col min="17" max="18" width="20.6328125" style="7" customWidth="1"/>
    <col min="19" max="19" width="20.6328125" style="3" customWidth="1"/>
    <col min="20" max="26" width="11.54296875" style="3" bestFit="1" customWidth="1"/>
    <col min="27" max="16384" width="20.6328125" style="3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idden="1" x14ac:dyDescent="0.25">
      <c r="A2" s="4">
        <v>1000000000933</v>
      </c>
      <c r="B2" s="5" t="s">
        <v>26</v>
      </c>
      <c r="C2" s="2">
        <v>3000000000545</v>
      </c>
      <c r="D2" s="5" t="s">
        <v>27</v>
      </c>
      <c r="E2" s="1">
        <v>4</v>
      </c>
      <c r="F2" s="1" t="s">
        <v>28</v>
      </c>
      <c r="G2" s="1">
        <v>4</v>
      </c>
      <c r="H2" s="1">
        <v>2</v>
      </c>
      <c r="I2" s="1">
        <v>2</v>
      </c>
      <c r="J2" s="1"/>
      <c r="K2" s="1">
        <v>50</v>
      </c>
      <c r="L2" s="1" t="str">
        <f>IFERROR(_xlfn.LET(_xlpm.x,VLOOKUP($A2,'[1]Markings Threadings'!$B$3:$L$245,3,0),IF(_xlpm.x=0,"",_xlpm.x)),"")</f>
        <v/>
      </c>
      <c r="M2" s="2" t="str">
        <f>IFERROR(_xlfn.LET(_xlpm.x,VLOOKUP($A2,'[1]Markings Threadings'!$B$3:$L$245,7,0),IF(_xlpm.x=0,"",_xlpm.x)),"")</f>
        <v/>
      </c>
      <c r="N2" s="5" t="str">
        <f>IFERROR(_xlfn.LET(_xlpm.x,VLOOKUP($A2,'[1]Markings Threadings'!$B$3:$L$245,8,0),IF(_xlpm.x=0,"",_xlpm.x)),"")</f>
        <v/>
      </c>
      <c r="O2" s="2" t="str">
        <f>IFERROR(_xlfn.LET(_xlpm.x,VLOOKUP($A2,'[1]Markings Threadings'!$B$3:$L$245,10,0),IF(_xlpm.x=0,"",_xlpm.x)),"")</f>
        <v/>
      </c>
      <c r="P2" s="5" t="str">
        <f>IFERROR(_xlfn.LET(_xlpm.x,VLOOKUP($A2,'[1]Markings Threadings'!$B$3:$L$245,11,0),IF(_xlpm.x=0,"",_xlpm.x)),"")</f>
        <v/>
      </c>
      <c r="Q2" s="1" t="str">
        <f>IFERROR(_xlfn.LET(_xlpm.x,VLOOKUP($A2,'[1]Markings Threadings'!$B$3:$L$245,4,0),IF(_xlpm.x=0,"",_xlpm.x)),"")</f>
        <v/>
      </c>
      <c r="R2" s="1" t="str">
        <f>IFERROR(_xlfn.LET(_xlpm.x,VLOOKUP($A2,'[1]Markings Threadings'!$B$3:$L$245,5,0),IF(_xlpm.x=0,"",_xlpm.x)),"")</f>
        <v/>
      </c>
      <c r="S2" s="1" t="str">
        <f>IFERROR(_xlfn.LET(_xlpm.x,VLOOKUP($A2,'[1]Markings Threadings'!$B$3:$L$245,6,0),IF(_xlpm.x=0,"",_xlpm.x)),"")</f>
        <v/>
      </c>
      <c r="T2" s="6" t="str">
        <f>IFERROR(_xlfn.LET(_xlpm.x,VLOOKUP($C2,[1]Summary!$A$2:$J$118,4,0),IF(_xlpm.x=0,"",_xlpm.x)),"")</f>
        <v/>
      </c>
      <c r="U2" s="6" t="str">
        <f>IFERROR(_xlfn.LET(_xlpm.x,VLOOKUP($C2,[1]Summary!$A$2:$J$118,5,0),IF(_xlpm.x=0,"",_xlpm.x)),"")</f>
        <v/>
      </c>
      <c r="V2" s="6" t="str">
        <f>IFERROR(_xlfn.LET(_xlpm.x,VLOOKUP($C2,[1]Summary!$A$2:$J$118,6,0),IF(_xlpm.x=0,"",_xlpm.x)),"")</f>
        <v/>
      </c>
      <c r="W2" s="6" t="str">
        <f>IFERROR(_xlfn.LET(_xlpm.x,VLOOKUP($C2,[1]Summary!$A$2:$J$118,7,0),IF(_xlpm.x=0,"",_xlpm.x)),"")</f>
        <v/>
      </c>
      <c r="X2" s="6" t="str">
        <f>IFERROR(_xlfn.LET(_xlpm.x,VLOOKUP($C2,[1]Summary!$A$2:$J$118,8,0),IF(_xlpm.x=0,"",_xlpm.x)),"")</f>
        <v/>
      </c>
      <c r="Y2" s="6" t="str">
        <f>IFERROR(_xlfn.LET(_xlpm.x,VLOOKUP($C2,[1]Summary!$A$2:$J$118,9,0),IF(_xlpm.x=0,"",_xlpm.x)),"")</f>
        <v/>
      </c>
      <c r="Z2" s="6" t="str">
        <f>IFERROR(_xlfn.LET(_xlpm.x,VLOOKUP($C2,[1]Summary!$A$2:$J$118,10,0),IF(_xlpm.x=0,"",_xlpm.x)),"")</f>
        <v/>
      </c>
    </row>
    <row r="3" spans="1:26" hidden="1" x14ac:dyDescent="0.25">
      <c r="A3" s="2">
        <v>1000000000935</v>
      </c>
      <c r="B3" s="5" t="s">
        <v>29</v>
      </c>
      <c r="C3" s="2">
        <v>3000000000549</v>
      </c>
      <c r="D3" s="5" t="s">
        <v>30</v>
      </c>
      <c r="E3" s="1">
        <v>4</v>
      </c>
      <c r="F3" s="1" t="s">
        <v>28</v>
      </c>
      <c r="G3" s="1">
        <v>4</v>
      </c>
      <c r="H3" s="1">
        <v>2</v>
      </c>
      <c r="I3" s="1">
        <v>2</v>
      </c>
      <c r="J3" s="1"/>
      <c r="K3" s="1">
        <v>50</v>
      </c>
      <c r="L3" s="1" t="str">
        <f>IFERROR(_xlfn.LET(_xlpm.x,VLOOKUP($A3,'[1]Markings Threadings'!$B$3:$L$245,3,0),IF(_xlpm.x=0,"",_xlpm.x)),"")</f>
        <v/>
      </c>
      <c r="M3" s="2" t="str">
        <f>IFERROR(_xlfn.LET(_xlpm.x,VLOOKUP($A3,'[1]Markings Threadings'!$B$3:$L$245,7,0),IF(_xlpm.x=0,"",_xlpm.x)),"")</f>
        <v/>
      </c>
      <c r="N3" s="5" t="str">
        <f>IFERROR(_xlfn.LET(_xlpm.x,VLOOKUP($A3,'[1]Markings Threadings'!$B$3:$L$245,8,0),IF(_xlpm.x=0,"",_xlpm.x)),"")</f>
        <v/>
      </c>
      <c r="O3" s="2" t="str">
        <f>IFERROR(_xlfn.LET(_xlpm.x,VLOOKUP($A3,'[1]Markings Threadings'!$B$3:$L$245,10,0),IF(_xlpm.x=0,"",_xlpm.x)),"")</f>
        <v/>
      </c>
      <c r="P3" s="5" t="str">
        <f>IFERROR(_xlfn.LET(_xlpm.x,VLOOKUP($A3,'[1]Markings Threadings'!$B$3:$L$245,11,0),IF(_xlpm.x=0,"",_xlpm.x)),"")</f>
        <v/>
      </c>
      <c r="Q3" s="1" t="str">
        <f>IFERROR(_xlfn.LET(_xlpm.x,VLOOKUP($A3,'[1]Markings Threadings'!$B$3:$L$245,4,0),IF(_xlpm.x=0,"",_xlpm.x)),"")</f>
        <v/>
      </c>
      <c r="R3" s="1" t="str">
        <f>IFERROR(_xlfn.LET(_xlpm.x,VLOOKUP($A3,'[1]Markings Threadings'!$B$3:$L$245,5,0),IF(_xlpm.x=0,"",_xlpm.x)),"")</f>
        <v/>
      </c>
      <c r="S3" s="1" t="str">
        <f>IFERROR(_xlfn.LET(_xlpm.x,VLOOKUP($A3,'[1]Markings Threadings'!$B$3:$L$245,6,0),IF(_xlpm.x=0,"",_xlpm.x)),"")</f>
        <v/>
      </c>
      <c r="T3" s="6" t="str">
        <f>IFERROR(_xlfn.LET(_xlpm.x,VLOOKUP($C3,[1]Summary!$A$2:$J$118,4,0),IF(_xlpm.x=0,"",_xlpm.x)),"")</f>
        <v/>
      </c>
      <c r="U3" s="6" t="str">
        <f>IFERROR(_xlfn.LET(_xlpm.x,VLOOKUP($C3,[1]Summary!$A$2:$J$118,5,0),IF(_xlpm.x=0,"",_xlpm.x)),"")</f>
        <v/>
      </c>
      <c r="V3" s="6" t="str">
        <f>IFERROR(_xlfn.LET(_xlpm.x,VLOOKUP($C3,[1]Summary!$A$2:$J$118,6,0),IF(_xlpm.x=0,"",_xlpm.x)),"")</f>
        <v/>
      </c>
      <c r="W3" s="6" t="str">
        <f>IFERROR(_xlfn.LET(_xlpm.x,VLOOKUP($C3,[1]Summary!$A$2:$J$118,7,0),IF(_xlpm.x=0,"",_xlpm.x)),"")</f>
        <v/>
      </c>
      <c r="X3" s="6" t="str">
        <f>IFERROR(_xlfn.LET(_xlpm.x,VLOOKUP($C3,[1]Summary!$A$2:$J$118,8,0),IF(_xlpm.x=0,"",_xlpm.x)),"")</f>
        <v/>
      </c>
      <c r="Y3" s="6" t="str">
        <f>IFERROR(_xlfn.LET(_xlpm.x,VLOOKUP($C3,[1]Summary!$A$2:$J$118,9,0),IF(_xlpm.x=0,"",_xlpm.x)),"")</f>
        <v/>
      </c>
      <c r="Z3" s="6" t="str">
        <f>IFERROR(_xlfn.LET(_xlpm.x,VLOOKUP($C3,[1]Summary!$A$2:$J$118,10,0),IF(_xlpm.x=0,"",_xlpm.x)),"")</f>
        <v/>
      </c>
    </row>
    <row r="4" spans="1:26" x14ac:dyDescent="0.25">
      <c r="A4" s="2">
        <v>1000000000936</v>
      </c>
      <c r="B4" s="5" t="s">
        <v>31</v>
      </c>
      <c r="C4" s="2">
        <v>3000000000579</v>
      </c>
      <c r="D4" s="5" t="s">
        <v>32</v>
      </c>
      <c r="E4" s="1">
        <v>4</v>
      </c>
      <c r="F4" s="1" t="s">
        <v>28</v>
      </c>
      <c r="G4" s="1">
        <v>4</v>
      </c>
      <c r="H4" s="1">
        <v>2</v>
      </c>
      <c r="I4" s="1">
        <v>2</v>
      </c>
      <c r="J4" s="1"/>
      <c r="K4" s="1">
        <v>50</v>
      </c>
      <c r="L4" s="1" t="str">
        <f>IFERROR(_xlfn.LET(_xlpm.x,VLOOKUP($A4,'[1]Markings Threadings'!$B$3:$L$245,3,0),IF(_xlpm.x=0,"",_xlpm.x)),"")</f>
        <v>White</v>
      </c>
      <c r="M4" s="2">
        <f>IFERROR(_xlfn.LET(_xlpm.x,VLOOKUP($A4,'[1]Markings Threadings'!$B$3:$L$245,7,0),IF(_xlpm.x=0,"",_xlpm.x)),"")</f>
        <v>5000000000048</v>
      </c>
      <c r="N4" s="5" t="str">
        <f>IFERROR(_xlfn.LET(_xlpm.x,VLOOKUP($A4,'[1]Markings Threadings'!$B$3:$L$245,8,0),IF(_xlpm.x=0,"",_xlpm.x)),"")</f>
        <v>Empty Sack - Lakas Gatas Pellet, 50kg</v>
      </c>
      <c r="O4" s="2">
        <f>IFERROR(_xlfn.LET(_xlpm.x,VLOOKUP($A4,'[1]Markings Threadings'!$B$3:$L$245,10,0),IF(_xlpm.x=0,"",_xlpm.x)),"")</f>
        <v>5000000000101</v>
      </c>
      <c r="P4" s="5" t="str">
        <f>IFERROR(_xlfn.LET(_xlpm.x,VLOOKUP($A4,'[1]Markings Threadings'!$B$3:$L$245,11,0),IF(_xlpm.x=0,"",_xlpm.x)),"")</f>
        <v>Tag - Lakas Gatas Pellet</v>
      </c>
      <c r="Q4" s="1" t="str">
        <f>IFERROR(_xlfn.LET(_xlpm.x,VLOOKUP($A4,'[1]Markings Threadings'!$B$3:$L$245,4,0),IF(_xlpm.x=0,"",_xlpm.x)),"")</f>
        <v/>
      </c>
      <c r="R4" s="1" t="str">
        <f>IFERROR(_xlfn.LET(_xlpm.x,VLOOKUP($A4,'[1]Markings Threadings'!$B$3:$L$245,5,0),IF(_xlpm.x=0,"",_xlpm.x)),"")</f>
        <v/>
      </c>
      <c r="S4" s="1">
        <f>IFERROR(_xlfn.LET(_xlpm.x,VLOOKUP($A4,'[1]Markings Threadings'!$B$3:$L$245,6,0),IF(_xlpm.x=0,"",_xlpm.x)),"")</f>
        <v>1</v>
      </c>
      <c r="T4" s="6">
        <f>IFERROR(_xlfn.LET(_xlpm.x,VLOOKUP($C4,[1]Summary!$A$2:$J$118,4,0),IF(_xlpm.x=0,"",_xlpm.x)),"")</f>
        <v>20.130247077374761</v>
      </c>
      <c r="U4" s="6">
        <f>IFERROR(_xlfn.LET(_xlpm.x,VLOOKUP($C4,[1]Summary!$A$2:$J$118,5,0),IF(_xlpm.x=0,"",_xlpm.x)),"")</f>
        <v>20.046787538556149</v>
      </c>
      <c r="V4" s="6" t="str">
        <f>IFERROR(_xlfn.LET(_xlpm.x,VLOOKUP($C4,[1]Summary!$A$2:$J$118,6,0),IF(_xlpm.x=0,"",_xlpm.x)),"")</f>
        <v/>
      </c>
      <c r="W4" s="6" t="str">
        <f>IFERROR(_xlfn.LET(_xlpm.x,VLOOKUP($C4,[1]Summary!$A$2:$J$118,7,0),IF(_xlpm.x=0,"",_xlpm.x)),"")</f>
        <v/>
      </c>
      <c r="X4" s="6" t="str">
        <f>IFERROR(_xlfn.LET(_xlpm.x,VLOOKUP($C4,[1]Summary!$A$2:$J$118,8,0),IF(_xlpm.x=0,"",_xlpm.x)),"")</f>
        <v/>
      </c>
      <c r="Y4" s="6">
        <f>IFERROR(_xlfn.LET(_xlpm.x,VLOOKUP($C4,[1]Summary!$A$2:$J$118,9,0),IF(_xlpm.x=0,"",_xlpm.x)),"")</f>
        <v>7.163720597014926</v>
      </c>
      <c r="Z4" s="6" t="str">
        <f>IFERROR(_xlfn.LET(_xlpm.x,VLOOKUP($C4,[1]Summary!$A$2:$J$118,10,0),IF(_xlpm.x=0,"",_xlpm.x)),"")</f>
        <v/>
      </c>
    </row>
    <row r="5" spans="1:26" x14ac:dyDescent="0.25">
      <c r="A5" s="2">
        <v>1000000000939</v>
      </c>
      <c r="B5" s="5" t="s">
        <v>33</v>
      </c>
      <c r="C5" s="2">
        <v>3000000000611</v>
      </c>
      <c r="D5" s="5" t="s">
        <v>34</v>
      </c>
      <c r="E5" s="1">
        <v>4</v>
      </c>
      <c r="F5" s="1" t="s">
        <v>28</v>
      </c>
      <c r="G5" s="1">
        <v>4</v>
      </c>
      <c r="H5" s="1">
        <v>2</v>
      </c>
      <c r="I5" s="1">
        <v>2</v>
      </c>
      <c r="J5" s="1"/>
      <c r="K5" s="1">
        <v>50</v>
      </c>
      <c r="L5" s="1" t="str">
        <f>IFERROR(_xlfn.LET(_xlpm.x,VLOOKUP($A5,'[1]Markings Threadings'!$B$3:$L$245,3,0),IF(_xlpm.x=0,"",_xlpm.x)),"")</f>
        <v>White</v>
      </c>
      <c r="M5" s="2">
        <f>IFERROR(_xlfn.LET(_xlpm.x,VLOOKUP($A5,'[1]Markings Threadings'!$B$3:$L$245,7,0),IF(_xlpm.x=0,"",_xlpm.x)),"")</f>
        <v>5000000000355</v>
      </c>
      <c r="N5" s="5" t="str">
        <f>IFERROR(_xlfn.LET(_xlpm.x,VLOOKUP($A5,'[1]Markings Threadings'!$B$3:$L$245,8,0),IF(_xlpm.x=0,"",_xlpm.x)),"")</f>
        <v>Classic Hog Growex, 50kg white PP bag</v>
      </c>
      <c r="O5" s="2">
        <f>IFERROR(_xlfn.LET(_xlpm.x,VLOOKUP($A5,'[1]Markings Threadings'!$B$3:$L$245,10,0),IF(_xlpm.x=0,"",_xlpm.x)),"")</f>
        <v>5000000000352</v>
      </c>
      <c r="P5" s="5" t="str">
        <f>IFERROR(_xlfn.LET(_xlpm.x,VLOOKUP($A5,'[1]Markings Threadings'!$B$3:$L$245,11,0),IF(_xlpm.x=0,"",_xlpm.x)),"")</f>
        <v>Tag - Classic Growex, Pellet 50kg</v>
      </c>
      <c r="Q5" s="1" t="str">
        <f>IFERROR(_xlfn.LET(_xlpm.x,VLOOKUP($A5,'[1]Markings Threadings'!$B$3:$L$245,4,0),IF(_xlpm.x=0,"",_xlpm.x)),"")</f>
        <v/>
      </c>
      <c r="R5" s="1" t="str">
        <f>IFERROR(_xlfn.LET(_xlpm.x,VLOOKUP($A5,'[1]Markings Threadings'!$B$3:$L$245,5,0),IF(_xlpm.x=0,"",_xlpm.x)),"")</f>
        <v/>
      </c>
      <c r="S5" s="1">
        <f>IFERROR(_xlfn.LET(_xlpm.x,VLOOKUP($A5,'[1]Markings Threadings'!$B$3:$L$245,6,0),IF(_xlpm.x=0,"",_xlpm.x)),"")</f>
        <v>1</v>
      </c>
      <c r="T5" s="6">
        <f>IFERROR(_xlfn.LET(_xlpm.x,VLOOKUP($C5,[1]Summary!$A$2:$J$118,4,0),IF(_xlpm.x=0,"",_xlpm.x)),"")</f>
        <v>20.223424719101121</v>
      </c>
      <c r="U5" s="6">
        <f>IFERROR(_xlfn.LET(_xlpm.x,VLOOKUP($C5,[1]Summary!$A$2:$J$118,5,0),IF(_xlpm.x=0,"",_xlpm.x)),"")</f>
        <v>20.152829595667814</v>
      </c>
      <c r="V5" s="6" t="str">
        <f>IFERROR(_xlfn.LET(_xlpm.x,VLOOKUP($C5,[1]Summary!$A$2:$J$118,6,0),IF(_xlpm.x=0,"",_xlpm.x)),"")</f>
        <v/>
      </c>
      <c r="W5" s="6" t="str">
        <f>IFERROR(_xlfn.LET(_xlpm.x,VLOOKUP($C5,[1]Summary!$A$2:$J$118,7,0),IF(_xlpm.x=0,"",_xlpm.x)),"")</f>
        <v/>
      </c>
      <c r="X5" s="6" t="str">
        <f>IFERROR(_xlfn.LET(_xlpm.x,VLOOKUP($C5,[1]Summary!$A$2:$J$118,8,0),IF(_xlpm.x=0,"",_xlpm.x)),"")</f>
        <v/>
      </c>
      <c r="Y5" s="6" t="str">
        <f>IFERROR(_xlfn.LET(_xlpm.x,VLOOKUP($C5,[1]Summary!$A$2:$J$118,9,0),IF(_xlpm.x=0,"",_xlpm.x)),"")</f>
        <v/>
      </c>
      <c r="Z5" s="6" t="str">
        <f>IFERROR(_xlfn.LET(_xlpm.x,VLOOKUP($C5,[1]Summary!$A$2:$J$118,10,0),IF(_xlpm.x=0,"",_xlpm.x)),"")</f>
        <v/>
      </c>
    </row>
    <row r="6" spans="1:26" x14ac:dyDescent="0.25">
      <c r="A6" s="2">
        <v>1000000000941</v>
      </c>
      <c r="B6" s="5" t="s">
        <v>35</v>
      </c>
      <c r="C6" s="2">
        <v>3000000000615</v>
      </c>
      <c r="D6" s="5" t="s">
        <v>36</v>
      </c>
      <c r="E6" s="1">
        <v>3</v>
      </c>
      <c r="F6" s="1" t="s">
        <v>37</v>
      </c>
      <c r="G6" s="1">
        <v>4</v>
      </c>
      <c r="H6" s="1">
        <v>2</v>
      </c>
      <c r="I6" s="1">
        <v>2</v>
      </c>
      <c r="J6" s="1"/>
      <c r="K6" s="1">
        <v>50</v>
      </c>
      <c r="L6" s="1" t="str">
        <f>IFERROR(_xlfn.LET(_xlpm.x,VLOOKUP($A6,'[1]Markings Threadings'!$B$3:$L$245,3,0),IF(_xlpm.x=0,"",_xlpm.x)),"")</f>
        <v>White</v>
      </c>
      <c r="M6" s="2">
        <f>IFERROR(_xlfn.LET(_xlpm.x,VLOOKUP($A6,'[1]Markings Threadings'!$B$3:$L$245,7,0),IF(_xlpm.x=0,"",_xlpm.x)),"")</f>
        <v>5000000000350</v>
      </c>
      <c r="N6" s="5" t="str">
        <f>IFERROR(_xlfn.LET(_xlpm.x,VLOOKUP($A6,'[1]Markings Threadings'!$B$3:$L$245,8,0),IF(_xlpm.x=0,"",_xlpm.x)),"")</f>
        <v>Classic Hog Startex, 50kg white PP bag (NEW)</v>
      </c>
      <c r="O6" s="2">
        <f>IFERROR(_xlfn.LET(_xlpm.x,VLOOKUP($A6,'[1]Markings Threadings'!$B$3:$L$245,10,0),IF(_xlpm.x=0,"",_xlpm.x)),"")</f>
        <v>5000000000354</v>
      </c>
      <c r="P6" s="5" t="str">
        <f>IFERROR(_xlfn.LET(_xlpm.x,VLOOKUP($A6,'[1]Markings Threadings'!$B$3:$L$245,11,0),IF(_xlpm.x=0,"",_xlpm.x)),"")</f>
        <v>Tag - Classic Startex, Mini-pellet</v>
      </c>
      <c r="Q6" s="1" t="str">
        <f>IFERROR(_xlfn.LET(_xlpm.x,VLOOKUP($A6,'[1]Markings Threadings'!$B$3:$L$245,4,0),IF(_xlpm.x=0,"",_xlpm.x)),"")</f>
        <v/>
      </c>
      <c r="R6" s="1" t="str">
        <f>IFERROR(_xlfn.LET(_xlpm.x,VLOOKUP($A6,'[1]Markings Threadings'!$B$3:$L$245,5,0),IF(_xlpm.x=0,"",_xlpm.x)),"")</f>
        <v/>
      </c>
      <c r="S6" s="1">
        <f>IFERROR(_xlfn.LET(_xlpm.x,VLOOKUP($A6,'[1]Markings Threadings'!$B$3:$L$245,6,0),IF(_xlpm.x=0,"",_xlpm.x)),"")</f>
        <v>1</v>
      </c>
      <c r="T6" s="6">
        <f>IFERROR(_xlfn.LET(_xlpm.x,VLOOKUP($C6,[1]Summary!$A$2:$J$118,4,0),IF(_xlpm.x=0,"",_xlpm.x)),"")</f>
        <v>19.242915574922666</v>
      </c>
      <c r="U6" s="6">
        <f>IFERROR(_xlfn.LET(_xlpm.x,VLOOKUP($C6,[1]Summary!$A$2:$J$118,5,0),IF(_xlpm.x=0,"",_xlpm.x)),"")</f>
        <v>20.194727650727653</v>
      </c>
      <c r="V6" s="6" t="str">
        <f>IFERROR(_xlfn.LET(_xlpm.x,VLOOKUP($C6,[1]Summary!$A$2:$J$118,6,0),IF(_xlpm.x=0,"",_xlpm.x)),"")</f>
        <v/>
      </c>
      <c r="W6" s="6" t="str">
        <f>IFERROR(_xlfn.LET(_xlpm.x,VLOOKUP($C6,[1]Summary!$A$2:$J$118,7,0),IF(_xlpm.x=0,"",_xlpm.x)),"")</f>
        <v/>
      </c>
      <c r="X6" s="6" t="str">
        <f>IFERROR(_xlfn.LET(_xlpm.x,VLOOKUP($C6,[1]Summary!$A$2:$J$118,8,0),IF(_xlpm.x=0,"",_xlpm.x)),"")</f>
        <v/>
      </c>
      <c r="Y6" s="6" t="str">
        <f>IFERROR(_xlfn.LET(_xlpm.x,VLOOKUP($C6,[1]Summary!$A$2:$J$118,9,0),IF(_xlpm.x=0,"",_xlpm.x)),"")</f>
        <v/>
      </c>
      <c r="Z6" s="6">
        <f>IFERROR(_xlfn.LET(_xlpm.x,VLOOKUP($C6,[1]Summary!$A$2:$J$118,10,0),IF(_xlpm.x=0,"",_xlpm.x)),"")</f>
        <v>7.0904552727272696</v>
      </c>
    </row>
    <row r="7" spans="1:26" x14ac:dyDescent="0.25">
      <c r="A7" s="2">
        <v>1000000001460</v>
      </c>
      <c r="B7" s="5" t="s">
        <v>38</v>
      </c>
      <c r="C7" s="2">
        <v>3000000000629</v>
      </c>
      <c r="D7" s="5" t="s">
        <v>39</v>
      </c>
      <c r="E7" s="1">
        <v>3</v>
      </c>
      <c r="F7" s="1" t="s">
        <v>37</v>
      </c>
      <c r="G7" s="1">
        <v>4</v>
      </c>
      <c r="H7" s="1">
        <v>2</v>
      </c>
      <c r="I7" s="1">
        <v>2</v>
      </c>
      <c r="J7" s="1"/>
      <c r="K7" s="1">
        <v>25</v>
      </c>
      <c r="L7" s="1" t="str">
        <f>IFERROR(_xlfn.LET(_xlpm.x,VLOOKUP($A7,'[1]Markings Threadings'!$B$3:$L$245,3,0),IF(_xlpm.x=0,"",_xlpm.x)),"")</f>
        <v/>
      </c>
      <c r="M7" s="2" t="str">
        <f>IFERROR(_xlfn.LET(_xlpm.x,VLOOKUP($A7,'[1]Markings Threadings'!$B$3:$L$245,7,0),IF(_xlpm.x=0,"",_xlpm.x)),"")</f>
        <v/>
      </c>
      <c r="N7" s="5" t="str">
        <f>IFERROR(_xlfn.LET(_xlpm.x,VLOOKUP($A7,'[1]Markings Threadings'!$B$3:$L$245,8,0),IF(_xlpm.x=0,"",_xlpm.x)),"")</f>
        <v/>
      </c>
      <c r="O7" s="2" t="str">
        <f>IFERROR(_xlfn.LET(_xlpm.x,VLOOKUP($A7,'[1]Markings Threadings'!$B$3:$L$245,10,0),IF(_xlpm.x=0,"",_xlpm.x)),"")</f>
        <v/>
      </c>
      <c r="P7" s="5" t="str">
        <f>IFERROR(_xlfn.LET(_xlpm.x,VLOOKUP($A7,'[1]Markings Threadings'!$B$3:$L$245,11,0),IF(_xlpm.x=0,"",_xlpm.x)),"")</f>
        <v/>
      </c>
      <c r="Q7" s="1" t="str">
        <f>IFERROR(_xlfn.LET(_xlpm.x,VLOOKUP($A7,'[1]Markings Threadings'!$B$3:$L$245,4,0),IF(_xlpm.x=0,"",_xlpm.x)),"")</f>
        <v/>
      </c>
      <c r="R7" s="1" t="str">
        <f>IFERROR(_xlfn.LET(_xlpm.x,VLOOKUP($A7,'[1]Markings Threadings'!$B$3:$L$245,5,0),IF(_xlpm.x=0,"",_xlpm.x)),"")</f>
        <v/>
      </c>
      <c r="S7" s="1" t="str">
        <f>IFERROR(_xlfn.LET(_xlpm.x,VLOOKUP($A7,'[1]Markings Threadings'!$B$3:$L$245,6,0),IF(_xlpm.x=0,"",_xlpm.x)),"")</f>
        <v/>
      </c>
      <c r="T7" s="6" t="str">
        <f>IFERROR(_xlfn.LET(_xlpm.x,VLOOKUP($C7,[1]Summary!$A$2:$J$118,4,0),IF(_xlpm.x=0,"",_xlpm.x)),"")</f>
        <v/>
      </c>
      <c r="U7" s="6" t="str">
        <f>IFERROR(_xlfn.LET(_xlpm.x,VLOOKUP($C7,[1]Summary!$A$2:$J$118,5,0),IF(_xlpm.x=0,"",_xlpm.x)),"")</f>
        <v/>
      </c>
      <c r="V7" s="6" t="str">
        <f>IFERROR(_xlfn.LET(_xlpm.x,VLOOKUP($C7,[1]Summary!$A$2:$J$118,6,0),IF(_xlpm.x=0,"",_xlpm.x)),"")</f>
        <v/>
      </c>
      <c r="W7" s="6" t="str">
        <f>IFERROR(_xlfn.LET(_xlpm.x,VLOOKUP($C7,[1]Summary!$A$2:$J$118,7,0),IF(_xlpm.x=0,"",_xlpm.x)),"")</f>
        <v/>
      </c>
      <c r="X7" s="6" t="str">
        <f>IFERROR(_xlfn.LET(_xlpm.x,VLOOKUP($C7,[1]Summary!$A$2:$J$118,8,0),IF(_xlpm.x=0,"",_xlpm.x)),"")</f>
        <v/>
      </c>
      <c r="Y7" s="6" t="str">
        <f>IFERROR(_xlfn.LET(_xlpm.x,VLOOKUP($C7,[1]Summary!$A$2:$J$118,9,0),IF(_xlpm.x=0,"",_xlpm.x)),"")</f>
        <v/>
      </c>
      <c r="Z7" s="6" t="str">
        <f>IFERROR(_xlfn.LET(_xlpm.x,VLOOKUP($C7,[1]Summary!$A$2:$J$118,10,0),IF(_xlpm.x=0,"",_xlpm.x)),"")</f>
        <v/>
      </c>
    </row>
    <row r="8" spans="1:26" x14ac:dyDescent="0.25">
      <c r="A8" s="2">
        <v>1000000001461</v>
      </c>
      <c r="B8" s="5" t="s">
        <v>40</v>
      </c>
      <c r="C8" s="2">
        <v>3000000000631</v>
      </c>
      <c r="D8" s="5" t="s">
        <v>41</v>
      </c>
      <c r="E8" s="1">
        <v>3</v>
      </c>
      <c r="F8" s="1" t="s">
        <v>37</v>
      </c>
      <c r="G8" s="1">
        <v>4</v>
      </c>
      <c r="H8" s="1">
        <v>2</v>
      </c>
      <c r="I8" s="1">
        <v>2</v>
      </c>
      <c r="J8" s="1"/>
      <c r="K8" s="1">
        <v>25</v>
      </c>
      <c r="L8" s="1" t="str">
        <f>IFERROR(_xlfn.LET(_xlpm.x,VLOOKUP($A8,'[1]Markings Threadings'!$B$3:$L$245,3,0),IF(_xlpm.x=0,"",_xlpm.x)),"")</f>
        <v/>
      </c>
      <c r="M8" s="2" t="str">
        <f>IFERROR(_xlfn.LET(_xlpm.x,VLOOKUP($A8,'[1]Markings Threadings'!$B$3:$L$245,7,0),IF(_xlpm.x=0,"",_xlpm.x)),"")</f>
        <v/>
      </c>
      <c r="N8" s="5" t="str">
        <f>IFERROR(_xlfn.LET(_xlpm.x,VLOOKUP($A8,'[1]Markings Threadings'!$B$3:$L$245,8,0),IF(_xlpm.x=0,"",_xlpm.x)),"")</f>
        <v/>
      </c>
      <c r="O8" s="2" t="str">
        <f>IFERROR(_xlfn.LET(_xlpm.x,VLOOKUP($A8,'[1]Markings Threadings'!$B$3:$L$245,10,0),IF(_xlpm.x=0,"",_xlpm.x)),"")</f>
        <v/>
      </c>
      <c r="P8" s="5" t="str">
        <f>IFERROR(_xlfn.LET(_xlpm.x,VLOOKUP($A8,'[1]Markings Threadings'!$B$3:$L$245,11,0),IF(_xlpm.x=0,"",_xlpm.x)),"")</f>
        <v/>
      </c>
      <c r="Q8" s="1" t="str">
        <f>IFERROR(_xlfn.LET(_xlpm.x,VLOOKUP($A8,'[1]Markings Threadings'!$B$3:$L$245,4,0),IF(_xlpm.x=0,"",_xlpm.x)),"")</f>
        <v/>
      </c>
      <c r="R8" s="1" t="str">
        <f>IFERROR(_xlfn.LET(_xlpm.x,VLOOKUP($A8,'[1]Markings Threadings'!$B$3:$L$245,5,0),IF(_xlpm.x=0,"",_xlpm.x)),"")</f>
        <v/>
      </c>
      <c r="S8" s="1" t="str">
        <f>IFERROR(_xlfn.LET(_xlpm.x,VLOOKUP($A8,'[1]Markings Threadings'!$B$3:$L$245,6,0),IF(_xlpm.x=0,"",_xlpm.x)),"")</f>
        <v/>
      </c>
      <c r="T8" s="6" t="str">
        <f>IFERROR(_xlfn.LET(_xlpm.x,VLOOKUP($C8,[1]Summary!$A$2:$J$118,4,0),IF(_xlpm.x=0,"",_xlpm.x)),"")</f>
        <v/>
      </c>
      <c r="U8" s="6" t="str">
        <f>IFERROR(_xlfn.LET(_xlpm.x,VLOOKUP($C8,[1]Summary!$A$2:$J$118,5,0),IF(_xlpm.x=0,"",_xlpm.x)),"")</f>
        <v/>
      </c>
      <c r="V8" s="6" t="str">
        <f>IFERROR(_xlfn.LET(_xlpm.x,VLOOKUP($C8,[1]Summary!$A$2:$J$118,6,0),IF(_xlpm.x=0,"",_xlpm.x)),"")</f>
        <v/>
      </c>
      <c r="W8" s="6" t="str">
        <f>IFERROR(_xlfn.LET(_xlpm.x,VLOOKUP($C8,[1]Summary!$A$2:$J$118,7,0),IF(_xlpm.x=0,"",_xlpm.x)),"")</f>
        <v/>
      </c>
      <c r="X8" s="6" t="str">
        <f>IFERROR(_xlfn.LET(_xlpm.x,VLOOKUP($C8,[1]Summary!$A$2:$J$118,8,0),IF(_xlpm.x=0,"",_xlpm.x)),"")</f>
        <v/>
      </c>
      <c r="Y8" s="6" t="str">
        <f>IFERROR(_xlfn.LET(_xlpm.x,VLOOKUP($C8,[1]Summary!$A$2:$J$118,9,0),IF(_xlpm.x=0,"",_xlpm.x)),"")</f>
        <v/>
      </c>
      <c r="Z8" s="6" t="str">
        <f>IFERROR(_xlfn.LET(_xlpm.x,VLOOKUP($C8,[1]Summary!$A$2:$J$118,10,0),IF(_xlpm.x=0,"",_xlpm.x)),"")</f>
        <v/>
      </c>
    </row>
    <row r="9" spans="1:26" x14ac:dyDescent="0.25">
      <c r="A9" s="2">
        <v>1000000001509</v>
      </c>
      <c r="B9" s="5" t="s">
        <v>42</v>
      </c>
      <c r="C9" s="2">
        <v>3000000000659</v>
      </c>
      <c r="D9" s="5" t="s">
        <v>43</v>
      </c>
      <c r="E9" s="1"/>
      <c r="F9" s="1" t="s">
        <v>44</v>
      </c>
      <c r="G9" s="1">
        <v>2</v>
      </c>
      <c r="H9" s="1">
        <v>2</v>
      </c>
      <c r="I9" s="1">
        <v>2</v>
      </c>
      <c r="J9" s="1"/>
      <c r="K9" s="1">
        <v>50</v>
      </c>
      <c r="L9" s="1" t="str">
        <f>IFERROR(_xlfn.LET(_xlpm.x,VLOOKUP($A9,'[1]Markings Threadings'!$B$3:$L$245,3,0),IF(_xlpm.x=0,"",_xlpm.x)),"")</f>
        <v>White</v>
      </c>
      <c r="M9" s="2">
        <f>IFERROR(_xlfn.LET(_xlpm.x,VLOOKUP($A9,'[1]Markings Threadings'!$B$3:$L$245,7,0),IF(_xlpm.x=0,"",_xlpm.x)),"")</f>
        <v>5000000000399</v>
      </c>
      <c r="N9" s="5" t="str">
        <f>IFERROR(_xlfn.LET(_xlpm.x,VLOOKUP($A9,'[1]Markings Threadings'!$B$3:$L$245,8,0),IF(_xlpm.x=0,"",_xlpm.x)),"")</f>
        <v>Packaging - Hog Supremecon Growmix / Gestamix / Lactamix</v>
      </c>
      <c r="O9" s="2">
        <f>IFERROR(_xlfn.LET(_xlpm.x,VLOOKUP($A9,'[1]Markings Threadings'!$B$3:$L$245,10,0),IF(_xlpm.x=0,"",_xlpm.x)),"")</f>
        <v>5000000000444</v>
      </c>
      <c r="P9" s="5" t="str">
        <f>IFERROR(_xlfn.LET(_xlpm.x,VLOOKUP($A9,'[1]Markings Threadings'!$B$3:$L$245,11,0),IF(_xlpm.x=0,"",_xlpm.x)),"")</f>
        <v>Tags - Supremecon Hog Protein Concentrate Growmix Mash, 25kg</v>
      </c>
      <c r="Q9" s="1" t="str">
        <f>IFERROR(_xlfn.LET(_xlpm.x,VLOOKUP($A9,'[1]Markings Threadings'!$B$3:$L$245,4,0),IF(_xlpm.x=0,"",_xlpm.x)),"")</f>
        <v/>
      </c>
      <c r="R9" s="1" t="str">
        <f>IFERROR(_xlfn.LET(_xlpm.x,VLOOKUP($A9,'[1]Markings Threadings'!$B$3:$L$245,5,0),IF(_xlpm.x=0,"",_xlpm.x)),"")</f>
        <v/>
      </c>
      <c r="S9" s="1">
        <f>IFERROR(_xlfn.LET(_xlpm.x,VLOOKUP($A9,'[1]Markings Threadings'!$B$3:$L$245,6,0),IF(_xlpm.x=0,"",_xlpm.x)),"")</f>
        <v>4</v>
      </c>
      <c r="T9" s="6" t="str">
        <f>IFERROR(_xlfn.LET(_xlpm.x,VLOOKUP($C9,[1]Summary!$A$2:$J$118,4,0),IF(_xlpm.x=0,"",_xlpm.x)),"")</f>
        <v/>
      </c>
      <c r="U9" s="6" t="str">
        <f>IFERROR(_xlfn.LET(_xlpm.x,VLOOKUP($C9,[1]Summary!$A$2:$J$118,5,0),IF(_xlpm.x=0,"",_xlpm.x)),"")</f>
        <v/>
      </c>
      <c r="V9" s="6" t="str">
        <f>IFERROR(_xlfn.LET(_xlpm.x,VLOOKUP($C9,[1]Summary!$A$2:$J$118,6,0),IF(_xlpm.x=0,"",_xlpm.x)),"")</f>
        <v/>
      </c>
      <c r="W9" s="6" t="str">
        <f>IFERROR(_xlfn.LET(_xlpm.x,VLOOKUP($C9,[1]Summary!$A$2:$J$118,7,0),IF(_xlpm.x=0,"",_xlpm.x)),"")</f>
        <v/>
      </c>
      <c r="X9" s="6" t="str">
        <f>IFERROR(_xlfn.LET(_xlpm.x,VLOOKUP($C9,[1]Summary!$A$2:$J$118,8,0),IF(_xlpm.x=0,"",_xlpm.x)),"")</f>
        <v/>
      </c>
      <c r="Y9" s="6" t="str">
        <f>IFERROR(_xlfn.LET(_xlpm.x,VLOOKUP($C9,[1]Summary!$A$2:$J$118,9,0),IF(_xlpm.x=0,"",_xlpm.x)),"")</f>
        <v/>
      </c>
      <c r="Z9" s="6" t="str">
        <f>IFERROR(_xlfn.LET(_xlpm.x,VLOOKUP($C9,[1]Summary!$A$2:$J$118,10,0),IF(_xlpm.x=0,"",_xlpm.x)),"")</f>
        <v/>
      </c>
    </row>
    <row r="10" spans="1:26" x14ac:dyDescent="0.25">
      <c r="A10" s="2">
        <v>1000000001494</v>
      </c>
      <c r="B10" s="5" t="s">
        <v>45</v>
      </c>
      <c r="C10" s="2">
        <v>3000000000393</v>
      </c>
      <c r="D10" s="5" t="s">
        <v>46</v>
      </c>
      <c r="E10" s="1">
        <v>4</v>
      </c>
      <c r="F10" s="1" t="s">
        <v>47</v>
      </c>
      <c r="G10" s="1">
        <v>4</v>
      </c>
      <c r="H10" s="1">
        <v>2</v>
      </c>
      <c r="I10" s="1">
        <v>2</v>
      </c>
      <c r="J10" s="1"/>
      <c r="K10" s="1">
        <v>50</v>
      </c>
      <c r="L10" s="1" t="str">
        <f>IFERROR(_xlfn.LET(_xlpm.x,VLOOKUP($A10,'[1]Markings Threadings'!$B$3:$L$245,3,0),IF(_xlpm.x=0,"",_xlpm.x)),"")</f>
        <v>White</v>
      </c>
      <c r="M10" s="2">
        <f>IFERROR(_xlfn.LET(_xlpm.x,VLOOKUP($A10,'[1]Markings Threadings'!$B$3:$L$245,7,0),IF(_xlpm.x=0,"",_xlpm.x)),"")</f>
        <v>5000000000008</v>
      </c>
      <c r="N10" s="5" t="str">
        <f>IFERROR(_xlfn.LET(_xlpm.x,VLOOKUP($A10,'[1]Markings Threadings'!$B$3:$L$245,8,0),IF(_xlpm.x=0,"",_xlpm.x)),"")</f>
        <v>v2 - Poultry Express Chick Boostex, 50 kg</v>
      </c>
      <c r="O10" s="2">
        <f>IFERROR(_xlfn.LET(_xlpm.x,VLOOKUP($A10,'[1]Markings Threadings'!$B$3:$L$245,10,0),IF(_xlpm.x=0,"",_xlpm.x)),"")</f>
        <v>5000000000674</v>
      </c>
      <c r="P10" s="5" t="str">
        <f>IFERROR(_xlfn.LET(_xlpm.x,VLOOKUP($A10,'[1]Markings Threadings'!$B$3:$L$245,11,0),IF(_xlpm.x=0,"",_xlpm.x)),"")</f>
        <v>Tag P/E Chick Boostex Crumble</v>
      </c>
      <c r="Q10" s="1" t="str">
        <f>IFERROR(_xlfn.LET(_xlpm.x,VLOOKUP($A10,'[1]Markings Threadings'!$B$3:$L$245,4,0),IF(_xlpm.x=0,"",_xlpm.x)),"")</f>
        <v/>
      </c>
      <c r="R10" s="1" t="str">
        <f>IFERROR(_xlfn.LET(_xlpm.x,VLOOKUP($A10,'[1]Markings Threadings'!$B$3:$L$245,5,0),IF(_xlpm.x=0,"",_xlpm.x)),"")</f>
        <v/>
      </c>
      <c r="S10" s="1">
        <f>IFERROR(_xlfn.LET(_xlpm.x,VLOOKUP($A10,'[1]Markings Threadings'!$B$3:$L$245,6,0),IF(_xlpm.x=0,"",_xlpm.x)),"")</f>
        <v>1</v>
      </c>
      <c r="T10" s="6" t="str">
        <f>IFERROR(_xlfn.LET(_xlpm.x,VLOOKUP($C10,[1]Summary!$A$2:$J$118,4,0),IF(_xlpm.x=0,"",_xlpm.x)),"")</f>
        <v/>
      </c>
      <c r="U10" s="6" t="str">
        <f>IFERROR(_xlfn.LET(_xlpm.x,VLOOKUP($C10,[1]Summary!$A$2:$J$118,5,0),IF(_xlpm.x=0,"",_xlpm.x)),"")</f>
        <v/>
      </c>
      <c r="V10" s="6" t="str">
        <f>IFERROR(_xlfn.LET(_xlpm.x,VLOOKUP($C10,[1]Summary!$A$2:$J$118,6,0),IF(_xlpm.x=0,"",_xlpm.x)),"")</f>
        <v/>
      </c>
      <c r="W10" s="6">
        <f>IFERROR(_xlfn.LET(_xlpm.x,VLOOKUP($C10,[1]Summary!$A$2:$J$118,7,0),IF(_xlpm.x=0,"",_xlpm.x)),"")</f>
        <v>8.3128253458483758</v>
      </c>
      <c r="X10" s="6" t="str">
        <f>IFERROR(_xlfn.LET(_xlpm.x,VLOOKUP($C10,[1]Summary!$A$2:$J$118,8,0),IF(_xlpm.x=0,"",_xlpm.x)),"")</f>
        <v/>
      </c>
      <c r="Y10" s="6" t="str">
        <f>IFERROR(_xlfn.LET(_xlpm.x,VLOOKUP($C10,[1]Summary!$A$2:$J$118,9,0),IF(_xlpm.x=0,"",_xlpm.x)),"")</f>
        <v/>
      </c>
      <c r="Z10" s="6" t="str">
        <f>IFERROR(_xlfn.LET(_xlpm.x,VLOOKUP($C10,[1]Summary!$A$2:$J$118,10,0),IF(_xlpm.x=0,"",_xlpm.x)),"")</f>
        <v/>
      </c>
    </row>
    <row r="11" spans="1:26" x14ac:dyDescent="0.25">
      <c r="A11" s="2">
        <v>1000000000501</v>
      </c>
      <c r="B11" s="5" t="s">
        <v>48</v>
      </c>
      <c r="C11" s="2">
        <v>3000000000824</v>
      </c>
      <c r="D11" s="5" t="s">
        <v>49</v>
      </c>
      <c r="E11" s="1">
        <v>3</v>
      </c>
      <c r="F11" s="1" t="s">
        <v>47</v>
      </c>
      <c r="G11" s="1">
        <v>4</v>
      </c>
      <c r="H11" s="1">
        <v>2</v>
      </c>
      <c r="I11" s="1">
        <v>2</v>
      </c>
      <c r="J11" s="1"/>
      <c r="K11" s="1">
        <v>50</v>
      </c>
      <c r="L11" s="1" t="str">
        <f>IFERROR(_xlfn.LET(_xlpm.x,VLOOKUP($A11,'[1]Markings Threadings'!$B$3:$L$245,3,0),IF(_xlpm.x=0,"",_xlpm.x)),"")</f>
        <v>White</v>
      </c>
      <c r="M11" s="2">
        <f>IFERROR(_xlfn.LET(_xlpm.x,VLOOKUP($A11,'[1]Markings Threadings'!$B$3:$L$245,7,0),IF(_xlpm.x=0,"",_xlpm.x)),"")</f>
        <v>5000000000540</v>
      </c>
      <c r="N11" s="5" t="str">
        <f>IFERROR(_xlfn.LET(_xlpm.x,VLOOKUP($A11,'[1]Markings Threadings'!$B$3:$L$245,8,0),IF(_xlpm.x=0,"",_xlpm.x)),"")</f>
        <v>v2 - Poultry Express Broiler Startex, 50 kg</v>
      </c>
      <c r="O11" s="2">
        <f>IFERROR(_xlfn.LET(_xlpm.x,VLOOKUP($A11,'[1]Markings Threadings'!$B$3:$L$245,10,0),IF(_xlpm.x=0,"",_xlpm.x)),"")</f>
        <v>5000000000092</v>
      </c>
      <c r="P11" s="5" t="str">
        <f>IFERROR(_xlfn.LET(_xlpm.x,VLOOKUP($A11,'[1]Markings Threadings'!$B$3:$L$245,11,0),IF(_xlpm.x=0,"",_xlpm.x)),"")</f>
        <v>Tag - P/E Broiler Startex Crumble</v>
      </c>
      <c r="Q11" s="1" t="str">
        <f>IFERROR(_xlfn.LET(_xlpm.x,VLOOKUP($A11,'[1]Markings Threadings'!$B$3:$L$245,4,0),IF(_xlpm.x=0,"",_xlpm.x)),"")</f>
        <v/>
      </c>
      <c r="R11" s="1" t="str">
        <f>IFERROR(_xlfn.LET(_xlpm.x,VLOOKUP($A11,'[1]Markings Threadings'!$B$3:$L$245,5,0),IF(_xlpm.x=0,"",_xlpm.x)),"")</f>
        <v/>
      </c>
      <c r="S11" s="1">
        <f>IFERROR(_xlfn.LET(_xlpm.x,VLOOKUP($A11,'[1]Markings Threadings'!$B$3:$L$245,6,0),IF(_xlpm.x=0,"",_xlpm.x)),"")</f>
        <v>1</v>
      </c>
      <c r="T11" s="6" t="str">
        <f>IFERROR(_xlfn.LET(_xlpm.x,VLOOKUP($C11,[1]Summary!$A$2:$J$118,4,0),IF(_xlpm.x=0,"",_xlpm.x)),"")</f>
        <v/>
      </c>
      <c r="U11" s="6" t="str">
        <f>IFERROR(_xlfn.LET(_xlpm.x,VLOOKUP($C11,[1]Summary!$A$2:$J$118,5,0),IF(_xlpm.x=0,"",_xlpm.x)),"")</f>
        <v/>
      </c>
      <c r="V11" s="6" t="str">
        <f>IFERROR(_xlfn.LET(_xlpm.x,VLOOKUP($C11,[1]Summary!$A$2:$J$118,6,0),IF(_xlpm.x=0,"",_xlpm.x)),"")</f>
        <v/>
      </c>
      <c r="W11" s="6">
        <f>IFERROR(_xlfn.LET(_xlpm.x,VLOOKUP($C11,[1]Summary!$A$2:$J$118,7,0),IF(_xlpm.x=0,"",_xlpm.x)),"")</f>
        <v>7.7475821833234795</v>
      </c>
      <c r="X11" s="6" t="str">
        <f>IFERROR(_xlfn.LET(_xlpm.x,VLOOKUP($C11,[1]Summary!$A$2:$J$118,8,0),IF(_xlpm.x=0,"",_xlpm.x)),"")</f>
        <v/>
      </c>
      <c r="Y11" s="6" t="str">
        <f>IFERROR(_xlfn.LET(_xlpm.x,VLOOKUP($C11,[1]Summary!$A$2:$J$118,9,0),IF(_xlpm.x=0,"",_xlpm.x)),"")</f>
        <v/>
      </c>
      <c r="Z11" s="6" t="str">
        <f>IFERROR(_xlfn.LET(_xlpm.x,VLOOKUP($C11,[1]Summary!$A$2:$J$118,10,0),IF(_xlpm.x=0,"",_xlpm.x)),"")</f>
        <v/>
      </c>
    </row>
    <row r="12" spans="1:26" x14ac:dyDescent="0.25">
      <c r="A12" s="2">
        <v>1000000000517</v>
      </c>
      <c r="B12" s="5" t="s">
        <v>50</v>
      </c>
      <c r="C12" s="2">
        <v>3000000000836</v>
      </c>
      <c r="D12" s="5" t="s">
        <v>51</v>
      </c>
      <c r="E12" s="1">
        <v>4</v>
      </c>
      <c r="F12" s="1" t="s">
        <v>28</v>
      </c>
      <c r="G12" s="1">
        <v>4</v>
      </c>
      <c r="H12" s="1">
        <v>2</v>
      </c>
      <c r="I12" s="1">
        <v>2</v>
      </c>
      <c r="J12" s="1"/>
      <c r="K12" s="1">
        <v>50</v>
      </c>
      <c r="L12" s="1" t="str">
        <f>IFERROR(_xlfn.LET(_xlpm.x,VLOOKUP($A12,'[1]Markings Threadings'!$B$3:$L$245,3,0),IF(_xlpm.x=0,"",_xlpm.x)),"")</f>
        <v>White</v>
      </c>
      <c r="M12" s="2">
        <f>IFERROR(_xlfn.LET(_xlpm.x,VLOOKUP($A12,'[1]Markings Threadings'!$B$3:$L$245,7,0),IF(_xlpm.x=0,"",_xlpm.x)),"")</f>
        <v>5000000000552</v>
      </c>
      <c r="N12" s="5" t="str">
        <f>IFERROR(_xlfn.LET(_xlpm.x,VLOOKUP($A12,'[1]Markings Threadings'!$B$3:$L$245,8,0),IF(_xlpm.x=0,"",_xlpm.x)),"")</f>
        <v>v2 - Ave Max Duck Layex, 50 kg</v>
      </c>
      <c r="O12" s="2">
        <f>IFERROR(_xlfn.LET(_xlpm.x,VLOOKUP($A12,'[1]Markings Threadings'!$B$3:$L$245,10,0),IF(_xlpm.x=0,"",_xlpm.x)),"")</f>
        <v>5000000000741</v>
      </c>
      <c r="P12" s="5" t="str">
        <f>IFERROR(_xlfn.LET(_xlpm.x,VLOOKUP($A12,'[1]Markings Threadings'!$B$3:$L$245,11,0),IF(_xlpm.x=0,"",_xlpm.x)),"")</f>
        <v>Tag - Ave Max Duck Layex Pellet</v>
      </c>
      <c r="Q12" s="1" t="str">
        <f>IFERROR(_xlfn.LET(_xlpm.x,VLOOKUP($A12,'[1]Markings Threadings'!$B$3:$L$245,4,0),IF(_xlpm.x=0,"",_xlpm.x)),"")</f>
        <v/>
      </c>
      <c r="R12" s="1" t="str">
        <f>IFERROR(_xlfn.LET(_xlpm.x,VLOOKUP($A12,'[1]Markings Threadings'!$B$3:$L$245,5,0),IF(_xlpm.x=0,"",_xlpm.x)),"")</f>
        <v/>
      </c>
      <c r="S12" s="1">
        <f>IFERROR(_xlfn.LET(_xlpm.x,VLOOKUP($A12,'[1]Markings Threadings'!$B$3:$L$245,6,0),IF(_xlpm.x=0,"",_xlpm.x)),"")</f>
        <v>1</v>
      </c>
      <c r="T12" s="6" t="str">
        <f>IFERROR(_xlfn.LET(_xlpm.x,VLOOKUP($C12,[1]Summary!$A$2:$J$118,4,0),IF(_xlpm.x=0,"",_xlpm.x)),"")</f>
        <v/>
      </c>
      <c r="U12" s="6">
        <f>IFERROR(_xlfn.LET(_xlpm.x,VLOOKUP($C12,[1]Summary!$A$2:$J$118,5,0),IF(_xlpm.x=0,"",_xlpm.x)),"")</f>
        <v>20.172208061882589</v>
      </c>
      <c r="V12" s="6">
        <f>IFERROR(_xlfn.LET(_xlpm.x,VLOOKUP($C12,[1]Summary!$A$2:$J$118,6,0),IF(_xlpm.x=0,"",_xlpm.x)),"")</f>
        <v>8.6148332307692339</v>
      </c>
      <c r="W12" s="6">
        <f>IFERROR(_xlfn.LET(_xlpm.x,VLOOKUP($C12,[1]Summary!$A$2:$J$118,7,0),IF(_xlpm.x=0,"",_xlpm.x)),"")</f>
        <v>9.5993856000000015</v>
      </c>
      <c r="X12" s="6" t="str">
        <f>IFERROR(_xlfn.LET(_xlpm.x,VLOOKUP($C12,[1]Summary!$A$2:$J$118,8,0),IF(_xlpm.x=0,"",_xlpm.x)),"")</f>
        <v/>
      </c>
      <c r="Y12" s="6">
        <f>IFERROR(_xlfn.LET(_xlpm.x,VLOOKUP($C12,[1]Summary!$A$2:$J$118,9,0),IF(_xlpm.x=0,"",_xlpm.x)),"")</f>
        <v>8.3786985115826074</v>
      </c>
      <c r="Z12" s="6" t="str">
        <f>IFERROR(_xlfn.LET(_xlpm.x,VLOOKUP($C12,[1]Summary!$A$2:$J$118,10,0),IF(_xlpm.x=0,"",_xlpm.x)),"")</f>
        <v/>
      </c>
    </row>
    <row r="13" spans="1:26" x14ac:dyDescent="0.25">
      <c r="A13" s="2">
        <v>1000000000503</v>
      </c>
      <c r="B13" s="5" t="s">
        <v>52</v>
      </c>
      <c r="C13" s="2">
        <v>3000000000826</v>
      </c>
      <c r="D13" s="5" t="s">
        <v>53</v>
      </c>
      <c r="E13" s="1">
        <v>4</v>
      </c>
      <c r="F13" s="1" t="s">
        <v>54</v>
      </c>
      <c r="G13" s="1">
        <v>4</v>
      </c>
      <c r="H13" s="1">
        <v>2</v>
      </c>
      <c r="I13" s="1">
        <v>2</v>
      </c>
      <c r="J13" s="1"/>
      <c r="K13" s="1">
        <v>50</v>
      </c>
      <c r="L13" s="1" t="str">
        <f>IFERROR(_xlfn.LET(_xlpm.x,VLOOKUP($A13,'[1]Markings Threadings'!$B$3:$L$245,3,0),IF(_xlpm.x=0,"",_xlpm.x)),"")</f>
        <v>White</v>
      </c>
      <c r="M13" s="2">
        <f>IFERROR(_xlfn.LET(_xlpm.x,VLOOKUP($A13,'[1]Markings Threadings'!$B$3:$L$245,7,0),IF(_xlpm.x=0,"",_xlpm.x)),"")</f>
        <v>5000000000545</v>
      </c>
      <c r="N13" s="5" t="str">
        <f>IFERROR(_xlfn.LET(_xlpm.x,VLOOKUP($A13,'[1]Markings Threadings'!$B$3:$L$245,8,0),IF(_xlpm.x=0,"",_xlpm.x)),"")</f>
        <v>v2 - Poultry Express Broiler Finex, 50 kg</v>
      </c>
      <c r="O13" s="2">
        <f>IFERROR(_xlfn.LET(_xlpm.x,VLOOKUP($A13,'[1]Markings Threadings'!$B$3:$L$245,10,0),IF(_xlpm.x=0,"",_xlpm.x)),"")</f>
        <v>5000000000094</v>
      </c>
      <c r="P13" s="5" t="str">
        <f>IFERROR(_xlfn.LET(_xlpm.x,VLOOKUP($A13,'[1]Markings Threadings'!$B$3:$L$245,11,0),IF(_xlpm.x=0,"",_xlpm.x)),"")</f>
        <v>Tag - P/E Broiler Finex Crumble</v>
      </c>
      <c r="Q13" s="1" t="str">
        <f>IFERROR(_xlfn.LET(_xlpm.x,VLOOKUP($A13,'[1]Markings Threadings'!$B$3:$L$245,4,0),IF(_xlpm.x=0,"",_xlpm.x)),"")</f>
        <v/>
      </c>
      <c r="R13" s="1" t="str">
        <f>IFERROR(_xlfn.LET(_xlpm.x,VLOOKUP($A13,'[1]Markings Threadings'!$B$3:$L$245,5,0),IF(_xlpm.x=0,"",_xlpm.x)),"")</f>
        <v/>
      </c>
      <c r="S13" s="1">
        <f>IFERROR(_xlfn.LET(_xlpm.x,VLOOKUP($A13,'[1]Markings Threadings'!$B$3:$L$245,6,0),IF(_xlpm.x=0,"",_xlpm.x)),"")</f>
        <v>2</v>
      </c>
      <c r="T13" s="6" t="str">
        <f>IFERROR(_xlfn.LET(_xlpm.x,VLOOKUP($C13,[1]Summary!$A$2:$J$118,4,0),IF(_xlpm.x=0,"",_xlpm.x)),"")</f>
        <v/>
      </c>
      <c r="U13" s="6" t="str">
        <f>IFERROR(_xlfn.LET(_xlpm.x,VLOOKUP($C13,[1]Summary!$A$2:$J$118,5,0),IF(_xlpm.x=0,"",_xlpm.x)),"")</f>
        <v/>
      </c>
      <c r="V13" s="6" t="str">
        <f>IFERROR(_xlfn.LET(_xlpm.x,VLOOKUP($C13,[1]Summary!$A$2:$J$118,6,0),IF(_xlpm.x=0,"",_xlpm.x)),"")</f>
        <v/>
      </c>
      <c r="W13" s="6" t="str">
        <f>IFERROR(_xlfn.LET(_xlpm.x,VLOOKUP($C13,[1]Summary!$A$2:$J$118,7,0),IF(_xlpm.x=0,"",_xlpm.x)),"")</f>
        <v/>
      </c>
      <c r="X13" s="6" t="str">
        <f>IFERROR(_xlfn.LET(_xlpm.x,VLOOKUP($C13,[1]Summary!$A$2:$J$118,8,0),IF(_xlpm.x=0,"",_xlpm.x)),"")</f>
        <v/>
      </c>
      <c r="Y13" s="6" t="str">
        <f>IFERROR(_xlfn.LET(_xlpm.x,VLOOKUP($C13,[1]Summary!$A$2:$J$118,9,0),IF(_xlpm.x=0,"",_xlpm.x)),"")</f>
        <v/>
      </c>
      <c r="Z13" s="6" t="str">
        <f>IFERROR(_xlfn.LET(_xlpm.x,VLOOKUP($C13,[1]Summary!$A$2:$J$118,10,0),IF(_xlpm.x=0,"",_xlpm.x)),"")</f>
        <v/>
      </c>
    </row>
    <row r="14" spans="1:26" x14ac:dyDescent="0.25">
      <c r="A14" s="2">
        <v>1000000000043</v>
      </c>
      <c r="B14" s="5" t="s">
        <v>55</v>
      </c>
      <c r="C14" s="2">
        <v>3000000000208</v>
      </c>
      <c r="D14" s="5" t="s">
        <v>56</v>
      </c>
      <c r="E14" s="1">
        <v>4</v>
      </c>
      <c r="F14" s="1" t="s">
        <v>54</v>
      </c>
      <c r="G14" s="1">
        <v>4</v>
      </c>
      <c r="H14" s="1">
        <v>2</v>
      </c>
      <c r="I14" s="1">
        <v>2</v>
      </c>
      <c r="J14" s="1"/>
      <c r="K14" s="1">
        <v>50</v>
      </c>
      <c r="L14" s="1" t="str">
        <f>IFERROR(_xlfn.LET(_xlpm.x,VLOOKUP($A14,'[1]Markings Threadings'!$B$3:$L$245,3,0),IF(_xlpm.x=0,"",_xlpm.x)),"")</f>
        <v>White</v>
      </c>
      <c r="M14" s="2">
        <f>IFERROR(_xlfn.LET(_xlpm.x,VLOOKUP($A14,'[1]Markings Threadings'!$B$3:$L$245,7,0),IF(_xlpm.x=0,"",_xlpm.x)),"")</f>
        <v>5000000000575</v>
      </c>
      <c r="N14" s="5" t="str">
        <f>IFERROR(_xlfn.LET(_xlpm.x,VLOOKUP($A14,'[1]Markings Threadings'!$B$3:$L$245,8,0),IF(_xlpm.x=0,"",_xlpm.x)),"")</f>
        <v>v2 - Basic Broiler Finex, 50Kg</v>
      </c>
      <c r="O14" s="2">
        <f>IFERROR(_xlfn.LET(_xlpm.x,VLOOKUP($A14,'[1]Markings Threadings'!$B$3:$L$245,10,0),IF(_xlpm.x=0,"",_xlpm.x)),"")</f>
        <v>5000000000096</v>
      </c>
      <c r="P14" s="5" t="str">
        <f>IFERROR(_xlfn.LET(_xlpm.x,VLOOKUP($A14,'[1]Markings Threadings'!$B$3:$L$245,11,0),IF(_xlpm.x=0,"",_xlpm.x)),"")</f>
        <v>Tag - Basic Broiler Finex Crumble</v>
      </c>
      <c r="Q14" s="1" t="str">
        <f>IFERROR(_xlfn.LET(_xlpm.x,VLOOKUP($A14,'[1]Markings Threadings'!$B$3:$L$245,4,0),IF(_xlpm.x=0,"",_xlpm.x)),"")</f>
        <v/>
      </c>
      <c r="R14" s="1" t="str">
        <f>IFERROR(_xlfn.LET(_xlpm.x,VLOOKUP($A14,'[1]Markings Threadings'!$B$3:$L$245,5,0),IF(_xlpm.x=0,"",_xlpm.x)),"")</f>
        <v/>
      </c>
      <c r="S14" s="1">
        <f>IFERROR(_xlfn.LET(_xlpm.x,VLOOKUP($A14,'[1]Markings Threadings'!$B$3:$L$245,6,0),IF(_xlpm.x=0,"",_xlpm.x)),"")</f>
        <v>1</v>
      </c>
      <c r="T14" s="6" t="str">
        <f>IFERROR(_xlfn.LET(_xlpm.x,VLOOKUP($C14,[1]Summary!$A$2:$J$118,4,0),IF(_xlpm.x=0,"",_xlpm.x)),"")</f>
        <v/>
      </c>
      <c r="U14" s="6" t="str">
        <f>IFERROR(_xlfn.LET(_xlpm.x,VLOOKUP($C14,[1]Summary!$A$2:$J$118,5,0),IF(_xlpm.x=0,"",_xlpm.x)),"")</f>
        <v/>
      </c>
      <c r="V14" s="6">
        <f>IFERROR(_xlfn.LET(_xlpm.x,VLOOKUP($C14,[1]Summary!$A$2:$J$118,6,0),IF(_xlpm.x=0,"",_xlpm.x)),"")</f>
        <v>6.6674465592760175</v>
      </c>
      <c r="W14" s="6">
        <f>IFERROR(_xlfn.LET(_xlpm.x,VLOOKUP($C14,[1]Summary!$A$2:$J$118,7,0),IF(_xlpm.x=0,"",_xlpm.x)),"")</f>
        <v>8.4507683638051088</v>
      </c>
      <c r="X14" s="6" t="str">
        <f>IFERROR(_xlfn.LET(_xlpm.x,VLOOKUP($C14,[1]Summary!$A$2:$J$118,8,0),IF(_xlpm.x=0,"",_xlpm.x)),"")</f>
        <v/>
      </c>
      <c r="Y14" s="6" t="str">
        <f>IFERROR(_xlfn.LET(_xlpm.x,VLOOKUP($C14,[1]Summary!$A$2:$J$118,9,0),IF(_xlpm.x=0,"",_xlpm.x)),"")</f>
        <v/>
      </c>
      <c r="Z14" s="6" t="str">
        <f>IFERROR(_xlfn.LET(_xlpm.x,VLOOKUP($C14,[1]Summary!$A$2:$J$118,10,0),IF(_xlpm.x=0,"",_xlpm.x)),"")</f>
        <v/>
      </c>
    </row>
    <row r="15" spans="1:26" x14ac:dyDescent="0.25">
      <c r="A15" s="2">
        <v>1000000000517</v>
      </c>
      <c r="B15" s="5" t="s">
        <v>50</v>
      </c>
      <c r="C15" s="2">
        <v>3000000000836</v>
      </c>
      <c r="D15" s="5" t="s">
        <v>51</v>
      </c>
      <c r="E15" s="1">
        <v>4</v>
      </c>
      <c r="F15" s="1" t="s">
        <v>28</v>
      </c>
      <c r="G15" s="1">
        <v>4</v>
      </c>
      <c r="H15" s="1">
        <v>2</v>
      </c>
      <c r="I15" s="1">
        <v>2</v>
      </c>
      <c r="J15" s="1"/>
      <c r="K15" s="1">
        <v>50</v>
      </c>
      <c r="L15" s="1" t="str">
        <f>IFERROR(_xlfn.LET(_xlpm.x,VLOOKUP($A15,'[1]Markings Threadings'!$B$3:$L$245,3,0),IF(_xlpm.x=0,"",_xlpm.x)),"")</f>
        <v>White</v>
      </c>
      <c r="M15" s="2">
        <f>IFERROR(_xlfn.LET(_xlpm.x,VLOOKUP($A15,'[1]Markings Threadings'!$B$3:$L$245,7,0),IF(_xlpm.x=0,"",_xlpm.x)),"")</f>
        <v>5000000000552</v>
      </c>
      <c r="N15" s="5" t="str">
        <f>IFERROR(_xlfn.LET(_xlpm.x,VLOOKUP($A15,'[1]Markings Threadings'!$B$3:$L$245,8,0),IF(_xlpm.x=0,"",_xlpm.x)),"")</f>
        <v>v2 - Ave Max Duck Layex, 50 kg</v>
      </c>
      <c r="O15" s="2">
        <f>IFERROR(_xlfn.LET(_xlpm.x,VLOOKUP($A15,'[1]Markings Threadings'!$B$3:$L$245,10,0),IF(_xlpm.x=0,"",_xlpm.x)),"")</f>
        <v>5000000000741</v>
      </c>
      <c r="P15" s="5" t="str">
        <f>IFERROR(_xlfn.LET(_xlpm.x,VLOOKUP($A15,'[1]Markings Threadings'!$B$3:$L$245,11,0),IF(_xlpm.x=0,"",_xlpm.x)),"")</f>
        <v>Tag - Ave Max Duck Layex Pellet</v>
      </c>
      <c r="Q15" s="1" t="str">
        <f>IFERROR(_xlfn.LET(_xlpm.x,VLOOKUP($A15,'[1]Markings Threadings'!$B$3:$L$245,4,0),IF(_xlpm.x=0,"",_xlpm.x)),"")</f>
        <v/>
      </c>
      <c r="R15" s="1" t="str">
        <f>IFERROR(_xlfn.LET(_xlpm.x,VLOOKUP($A15,'[1]Markings Threadings'!$B$3:$L$245,5,0),IF(_xlpm.x=0,"",_xlpm.x)),"")</f>
        <v/>
      </c>
      <c r="S15" s="1">
        <f>IFERROR(_xlfn.LET(_xlpm.x,VLOOKUP($A15,'[1]Markings Threadings'!$B$3:$L$245,6,0),IF(_xlpm.x=0,"",_xlpm.x)),"")</f>
        <v>1</v>
      </c>
      <c r="T15" s="6" t="str">
        <f>IFERROR(_xlfn.LET(_xlpm.x,VLOOKUP($C15,[1]Summary!$A$2:$J$118,4,0),IF(_xlpm.x=0,"",_xlpm.x)),"")</f>
        <v/>
      </c>
      <c r="U15" s="6">
        <f>IFERROR(_xlfn.LET(_xlpm.x,VLOOKUP($C15,[1]Summary!$A$2:$J$118,5,0),IF(_xlpm.x=0,"",_xlpm.x)),"")</f>
        <v>20.172208061882589</v>
      </c>
      <c r="V15" s="6">
        <f>IFERROR(_xlfn.LET(_xlpm.x,VLOOKUP($C15,[1]Summary!$A$2:$J$118,6,0),IF(_xlpm.x=0,"",_xlpm.x)),"")</f>
        <v>8.6148332307692339</v>
      </c>
      <c r="W15" s="6">
        <f>IFERROR(_xlfn.LET(_xlpm.x,VLOOKUP($C15,[1]Summary!$A$2:$J$118,7,0),IF(_xlpm.x=0,"",_xlpm.x)),"")</f>
        <v>9.5993856000000015</v>
      </c>
      <c r="X15" s="6" t="str">
        <f>IFERROR(_xlfn.LET(_xlpm.x,VLOOKUP($C15,[1]Summary!$A$2:$J$118,8,0),IF(_xlpm.x=0,"",_xlpm.x)),"")</f>
        <v/>
      </c>
      <c r="Y15" s="6">
        <f>IFERROR(_xlfn.LET(_xlpm.x,VLOOKUP($C15,[1]Summary!$A$2:$J$118,9,0),IF(_xlpm.x=0,"",_xlpm.x)),"")</f>
        <v>8.3786985115826074</v>
      </c>
      <c r="Z15" s="6" t="str">
        <f>IFERROR(_xlfn.LET(_xlpm.x,VLOOKUP($C15,[1]Summary!$A$2:$J$118,10,0),IF(_xlpm.x=0,"",_xlpm.x)),"")</f>
        <v/>
      </c>
    </row>
    <row r="16" spans="1:26" x14ac:dyDescent="0.25">
      <c r="A16" s="2">
        <v>1000000000542</v>
      </c>
      <c r="B16" s="5" t="s">
        <v>57</v>
      </c>
      <c r="C16" s="2">
        <v>3000000000858</v>
      </c>
      <c r="D16" s="5" t="s">
        <v>58</v>
      </c>
      <c r="E16" s="1">
        <v>4</v>
      </c>
      <c r="F16" s="1" t="s">
        <v>47</v>
      </c>
      <c r="G16" s="1">
        <v>4</v>
      </c>
      <c r="H16" s="1">
        <v>2</v>
      </c>
      <c r="I16" s="1">
        <v>2</v>
      </c>
      <c r="J16" s="1"/>
      <c r="K16" s="1">
        <v>50</v>
      </c>
      <c r="L16" s="1" t="str">
        <f>IFERROR(_xlfn.LET(_xlpm.x,VLOOKUP($A16,'[1]Markings Threadings'!$B$3:$L$245,3,0),IF(_xlpm.x=0,"",_xlpm.x)),"")</f>
        <v>White</v>
      </c>
      <c r="M16" s="2">
        <f>IFERROR(_xlfn.LET(_xlpm.x,VLOOKUP($A16,'[1]Markings Threadings'!$B$3:$L$245,7,0),IF(_xlpm.x=0,"",_xlpm.x)),"")</f>
        <v>5000000000716</v>
      </c>
      <c r="N16" s="5" t="str">
        <f>IFERROR(_xlfn.LET(_xlpm.x,VLOOKUP($A16,'[1]Markings Threadings'!$B$3:$L$245,8,0),IF(_xlpm.x=0,"",_xlpm.x)),"")</f>
        <v>Empty Sacks - Salto Chick Booster, 50kg</v>
      </c>
      <c r="O16" s="2">
        <f>IFERROR(_xlfn.LET(_xlpm.x,VLOOKUP($A16,'[1]Markings Threadings'!$B$3:$L$245,10,0),IF(_xlpm.x=0,"",_xlpm.x)),"")</f>
        <v>5000000000719</v>
      </c>
      <c r="P16" s="5" t="str">
        <f>IFERROR(_xlfn.LET(_xlpm.x,VLOOKUP($A16,'[1]Markings Threadings'!$B$3:$L$245,11,0),IF(_xlpm.x=0,"",_xlpm.x)),"")</f>
        <v>Tag Salto Chick Booster, 50 kg</v>
      </c>
      <c r="Q16" s="1" t="str">
        <f>IFERROR(_xlfn.LET(_xlpm.x,VLOOKUP($A16,'[1]Markings Threadings'!$B$3:$L$245,4,0),IF(_xlpm.x=0,"",_xlpm.x)),"")</f>
        <v/>
      </c>
      <c r="R16" s="1" t="str">
        <f>IFERROR(_xlfn.LET(_xlpm.x,VLOOKUP($A16,'[1]Markings Threadings'!$B$3:$L$245,5,0),IF(_xlpm.x=0,"",_xlpm.x)),"")</f>
        <v/>
      </c>
      <c r="S16" s="1">
        <f>IFERROR(_xlfn.LET(_xlpm.x,VLOOKUP($A16,'[1]Markings Threadings'!$B$3:$L$245,6,0),IF(_xlpm.x=0,"",_xlpm.x)),"")</f>
        <v>1</v>
      </c>
      <c r="T16" s="6">
        <f>IFERROR(_xlfn.LET(_xlpm.x,VLOOKUP($C16,[1]Summary!$A$2:$J$118,4,0),IF(_xlpm.x=0,"",_xlpm.x)),"")</f>
        <v>14.051959005373144</v>
      </c>
      <c r="U16" s="6">
        <f>IFERROR(_xlfn.LET(_xlpm.x,VLOOKUP($C16,[1]Summary!$A$2:$J$118,5,0),IF(_xlpm.x=0,"",_xlpm.x)),"")</f>
        <v>13.274660127386952</v>
      </c>
      <c r="V16" s="6" t="str">
        <f>IFERROR(_xlfn.LET(_xlpm.x,VLOOKUP($C16,[1]Summary!$A$2:$J$118,6,0),IF(_xlpm.x=0,"",_xlpm.x)),"")</f>
        <v/>
      </c>
      <c r="W16" s="6">
        <f>IFERROR(_xlfn.LET(_xlpm.x,VLOOKUP($C16,[1]Summary!$A$2:$J$118,7,0),IF(_xlpm.x=0,"",_xlpm.x)),"")</f>
        <v>7.4477991724137933</v>
      </c>
      <c r="X16" s="6" t="str">
        <f>IFERROR(_xlfn.LET(_xlpm.x,VLOOKUP($C16,[1]Summary!$A$2:$J$118,8,0),IF(_xlpm.x=0,"",_xlpm.x)),"")</f>
        <v/>
      </c>
      <c r="Y16" s="6" t="str">
        <f>IFERROR(_xlfn.LET(_xlpm.x,VLOOKUP($C16,[1]Summary!$A$2:$J$118,9,0),IF(_xlpm.x=0,"",_xlpm.x)),"")</f>
        <v/>
      </c>
      <c r="Z16" s="6" t="str">
        <f>IFERROR(_xlfn.LET(_xlpm.x,VLOOKUP($C16,[1]Summary!$A$2:$J$118,10,0),IF(_xlpm.x=0,"",_xlpm.x)),"")</f>
        <v/>
      </c>
    </row>
    <row r="17" spans="1:26" x14ac:dyDescent="0.25">
      <c r="A17" s="2">
        <v>1000000001116</v>
      </c>
      <c r="B17" s="5" t="s">
        <v>59</v>
      </c>
      <c r="C17" s="2">
        <v>3000000000164</v>
      </c>
      <c r="D17" s="5" t="s">
        <v>60</v>
      </c>
      <c r="E17" s="1">
        <v>4</v>
      </c>
      <c r="F17" s="1" t="s">
        <v>47</v>
      </c>
      <c r="G17" s="1">
        <v>4</v>
      </c>
      <c r="H17" s="1">
        <v>2</v>
      </c>
      <c r="I17" s="1">
        <v>2</v>
      </c>
      <c r="J17" s="1"/>
      <c r="K17" s="1">
        <v>50</v>
      </c>
      <c r="L17" s="1" t="str">
        <f>IFERROR(_xlfn.LET(_xlpm.x,VLOOKUP($A17,'[1]Markings Threadings'!$B$3:$L$245,3,0),IF(_xlpm.x=0,"",_xlpm.x)),"")</f>
        <v>Blue</v>
      </c>
      <c r="M17" s="2">
        <f>IFERROR(_xlfn.LET(_xlpm.x,VLOOKUP($A17,'[1]Markings Threadings'!$B$3:$L$245,7,0),IF(_xlpm.x=0,"",_xlpm.x)),"")</f>
        <v>5000000000560</v>
      </c>
      <c r="N17" s="5" t="str">
        <f>IFERROR(_xlfn.LET(_xlpm.x,VLOOKUP($A17,'[1]Markings Threadings'!$B$3:$L$245,8,0),IF(_xlpm.x=0,"",_xlpm.x)),"")</f>
        <v>Sack Poultry Solutions Chick Booster</v>
      </c>
      <c r="O17" s="2">
        <f>IFERROR(_xlfn.LET(_xlpm.x,VLOOKUP($A17,'[1]Markings Threadings'!$B$3:$L$245,10,0),IF(_xlpm.x=0,"",_xlpm.x)),"")</f>
        <v>5000000000124</v>
      </c>
      <c r="P17" s="5" t="str">
        <f>IFERROR(_xlfn.LET(_xlpm.x,VLOOKUP($A17,'[1]Markings Threadings'!$B$3:$L$245,11,0),IF(_xlpm.x=0,"",_xlpm.x)),"")</f>
        <v>Tag - Poultry Solution Chick Booster Crumble</v>
      </c>
      <c r="Q17" s="1" t="str">
        <f>IFERROR(_xlfn.LET(_xlpm.x,VLOOKUP($A17,'[1]Markings Threadings'!$B$3:$L$245,4,0),IF(_xlpm.x=0,"",_xlpm.x)),"")</f>
        <v>1116 - CHK BSTR</v>
      </c>
      <c r="R17" s="1" t="str">
        <f>IFERROR(_xlfn.LET(_xlpm.x,VLOOKUP($A17,'[1]Markings Threadings'!$B$3:$L$245,5,0),IF(_xlpm.x=0,"",_xlpm.x)),"")</f>
        <v/>
      </c>
      <c r="S17" s="1">
        <f>IFERROR(_xlfn.LET(_xlpm.x,VLOOKUP($A17,'[1]Markings Threadings'!$B$3:$L$245,6,0),IF(_xlpm.x=0,"",_xlpm.x)),"")</f>
        <v>3</v>
      </c>
      <c r="T17" s="6" t="str">
        <f>IFERROR(_xlfn.LET(_xlpm.x,VLOOKUP($C17,[1]Summary!$A$2:$J$118,4,0),IF(_xlpm.x=0,"",_xlpm.x)),"")</f>
        <v/>
      </c>
      <c r="U17" s="6" t="str">
        <f>IFERROR(_xlfn.LET(_xlpm.x,VLOOKUP($C17,[1]Summary!$A$2:$J$118,5,0),IF(_xlpm.x=0,"",_xlpm.x)),"")</f>
        <v/>
      </c>
      <c r="V17" s="6" t="str">
        <f>IFERROR(_xlfn.LET(_xlpm.x,VLOOKUP($C17,[1]Summary!$A$2:$J$118,6,0),IF(_xlpm.x=0,"",_xlpm.x)),"")</f>
        <v/>
      </c>
      <c r="W17" s="6">
        <f>IFERROR(_xlfn.LET(_xlpm.x,VLOOKUP($C17,[1]Summary!$A$2:$J$118,7,0),IF(_xlpm.x=0,"",_xlpm.x)),"")</f>
        <v>8.2581319538106239</v>
      </c>
      <c r="X17" s="6" t="str">
        <f>IFERROR(_xlfn.LET(_xlpm.x,VLOOKUP($C17,[1]Summary!$A$2:$J$118,8,0),IF(_xlpm.x=0,"",_xlpm.x)),"")</f>
        <v/>
      </c>
      <c r="Y17" s="6" t="str">
        <f>IFERROR(_xlfn.LET(_xlpm.x,VLOOKUP($C17,[1]Summary!$A$2:$J$118,9,0),IF(_xlpm.x=0,"",_xlpm.x)),"")</f>
        <v/>
      </c>
      <c r="Z17" s="6" t="str">
        <f>IFERROR(_xlfn.LET(_xlpm.x,VLOOKUP($C17,[1]Summary!$A$2:$J$118,10,0),IF(_xlpm.x=0,"",_xlpm.x)),"")</f>
        <v/>
      </c>
    </row>
    <row r="18" spans="1:26" x14ac:dyDescent="0.25">
      <c r="A18" s="2">
        <v>1000000001122</v>
      </c>
      <c r="B18" s="5" t="s">
        <v>61</v>
      </c>
      <c r="C18" s="2">
        <v>3000000000166</v>
      </c>
      <c r="D18" s="5" t="s">
        <v>62</v>
      </c>
      <c r="E18" s="1">
        <v>4</v>
      </c>
      <c r="F18" s="1" t="s">
        <v>47</v>
      </c>
      <c r="G18" s="1">
        <v>4</v>
      </c>
      <c r="H18" s="1">
        <v>2</v>
      </c>
      <c r="I18" s="1">
        <v>2</v>
      </c>
      <c r="J18" s="1"/>
      <c r="K18" s="1">
        <v>50</v>
      </c>
      <c r="L18" s="1" t="str">
        <f>IFERROR(_xlfn.LET(_xlpm.x,VLOOKUP($A18,'[1]Markings Threadings'!$B$3:$L$245,3,0),IF(_xlpm.x=0,"",_xlpm.x)),"")</f>
        <v>White</v>
      </c>
      <c r="M18" s="2">
        <f>IFERROR(_xlfn.LET(_xlpm.x,VLOOKUP($A18,'[1]Markings Threadings'!$B$3:$L$245,7,0),IF(_xlpm.x=0,"",_xlpm.x)),"")</f>
        <v>5000000000561</v>
      </c>
      <c r="N18" s="5" t="str">
        <f>IFERROR(_xlfn.LET(_xlpm.x,VLOOKUP($A18,'[1]Markings Threadings'!$B$3:$L$245,8,0),IF(_xlpm.x=0,"",_xlpm.x)),"")</f>
        <v>v2 - Poultry Solutions Chick Starter, 50</v>
      </c>
      <c r="O18" s="2">
        <f>IFERROR(_xlfn.LET(_xlpm.x,VLOOKUP($A18,'[1]Markings Threadings'!$B$3:$L$245,10,0),IF(_xlpm.x=0,"",_xlpm.x)),"")</f>
        <v>5000000000125</v>
      </c>
      <c r="P18" s="5" t="str">
        <f>IFERROR(_xlfn.LET(_xlpm.x,VLOOKUP($A18,'[1]Markings Threadings'!$B$3:$L$245,11,0),IF(_xlpm.x=0,"",_xlpm.x)),"")</f>
        <v>Tag - Poultry Solutions Chick Starter Crumble</v>
      </c>
      <c r="Q18" s="1" t="str">
        <f>IFERROR(_xlfn.LET(_xlpm.x,VLOOKUP($A18,'[1]Markings Threadings'!$B$3:$L$245,4,0),IF(_xlpm.x=0,"",_xlpm.x)),"")</f>
        <v>1122 - CHK STR</v>
      </c>
      <c r="R18" s="1" t="str">
        <f>IFERROR(_xlfn.LET(_xlpm.x,VLOOKUP($A18,'[1]Markings Threadings'!$B$3:$L$245,5,0),IF(_xlpm.x=0,"",_xlpm.x)),"")</f>
        <v/>
      </c>
      <c r="S18" s="1">
        <f>IFERROR(_xlfn.LET(_xlpm.x,VLOOKUP($A18,'[1]Markings Threadings'!$B$3:$L$245,6,0),IF(_xlpm.x=0,"",_xlpm.x)),"")</f>
        <v>15</v>
      </c>
      <c r="T18" s="6" t="str">
        <f>IFERROR(_xlfn.LET(_xlpm.x,VLOOKUP($C18,[1]Summary!$A$2:$J$118,4,0),IF(_xlpm.x=0,"",_xlpm.x)),"")</f>
        <v/>
      </c>
      <c r="U18" s="6" t="str">
        <f>IFERROR(_xlfn.LET(_xlpm.x,VLOOKUP($C18,[1]Summary!$A$2:$J$118,5,0),IF(_xlpm.x=0,"",_xlpm.x)),"")</f>
        <v/>
      </c>
      <c r="V18" s="6" t="str">
        <f>IFERROR(_xlfn.LET(_xlpm.x,VLOOKUP($C18,[1]Summary!$A$2:$J$118,6,0),IF(_xlpm.x=0,"",_xlpm.x)),"")</f>
        <v/>
      </c>
      <c r="W18" s="6">
        <f>IFERROR(_xlfn.LET(_xlpm.x,VLOOKUP($C18,[1]Summary!$A$2:$J$118,7,0),IF(_xlpm.x=0,"",_xlpm.x)),"")</f>
        <v>7.9237147713125893</v>
      </c>
      <c r="X18" s="6" t="str">
        <f>IFERROR(_xlfn.LET(_xlpm.x,VLOOKUP($C18,[1]Summary!$A$2:$J$118,8,0),IF(_xlpm.x=0,"",_xlpm.x)),"")</f>
        <v/>
      </c>
      <c r="Y18" s="6" t="str">
        <f>IFERROR(_xlfn.LET(_xlpm.x,VLOOKUP($C18,[1]Summary!$A$2:$J$118,9,0),IF(_xlpm.x=0,"",_xlpm.x)),"")</f>
        <v/>
      </c>
      <c r="Z18" s="6" t="str">
        <f>IFERROR(_xlfn.LET(_xlpm.x,VLOOKUP($C18,[1]Summary!$A$2:$J$118,10,0),IF(_xlpm.x=0,"",_xlpm.x)),"")</f>
        <v/>
      </c>
    </row>
    <row r="19" spans="1:26" x14ac:dyDescent="0.25">
      <c r="A19" s="2">
        <v>1000000001126</v>
      </c>
      <c r="B19" s="5" t="s">
        <v>63</v>
      </c>
      <c r="C19" s="2">
        <v>3000000000170</v>
      </c>
      <c r="D19" s="5" t="s">
        <v>64</v>
      </c>
      <c r="E19" s="1">
        <v>4</v>
      </c>
      <c r="F19" s="1" t="s">
        <v>54</v>
      </c>
      <c r="G19" s="1">
        <v>4</v>
      </c>
      <c r="H19" s="1">
        <v>2</v>
      </c>
      <c r="I19" s="1">
        <v>2</v>
      </c>
      <c r="J19" s="1"/>
      <c r="K19" s="1">
        <v>50</v>
      </c>
      <c r="L19" s="1" t="str">
        <f>IFERROR(_xlfn.LET(_xlpm.x,VLOOKUP($A19,'[1]Markings Threadings'!$B$3:$L$245,3,0),IF(_xlpm.x=0,"",_xlpm.x)),"")</f>
        <v>White</v>
      </c>
      <c r="M19" s="2">
        <f>IFERROR(_xlfn.LET(_xlpm.x,VLOOKUP($A19,'[1]Markings Threadings'!$B$3:$L$245,7,0),IF(_xlpm.x=0,"",_xlpm.x)),"")</f>
        <v>5000000000564</v>
      </c>
      <c r="N19" s="5" t="str">
        <f>IFERROR(_xlfn.LET(_xlpm.x,VLOOKUP($A19,'[1]Markings Threadings'!$B$3:$L$245,8,0),IF(_xlpm.x=0,"",_xlpm.x)),"")</f>
        <v>v2 - Poultry Solutions Layer 1, 50kg</v>
      </c>
      <c r="O19" s="2">
        <f>IFERROR(_xlfn.LET(_xlpm.x,VLOOKUP($A19,'[1]Markings Threadings'!$B$3:$L$245,10,0),IF(_xlpm.x=0,"",_xlpm.x)),"")</f>
        <v>5000000000116</v>
      </c>
      <c r="P19" s="5" t="str">
        <f>IFERROR(_xlfn.LET(_xlpm.x,VLOOKUP($A19,'[1]Markings Threadings'!$B$3:$L$245,11,0),IF(_xlpm.x=0,"",_xlpm.x)),"")</f>
        <v>Tag - Poultry Solutions Chicken Layer 1 Crumble</v>
      </c>
      <c r="Q19" s="1">
        <f>IFERROR(_xlfn.LET(_xlpm.x,VLOOKUP($A19,'[1]Markings Threadings'!$B$3:$L$245,4,0),IF(_xlpm.x=0,"",_xlpm.x)),"")</f>
        <v>1126</v>
      </c>
      <c r="R19" s="1" t="str">
        <f>IFERROR(_xlfn.LET(_xlpm.x,VLOOKUP($A19,'[1]Markings Threadings'!$B$3:$L$245,5,0),IF(_xlpm.x=0,"",_xlpm.x)),"")</f>
        <v/>
      </c>
      <c r="S19" s="1">
        <f>IFERROR(_xlfn.LET(_xlpm.x,VLOOKUP($A19,'[1]Markings Threadings'!$B$3:$L$245,6,0),IF(_xlpm.x=0,"",_xlpm.x)),"")</f>
        <v>8</v>
      </c>
      <c r="T19" s="6" t="str">
        <f>IFERROR(_xlfn.LET(_xlpm.x,VLOOKUP($C19,[1]Summary!$A$2:$J$118,4,0),IF(_xlpm.x=0,"",_xlpm.x)),"")</f>
        <v/>
      </c>
      <c r="U19" s="6" t="str">
        <f>IFERROR(_xlfn.LET(_xlpm.x,VLOOKUP($C19,[1]Summary!$A$2:$J$118,5,0),IF(_xlpm.x=0,"",_xlpm.x)),"")</f>
        <v/>
      </c>
      <c r="V19" s="6">
        <f>IFERROR(_xlfn.LET(_xlpm.x,VLOOKUP($C19,[1]Summary!$A$2:$J$118,6,0),IF(_xlpm.x=0,"",_xlpm.x)),"")</f>
        <v>7.5878590452572841</v>
      </c>
      <c r="W19" s="6">
        <f>IFERROR(_xlfn.LET(_xlpm.x,VLOOKUP($C19,[1]Summary!$A$2:$J$118,7,0),IF(_xlpm.x=0,"",_xlpm.x)),"")</f>
        <v>8.5544764019138757</v>
      </c>
      <c r="X19" s="6" t="str">
        <f>IFERROR(_xlfn.LET(_xlpm.x,VLOOKUP($C19,[1]Summary!$A$2:$J$118,8,0),IF(_xlpm.x=0,"",_xlpm.x)),"")</f>
        <v/>
      </c>
      <c r="Y19" s="6">
        <f>IFERROR(_xlfn.LET(_xlpm.x,VLOOKUP($C19,[1]Summary!$A$2:$J$118,9,0),IF(_xlpm.x=0,"",_xlpm.x)),"")</f>
        <v>8.0679359229130725</v>
      </c>
      <c r="Z19" s="6" t="str">
        <f>IFERROR(_xlfn.LET(_xlpm.x,VLOOKUP($C19,[1]Summary!$A$2:$J$118,10,0),IF(_xlpm.x=0,"",_xlpm.x)),"")</f>
        <v/>
      </c>
    </row>
    <row r="20" spans="1:26" x14ac:dyDescent="0.25">
      <c r="A20" s="2">
        <v>1000000000311</v>
      </c>
      <c r="B20" s="5" t="s">
        <v>65</v>
      </c>
      <c r="C20" s="2">
        <v>3000000000200</v>
      </c>
      <c r="D20" s="5" t="s">
        <v>66</v>
      </c>
      <c r="E20" s="1">
        <v>4</v>
      </c>
      <c r="F20" s="1" t="s">
        <v>67</v>
      </c>
      <c r="G20" s="1">
        <v>4</v>
      </c>
      <c r="H20" s="1">
        <v>2</v>
      </c>
      <c r="I20" s="1">
        <v>2</v>
      </c>
      <c r="J20" s="1"/>
      <c r="K20" s="1">
        <v>50</v>
      </c>
      <c r="L20" s="1" t="str">
        <f>IFERROR(_xlfn.LET(_xlpm.x,VLOOKUP($A20,'[1]Markings Threadings'!$B$3:$L$245,3,0),IF(_xlpm.x=0,"",_xlpm.x)),"")</f>
        <v>White</v>
      </c>
      <c r="M20" s="2">
        <f>IFERROR(_xlfn.LET(_xlpm.x,VLOOKUP($A20,'[1]Markings Threadings'!$B$3:$L$245,7,0),IF(_xlpm.x=0,"",_xlpm.x)),"")</f>
        <v>5000000000562</v>
      </c>
      <c r="N20" s="5" t="str">
        <f>IFERROR(_xlfn.LET(_xlpm.x,VLOOKUP($A20,'[1]Markings Threadings'!$B$3:$L$245,8,0),IF(_xlpm.x=0,"",_xlpm.x)),"")</f>
        <v>Sack Poultry Sol Chick Growex 1, 50kg</v>
      </c>
      <c r="O20" s="2">
        <f>IFERROR(_xlfn.LET(_xlpm.x,VLOOKUP($A20,'[1]Markings Threadings'!$B$3:$L$245,10,0),IF(_xlpm.x=0,"",_xlpm.x)),"")</f>
        <v>5000000000122</v>
      </c>
      <c r="P20" s="5" t="str">
        <f>IFERROR(_xlfn.LET(_xlpm.x,VLOOKUP($A20,'[1]Markings Threadings'!$B$3:$L$245,11,0),IF(_xlpm.x=0,"",_xlpm.x)),"")</f>
        <v>Tag - Poultry Solutions Chick Grower 1 Crumble</v>
      </c>
      <c r="Q20" s="1" t="str">
        <f>IFERROR(_xlfn.LET(_xlpm.x,VLOOKUP($A20,'[1]Markings Threadings'!$B$3:$L$245,4,0),IF(_xlpm.x=0,"",_xlpm.x)),"")</f>
        <v>311 CG 1</v>
      </c>
      <c r="R20" s="1" t="str">
        <f>IFERROR(_xlfn.LET(_xlpm.x,VLOOKUP($A20,'[1]Markings Threadings'!$B$3:$L$245,5,0),IF(_xlpm.x=0,"",_xlpm.x)),"")</f>
        <v/>
      </c>
      <c r="S20" s="1">
        <f>IFERROR(_xlfn.LET(_xlpm.x,VLOOKUP($A20,'[1]Markings Threadings'!$B$3:$L$245,6,0),IF(_xlpm.x=0,"",_xlpm.x)),"")</f>
        <v>14</v>
      </c>
      <c r="T20" s="6" t="str">
        <f>IFERROR(_xlfn.LET(_xlpm.x,VLOOKUP($C20,[1]Summary!$A$2:$J$118,4,0),IF(_xlpm.x=0,"",_xlpm.x)),"")</f>
        <v/>
      </c>
      <c r="U20" s="6" t="str">
        <f>IFERROR(_xlfn.LET(_xlpm.x,VLOOKUP($C20,[1]Summary!$A$2:$J$118,5,0),IF(_xlpm.x=0,"",_xlpm.x)),"")</f>
        <v/>
      </c>
      <c r="V20" s="6">
        <f>IFERROR(_xlfn.LET(_xlpm.x,VLOOKUP($C20,[1]Summary!$A$2:$J$118,6,0),IF(_xlpm.x=0,"",_xlpm.x)),"")</f>
        <v>7.3624530548302873</v>
      </c>
      <c r="W20" s="6">
        <f>IFERROR(_xlfn.LET(_xlpm.x,VLOOKUP($C20,[1]Summary!$A$2:$J$118,7,0),IF(_xlpm.x=0,"",_xlpm.x)),"")</f>
        <v>7.4468619886749732</v>
      </c>
      <c r="X20" s="6" t="str">
        <f>IFERROR(_xlfn.LET(_xlpm.x,VLOOKUP($C20,[1]Summary!$A$2:$J$118,8,0),IF(_xlpm.x=0,"",_xlpm.x)),"")</f>
        <v/>
      </c>
      <c r="Y20" s="6">
        <f>IFERROR(_xlfn.LET(_xlpm.x,VLOOKUP($C20,[1]Summary!$A$2:$J$118,9,0),IF(_xlpm.x=0,"",_xlpm.x)),"")</f>
        <v>7.058371764705881</v>
      </c>
      <c r="Z20" s="6" t="str">
        <f>IFERROR(_xlfn.LET(_xlpm.x,VLOOKUP($C20,[1]Summary!$A$2:$J$118,10,0),IF(_xlpm.x=0,"",_xlpm.x)),"")</f>
        <v/>
      </c>
    </row>
    <row r="21" spans="1:26" x14ac:dyDescent="0.25">
      <c r="A21" s="2">
        <v>1000000000312</v>
      </c>
      <c r="B21" s="5" t="s">
        <v>68</v>
      </c>
      <c r="C21" s="2">
        <v>3000000000202</v>
      </c>
      <c r="D21" s="5" t="s">
        <v>69</v>
      </c>
      <c r="E21" s="1">
        <v>4</v>
      </c>
      <c r="F21" s="1" t="s">
        <v>67</v>
      </c>
      <c r="G21" s="1">
        <v>4</v>
      </c>
      <c r="H21" s="1">
        <v>2</v>
      </c>
      <c r="I21" s="1">
        <v>2</v>
      </c>
      <c r="J21" s="1"/>
      <c r="K21" s="1">
        <v>50</v>
      </c>
      <c r="L21" s="1" t="str">
        <f>IFERROR(_xlfn.LET(_xlpm.x,VLOOKUP($A21,'[1]Markings Threadings'!$B$3:$L$245,3,0),IF(_xlpm.x=0,"",_xlpm.x)),"")</f>
        <v>Red</v>
      </c>
      <c r="M21" s="2">
        <f>IFERROR(_xlfn.LET(_xlpm.x,VLOOKUP($A21,'[1]Markings Threadings'!$B$3:$L$245,7,0),IF(_xlpm.x=0,"",_xlpm.x)),"")</f>
        <v>5000000000562</v>
      </c>
      <c r="N21" s="5" t="str">
        <f>IFERROR(_xlfn.LET(_xlpm.x,VLOOKUP($A21,'[1]Markings Threadings'!$B$3:$L$245,8,0),IF(_xlpm.x=0,"",_xlpm.x)),"")</f>
        <v>Sack Poultry Sol Chick Growex 1, 50kg</v>
      </c>
      <c r="O21" s="2">
        <f>IFERROR(_xlfn.LET(_xlpm.x,VLOOKUP($A21,'[1]Markings Threadings'!$B$3:$L$245,10,0),IF(_xlpm.x=0,"",_xlpm.x)),"")</f>
        <v>5000000000123</v>
      </c>
      <c r="P21" s="5" t="str">
        <f>IFERROR(_xlfn.LET(_xlpm.x,VLOOKUP($A21,'[1]Markings Threadings'!$B$3:$L$245,11,0),IF(_xlpm.x=0,"",_xlpm.x)),"")</f>
        <v>Tag Poultry Solution Chick Grower II</v>
      </c>
      <c r="Q21" s="1" t="str">
        <f>IFERROR(_xlfn.LET(_xlpm.x,VLOOKUP($A21,'[1]Markings Threadings'!$B$3:$L$245,4,0),IF(_xlpm.x=0,"",_xlpm.x)),"")</f>
        <v>312 CG 2</v>
      </c>
      <c r="R21" s="1" t="str">
        <f>IFERROR(_xlfn.LET(_xlpm.x,VLOOKUP($A21,'[1]Markings Threadings'!$B$3:$L$245,5,0),IF(_xlpm.x=0,"",_xlpm.x)),"")</f>
        <v/>
      </c>
      <c r="S21" s="1">
        <f>IFERROR(_xlfn.LET(_xlpm.x,VLOOKUP($A21,'[1]Markings Threadings'!$B$3:$L$245,6,0),IF(_xlpm.x=0,"",_xlpm.x)),"")</f>
        <v>14</v>
      </c>
      <c r="T21" s="6" t="str">
        <f>IFERROR(_xlfn.LET(_xlpm.x,VLOOKUP($C21,[1]Summary!$A$2:$J$118,4,0),IF(_xlpm.x=0,"",_xlpm.x)),"")</f>
        <v/>
      </c>
      <c r="U21" s="6" t="str">
        <f>IFERROR(_xlfn.LET(_xlpm.x,VLOOKUP($C21,[1]Summary!$A$2:$J$118,5,0),IF(_xlpm.x=0,"",_xlpm.x)),"")</f>
        <v/>
      </c>
      <c r="V21" s="6">
        <f>IFERROR(_xlfn.LET(_xlpm.x,VLOOKUP($C21,[1]Summary!$A$2:$J$118,6,0),IF(_xlpm.x=0,"",_xlpm.x)),"")</f>
        <v>7.4477991724137942</v>
      </c>
      <c r="W21" s="6">
        <f>IFERROR(_xlfn.LET(_xlpm.x,VLOOKUP($C21,[1]Summary!$A$2:$J$118,7,0),IF(_xlpm.x=0,"",_xlpm.x)),"")</f>
        <v>7.6729782857142865</v>
      </c>
      <c r="X21" s="6" t="str">
        <f>IFERROR(_xlfn.LET(_xlpm.x,VLOOKUP($C21,[1]Summary!$A$2:$J$118,8,0),IF(_xlpm.x=0,"",_xlpm.x)),"")</f>
        <v/>
      </c>
      <c r="Y21" s="6" t="str">
        <f>IFERROR(_xlfn.LET(_xlpm.x,VLOOKUP($C21,[1]Summary!$A$2:$J$118,9,0),IF(_xlpm.x=0,"",_xlpm.x)),"")</f>
        <v/>
      </c>
      <c r="Z21" s="6" t="str">
        <f>IFERROR(_xlfn.LET(_xlpm.x,VLOOKUP($C21,[1]Summary!$A$2:$J$118,10,0),IF(_xlpm.x=0,"",_xlpm.x)),"")</f>
        <v/>
      </c>
    </row>
    <row r="22" spans="1:26" x14ac:dyDescent="0.25">
      <c r="A22" s="2">
        <v>1000000000541</v>
      </c>
      <c r="B22" s="5" t="s">
        <v>70</v>
      </c>
      <c r="C22" s="2">
        <v>3000000000856</v>
      </c>
      <c r="D22" s="5" t="s">
        <v>71</v>
      </c>
      <c r="E22" s="1">
        <v>4</v>
      </c>
      <c r="F22" s="1" t="s">
        <v>47</v>
      </c>
      <c r="G22" s="1">
        <v>4</v>
      </c>
      <c r="H22" s="1">
        <v>2</v>
      </c>
      <c r="I22" s="1">
        <v>2</v>
      </c>
      <c r="J22" s="1"/>
      <c r="K22" s="1">
        <v>25</v>
      </c>
      <c r="L22" s="1" t="str">
        <f>IFERROR(_xlfn.LET(_xlpm.x,VLOOKUP($A22,'[1]Markings Threadings'!$B$3:$L$245,3,0),IF(_xlpm.x=0,"",_xlpm.x)),"")</f>
        <v/>
      </c>
      <c r="M22" s="2" t="str">
        <f>IFERROR(_xlfn.LET(_xlpm.x,VLOOKUP($A22,'[1]Markings Threadings'!$B$3:$L$245,7,0),IF(_xlpm.x=0,"",_xlpm.x)),"")</f>
        <v/>
      </c>
      <c r="N22" s="5" t="str">
        <f>IFERROR(_xlfn.LET(_xlpm.x,VLOOKUP($A22,'[1]Markings Threadings'!$B$3:$L$245,8,0),IF(_xlpm.x=0,"",_xlpm.x)),"")</f>
        <v/>
      </c>
      <c r="O22" s="2" t="str">
        <f>IFERROR(_xlfn.LET(_xlpm.x,VLOOKUP($A22,'[1]Markings Threadings'!$B$3:$L$245,10,0),IF(_xlpm.x=0,"",_xlpm.x)),"")</f>
        <v/>
      </c>
      <c r="P22" s="5" t="str">
        <f>IFERROR(_xlfn.LET(_xlpm.x,VLOOKUP($A22,'[1]Markings Threadings'!$B$3:$L$245,11,0),IF(_xlpm.x=0,"",_xlpm.x)),"")</f>
        <v/>
      </c>
      <c r="Q22" s="1" t="str">
        <f>IFERROR(_xlfn.LET(_xlpm.x,VLOOKUP($A22,'[1]Markings Threadings'!$B$3:$L$245,4,0),IF(_xlpm.x=0,"",_xlpm.x)),"")</f>
        <v/>
      </c>
      <c r="R22" s="1" t="str">
        <f>IFERROR(_xlfn.LET(_xlpm.x,VLOOKUP($A22,'[1]Markings Threadings'!$B$3:$L$245,5,0),IF(_xlpm.x=0,"",_xlpm.x)),"")</f>
        <v/>
      </c>
      <c r="S22" s="1" t="str">
        <f>IFERROR(_xlfn.LET(_xlpm.x,VLOOKUP($A22,'[1]Markings Threadings'!$B$3:$L$245,6,0),IF(_xlpm.x=0,"",_xlpm.x)),"")</f>
        <v/>
      </c>
      <c r="T22" s="6" t="str">
        <f>IFERROR(_xlfn.LET(_xlpm.x,VLOOKUP($C22,[1]Summary!$A$2:$J$118,4,0),IF(_xlpm.x=0,"",_xlpm.x)),"")</f>
        <v/>
      </c>
      <c r="U22" s="6" t="str">
        <f>IFERROR(_xlfn.LET(_xlpm.x,VLOOKUP($C22,[1]Summary!$A$2:$J$118,5,0),IF(_xlpm.x=0,"",_xlpm.x)),"")</f>
        <v/>
      </c>
      <c r="V22" s="6" t="str">
        <f>IFERROR(_xlfn.LET(_xlpm.x,VLOOKUP($C22,[1]Summary!$A$2:$J$118,6,0),IF(_xlpm.x=0,"",_xlpm.x)),"")</f>
        <v/>
      </c>
      <c r="W22" s="6" t="str">
        <f>IFERROR(_xlfn.LET(_xlpm.x,VLOOKUP($C22,[1]Summary!$A$2:$J$118,7,0),IF(_xlpm.x=0,"",_xlpm.x)),"")</f>
        <v/>
      </c>
      <c r="X22" s="6" t="str">
        <f>IFERROR(_xlfn.LET(_xlpm.x,VLOOKUP($C22,[1]Summary!$A$2:$J$118,8,0),IF(_xlpm.x=0,"",_xlpm.x)),"")</f>
        <v/>
      </c>
      <c r="Y22" s="6" t="str">
        <f>IFERROR(_xlfn.LET(_xlpm.x,VLOOKUP($C22,[1]Summary!$A$2:$J$118,9,0),IF(_xlpm.x=0,"",_xlpm.x)),"")</f>
        <v/>
      </c>
      <c r="Z22" s="6" t="str">
        <f>IFERROR(_xlfn.LET(_xlpm.x,VLOOKUP($C22,[1]Summary!$A$2:$J$118,10,0),IF(_xlpm.x=0,"",_xlpm.x)),"")</f>
        <v/>
      </c>
    </row>
    <row r="23" spans="1:26" x14ac:dyDescent="0.25">
      <c r="A23" s="2">
        <v>1000000000540</v>
      </c>
      <c r="B23" s="5" t="s">
        <v>72</v>
      </c>
      <c r="C23" s="2">
        <v>3000000000858</v>
      </c>
      <c r="D23" s="5" t="s">
        <v>58</v>
      </c>
      <c r="E23" s="1">
        <v>4</v>
      </c>
      <c r="F23" s="1" t="s">
        <v>47</v>
      </c>
      <c r="G23" s="1">
        <v>4</v>
      </c>
      <c r="H23" s="1">
        <v>2</v>
      </c>
      <c r="I23" s="1">
        <v>2</v>
      </c>
      <c r="J23" s="1"/>
      <c r="K23" s="1">
        <v>25</v>
      </c>
      <c r="L23" s="1" t="str">
        <f>IFERROR(_xlfn.LET(_xlpm.x,VLOOKUP($A23,'[1]Markings Threadings'!$B$3:$L$245,3,0),IF(_xlpm.x=0,"",_xlpm.x)),"")</f>
        <v>White</v>
      </c>
      <c r="M23" s="2">
        <f>IFERROR(_xlfn.LET(_xlpm.x,VLOOKUP($A23,'[1]Markings Threadings'!$B$3:$L$245,7,0),IF(_xlpm.x=0,"",_xlpm.x)),"")</f>
        <v>5000000000411</v>
      </c>
      <c r="N23" s="5" t="str">
        <f>IFERROR(_xlfn.LET(_xlpm.x,VLOOKUP($A23,'[1]Markings Threadings'!$B$3:$L$245,8,0),IF(_xlpm.x=0,"",_xlpm.x)),"")</f>
        <v>Roll Form Salto Chick Booster 1kg</v>
      </c>
      <c r="O23" s="2">
        <f>IFERROR(_xlfn.LET(_xlpm.x,VLOOKUP($A23,'[1]Markings Threadings'!$B$3:$L$245,10,0),IF(_xlpm.x=0,"",_xlpm.x)),"")</f>
        <v>5000000000130</v>
      </c>
      <c r="P23" s="5" t="str">
        <f>IFERROR(_xlfn.LET(_xlpm.x,VLOOKUP($A23,'[1]Markings Threadings'!$B$3:$L$245,11,0),IF(_xlpm.x=0,"",_xlpm.x)),"")</f>
        <v>Tag - Salto Bundle Pack</v>
      </c>
      <c r="Q23" s="1" t="str">
        <f>IFERROR(_xlfn.LET(_xlpm.x,VLOOKUP($A23,'[1]Markings Threadings'!$B$3:$L$245,4,0),IF(_xlpm.x=0,"",_xlpm.x)),"")</f>
        <v/>
      </c>
      <c r="R23" s="1" t="str">
        <f>IFERROR(_xlfn.LET(_xlpm.x,VLOOKUP($A23,'[1]Markings Threadings'!$B$3:$L$245,5,0),IF(_xlpm.x=0,"",_xlpm.x)),"")</f>
        <v/>
      </c>
      <c r="S23" s="1">
        <f>IFERROR(_xlfn.LET(_xlpm.x,VLOOKUP($A23,'[1]Markings Threadings'!$B$3:$L$245,6,0),IF(_xlpm.x=0,"",_xlpm.x)),"")</f>
        <v>1</v>
      </c>
      <c r="T23" s="6">
        <f>IFERROR(_xlfn.LET(_xlpm.x,VLOOKUP($C23,[1]Summary!$A$2:$J$118,4,0),IF(_xlpm.x=0,"",_xlpm.x)),"")</f>
        <v>14.051959005373144</v>
      </c>
      <c r="U23" s="6">
        <f>IFERROR(_xlfn.LET(_xlpm.x,VLOOKUP($C23,[1]Summary!$A$2:$J$118,5,0),IF(_xlpm.x=0,"",_xlpm.x)),"")</f>
        <v>13.274660127386952</v>
      </c>
      <c r="V23" s="6" t="str">
        <f>IFERROR(_xlfn.LET(_xlpm.x,VLOOKUP($C23,[1]Summary!$A$2:$J$118,6,0),IF(_xlpm.x=0,"",_xlpm.x)),"")</f>
        <v/>
      </c>
      <c r="W23" s="6">
        <f>IFERROR(_xlfn.LET(_xlpm.x,VLOOKUP($C23,[1]Summary!$A$2:$J$118,7,0),IF(_xlpm.x=0,"",_xlpm.x)),"")</f>
        <v>7.4477991724137933</v>
      </c>
      <c r="X23" s="6" t="str">
        <f>IFERROR(_xlfn.LET(_xlpm.x,VLOOKUP($C23,[1]Summary!$A$2:$J$118,8,0),IF(_xlpm.x=0,"",_xlpm.x)),"")</f>
        <v/>
      </c>
      <c r="Y23" s="6" t="str">
        <f>IFERROR(_xlfn.LET(_xlpm.x,VLOOKUP($C23,[1]Summary!$A$2:$J$118,9,0),IF(_xlpm.x=0,"",_xlpm.x)),"")</f>
        <v/>
      </c>
      <c r="Z23" s="6" t="str">
        <f>IFERROR(_xlfn.LET(_xlpm.x,VLOOKUP($C23,[1]Summary!$A$2:$J$118,10,0),IF(_xlpm.x=0,"",_xlpm.x)),"")</f>
        <v/>
      </c>
    </row>
    <row r="24" spans="1:26" x14ac:dyDescent="0.25">
      <c r="A24" s="2">
        <v>1000000000543</v>
      </c>
      <c r="B24" s="5" t="s">
        <v>73</v>
      </c>
      <c r="C24" s="2">
        <v>3000000000078</v>
      </c>
      <c r="D24" s="5" t="s">
        <v>74</v>
      </c>
      <c r="E24" s="1">
        <v>3</v>
      </c>
      <c r="F24" s="1" t="s">
        <v>75</v>
      </c>
      <c r="G24" s="1">
        <v>4</v>
      </c>
      <c r="H24" s="1">
        <v>2</v>
      </c>
      <c r="I24" s="1">
        <v>2</v>
      </c>
      <c r="J24" s="1"/>
      <c r="K24" s="1">
        <v>25</v>
      </c>
      <c r="L24" s="1" t="str">
        <f>IFERROR(_xlfn.LET(_xlpm.x,VLOOKUP($A24,'[1]Markings Threadings'!$B$3:$L$245,3,0),IF(_xlpm.x=0,"",_xlpm.x)),"")</f>
        <v>White</v>
      </c>
      <c r="M24" s="2">
        <f>IFERROR(_xlfn.LET(_xlpm.x,VLOOKUP($A24,'[1]Markings Threadings'!$B$3:$L$245,7,0),IF(_xlpm.x=0,"",_xlpm.x)),"")</f>
        <v>5000000000028</v>
      </c>
      <c r="N24" s="5" t="str">
        <f>IFERROR(_xlfn.LET(_xlpm.x,VLOOKUP($A24,'[1]Markings Threadings'!$B$3:$L$245,8,0),IF(_xlpm.x=0,"",_xlpm.x)),"")</f>
        <v>Empty Pack - Salto Stag Developer Mini Pellet 1kg OPP</v>
      </c>
      <c r="O24" s="2">
        <f>IFERROR(_xlfn.LET(_xlpm.x,VLOOKUP($A24,'[1]Markings Threadings'!$B$3:$L$245,10,0),IF(_xlpm.x=0,"",_xlpm.x)),"")</f>
        <v>5000000000130</v>
      </c>
      <c r="P24" s="5" t="str">
        <f>IFERROR(_xlfn.LET(_xlpm.x,VLOOKUP($A24,'[1]Markings Threadings'!$B$3:$L$245,11,0),IF(_xlpm.x=0,"",_xlpm.x)),"")</f>
        <v>Tag - Salto Bundle Pack</v>
      </c>
      <c r="Q24" s="1" t="str">
        <f>IFERROR(_xlfn.LET(_xlpm.x,VLOOKUP($A24,'[1]Markings Threadings'!$B$3:$L$245,4,0),IF(_xlpm.x=0,"",_xlpm.x)),"")</f>
        <v/>
      </c>
      <c r="R24" s="1" t="str">
        <f>IFERROR(_xlfn.LET(_xlpm.x,VLOOKUP($A24,'[1]Markings Threadings'!$B$3:$L$245,5,0),IF(_xlpm.x=0,"",_xlpm.x)),"")</f>
        <v/>
      </c>
      <c r="S24" s="1">
        <f>IFERROR(_xlfn.LET(_xlpm.x,VLOOKUP($A24,'[1]Markings Threadings'!$B$3:$L$245,6,0),IF(_xlpm.x=0,"",_xlpm.x)),"")</f>
        <v>1</v>
      </c>
      <c r="T24" s="6" t="str">
        <f>IFERROR(_xlfn.LET(_xlpm.x,VLOOKUP($C24,[1]Summary!$A$2:$J$118,4,0),IF(_xlpm.x=0,"",_xlpm.x)),"")</f>
        <v/>
      </c>
      <c r="U24" s="6" t="str">
        <f>IFERROR(_xlfn.LET(_xlpm.x,VLOOKUP($C24,[1]Summary!$A$2:$J$118,5,0),IF(_xlpm.x=0,"",_xlpm.x)),"")</f>
        <v/>
      </c>
      <c r="V24" s="6" t="str">
        <f>IFERROR(_xlfn.LET(_xlpm.x,VLOOKUP($C24,[1]Summary!$A$2:$J$118,6,0),IF(_xlpm.x=0,"",_xlpm.x)),"")</f>
        <v/>
      </c>
      <c r="W24" s="6" t="str">
        <f>IFERROR(_xlfn.LET(_xlpm.x,VLOOKUP($C24,[1]Summary!$A$2:$J$118,7,0),IF(_xlpm.x=0,"",_xlpm.x)),"")</f>
        <v/>
      </c>
      <c r="X24" s="6">
        <f>IFERROR(_xlfn.LET(_xlpm.x,VLOOKUP($C24,[1]Summary!$A$2:$J$118,8,0),IF(_xlpm.x=0,"",_xlpm.x)),"")</f>
        <v>12.672035139092241</v>
      </c>
      <c r="Y24" s="6" t="str">
        <f>IFERROR(_xlfn.LET(_xlpm.x,VLOOKUP($C24,[1]Summary!$A$2:$J$118,9,0),IF(_xlpm.x=0,"",_xlpm.x)),"")</f>
        <v/>
      </c>
      <c r="Z24" s="6" t="str">
        <f>IFERROR(_xlfn.LET(_xlpm.x,VLOOKUP($C24,[1]Summary!$A$2:$J$118,10,0),IF(_xlpm.x=0,"",_xlpm.x)),"")</f>
        <v/>
      </c>
    </row>
    <row r="25" spans="1:26" x14ac:dyDescent="0.25">
      <c r="A25" s="2">
        <v>3000000000076</v>
      </c>
      <c r="B25" s="5" t="s">
        <v>76</v>
      </c>
      <c r="C25" s="2">
        <v>3000000000076</v>
      </c>
      <c r="D25" s="5" t="s">
        <v>77</v>
      </c>
      <c r="E25" s="1">
        <v>4</v>
      </c>
      <c r="F25" s="1" t="s">
        <v>67</v>
      </c>
      <c r="G25" s="1">
        <v>4</v>
      </c>
      <c r="H25" s="1">
        <v>2</v>
      </c>
      <c r="I25" s="1">
        <v>2</v>
      </c>
      <c r="J25" s="1"/>
      <c r="K25" s="1">
        <v>50</v>
      </c>
      <c r="L25" s="1" t="str">
        <f>IFERROR(_xlfn.LET(_xlpm.x,VLOOKUP($A25,'[1]Markings Threadings'!$B$3:$L$245,3,0),IF(_xlpm.x=0,"",_xlpm.x)),"")</f>
        <v>Yellow</v>
      </c>
      <c r="M25" s="2" t="str">
        <f>IFERROR(_xlfn.LET(_xlpm.x,VLOOKUP($A25,'[1]Markings Threadings'!$B$3:$L$245,7,0),IF(_xlpm.x=0,"",_xlpm.x)),"")</f>
        <v/>
      </c>
      <c r="N25" s="5" t="str">
        <f>IFERROR(_xlfn.LET(_xlpm.x,VLOOKUP($A25,'[1]Markings Threadings'!$B$3:$L$245,8,0),IF(_xlpm.x=0,"",_xlpm.x)),"")</f>
        <v/>
      </c>
      <c r="O25" s="2" t="str">
        <f>IFERROR(_xlfn.LET(_xlpm.x,VLOOKUP($A25,'[1]Markings Threadings'!$B$3:$L$245,10,0),IF(_xlpm.x=0,"",_xlpm.x)),"")</f>
        <v/>
      </c>
      <c r="P25" s="5" t="str">
        <f>IFERROR(_xlfn.LET(_xlpm.x,VLOOKUP($A25,'[1]Markings Threadings'!$B$3:$L$245,11,0),IF(_xlpm.x=0,"",_xlpm.x)),"")</f>
        <v/>
      </c>
      <c r="Q25" s="1" t="str">
        <f>IFERROR(_xlfn.LET(_xlpm.x,VLOOKUP($A25,'[1]Markings Threadings'!$B$3:$L$245,4,0),IF(_xlpm.x=0,"",_xlpm.x)),"")</f>
        <v>076</v>
      </c>
      <c r="R25" s="1" t="str">
        <f>IFERROR(_xlfn.LET(_xlpm.x,VLOOKUP($A25,'[1]Markings Threadings'!$B$3:$L$245,5,0),IF(_xlpm.x=0,"",_xlpm.x)),"")</f>
        <v/>
      </c>
      <c r="S25" s="1" t="str">
        <f>IFERROR(_xlfn.LET(_xlpm.x,VLOOKUP($A25,'[1]Markings Threadings'!$B$3:$L$245,6,0),IF(_xlpm.x=0,"",_xlpm.x)),"")</f>
        <v/>
      </c>
      <c r="T25" s="6" t="str">
        <f>IFERROR(_xlfn.LET(_xlpm.x,VLOOKUP($C25,[1]Summary!$A$2:$J$118,4,0),IF(_xlpm.x=0,"",_xlpm.x)),"")</f>
        <v/>
      </c>
      <c r="U25" s="6" t="str">
        <f>IFERROR(_xlfn.LET(_xlpm.x,VLOOKUP($C25,[1]Summary!$A$2:$J$118,5,0),IF(_xlpm.x=0,"",_xlpm.x)),"")</f>
        <v/>
      </c>
      <c r="V25" s="6">
        <f>IFERROR(_xlfn.LET(_xlpm.x,VLOOKUP($C25,[1]Summary!$A$2:$J$118,6,0),IF(_xlpm.x=0,"",_xlpm.x)),"")</f>
        <v>6.5492321808127008</v>
      </c>
      <c r="W25" s="6">
        <f>IFERROR(_xlfn.LET(_xlpm.x,VLOOKUP($C25,[1]Summary!$A$2:$J$118,7,0),IF(_xlpm.x=0,"",_xlpm.x)),"")</f>
        <v>7.5474284815724832</v>
      </c>
      <c r="X25" s="6" t="str">
        <f>IFERROR(_xlfn.LET(_xlpm.x,VLOOKUP($C25,[1]Summary!$A$2:$J$118,8,0),IF(_xlpm.x=0,"",_xlpm.x)),"")</f>
        <v/>
      </c>
      <c r="Y25" s="6">
        <f>IFERROR(_xlfn.LET(_xlpm.x,VLOOKUP($C25,[1]Summary!$A$2:$J$118,9,0),IF(_xlpm.x=0,"",_xlpm.x)),"")</f>
        <v>5.8662912000000009</v>
      </c>
      <c r="Z25" s="6" t="str">
        <f>IFERROR(_xlfn.LET(_xlpm.x,VLOOKUP($C25,[1]Summary!$A$2:$J$118,10,0),IF(_xlpm.x=0,"",_xlpm.x)),"")</f>
        <v/>
      </c>
    </row>
    <row r="26" spans="1:26" x14ac:dyDescent="0.25">
      <c r="A26" s="2">
        <v>1000000000937</v>
      </c>
      <c r="B26" s="5" t="s">
        <v>78</v>
      </c>
      <c r="C26" s="2">
        <v>3000000000581</v>
      </c>
      <c r="D26" s="5" t="s">
        <v>79</v>
      </c>
      <c r="E26" s="1">
        <v>4</v>
      </c>
      <c r="F26" s="1" t="s">
        <v>28</v>
      </c>
      <c r="G26" s="1">
        <v>4</v>
      </c>
      <c r="H26" s="1">
        <v>2</v>
      </c>
      <c r="I26" s="1">
        <v>2</v>
      </c>
      <c r="J26" s="1"/>
      <c r="K26" s="1">
        <v>50</v>
      </c>
      <c r="L26" s="1" t="str">
        <f>IFERROR(_xlfn.LET(_xlpm.x,VLOOKUP($A26,'[1]Markings Threadings'!$B$3:$L$245,3,0),IF(_xlpm.x=0,"",_xlpm.x)),"")</f>
        <v>White</v>
      </c>
      <c r="M26" s="2">
        <f>IFERROR(_xlfn.LET(_xlpm.x,VLOOKUP($A26,'[1]Markings Threadings'!$B$3:$L$245,7,0),IF(_xlpm.x=0,"",_xlpm.x)),"")</f>
        <v>5000000000060</v>
      </c>
      <c r="N26" s="5" t="str">
        <f>IFERROR(_xlfn.LET(_xlpm.x,VLOOKUP($A26,'[1]Markings Threadings'!$B$3:$L$245,8,0),IF(_xlpm.x=0,"",_xlpm.x)),"")</f>
        <v>Empty Sack - Lakas Mama Breeder Gestation Pellet, 50 kg</v>
      </c>
      <c r="O26" s="2">
        <f>IFERROR(_xlfn.LET(_xlpm.x,VLOOKUP($A26,'[1]Markings Threadings'!$B$3:$L$245,10,0),IF(_xlpm.x=0,"",_xlpm.x)),"")</f>
        <v>5000000000126</v>
      </c>
      <c r="P26" s="5" t="str">
        <f>IFERROR(_xlfn.LET(_xlpm.x,VLOOKUP($A26,'[1]Markings Threadings'!$B$3:$L$245,11,0),IF(_xlpm.x=0,"",_xlpm.x)),"")</f>
        <v>Tag - Lakas Mama Breeder Gestation Pellet</v>
      </c>
      <c r="Q26" s="1" t="str">
        <f>IFERROR(_xlfn.LET(_xlpm.x,VLOOKUP($A26,'[1]Markings Threadings'!$B$3:$L$245,4,0),IF(_xlpm.x=0,"",_xlpm.x)),"")</f>
        <v/>
      </c>
      <c r="R26" s="1" t="str">
        <f>IFERROR(_xlfn.LET(_xlpm.x,VLOOKUP($A26,'[1]Markings Threadings'!$B$3:$L$245,5,0),IF(_xlpm.x=0,"",_xlpm.x)),"")</f>
        <v/>
      </c>
      <c r="S26" s="1">
        <f>IFERROR(_xlfn.LET(_xlpm.x,VLOOKUP($A26,'[1]Markings Threadings'!$B$3:$L$245,6,0),IF(_xlpm.x=0,"",_xlpm.x)),"")</f>
        <v>1</v>
      </c>
      <c r="T26" s="6">
        <f>IFERROR(_xlfn.LET(_xlpm.x,VLOOKUP($C26,[1]Summary!$A$2:$J$118,4,0),IF(_xlpm.x=0,"",_xlpm.x)),"")</f>
        <v>20.105212556862515</v>
      </c>
      <c r="U26" s="6">
        <f>IFERROR(_xlfn.LET(_xlpm.x,VLOOKUP($C26,[1]Summary!$A$2:$J$118,5,0),IF(_xlpm.x=0,"",_xlpm.x)),"")</f>
        <v>19.528299745060774</v>
      </c>
      <c r="V26" s="6" t="str">
        <f>IFERROR(_xlfn.LET(_xlpm.x,VLOOKUP($C26,[1]Summary!$A$2:$J$118,6,0),IF(_xlpm.x=0,"",_xlpm.x)),"")</f>
        <v/>
      </c>
      <c r="W26" s="6" t="str">
        <f>IFERROR(_xlfn.LET(_xlpm.x,VLOOKUP($C26,[1]Summary!$A$2:$J$118,7,0),IF(_xlpm.x=0,"",_xlpm.x)),"")</f>
        <v/>
      </c>
      <c r="X26" s="6" t="str">
        <f>IFERROR(_xlfn.LET(_xlpm.x,VLOOKUP($C26,[1]Summary!$A$2:$J$118,8,0),IF(_xlpm.x=0,"",_xlpm.x)),"")</f>
        <v/>
      </c>
      <c r="Y26" s="6">
        <f>IFERROR(_xlfn.LET(_xlpm.x,VLOOKUP($C26,[1]Summary!$A$2:$J$118,9,0),IF(_xlpm.x=0,"",_xlpm.x)),"")</f>
        <v>7.8918784490958904</v>
      </c>
      <c r="Z26" s="6" t="str">
        <f>IFERROR(_xlfn.LET(_xlpm.x,VLOOKUP($C26,[1]Summary!$A$2:$J$118,10,0),IF(_xlpm.x=0,"",_xlpm.x)),"")</f>
        <v/>
      </c>
    </row>
    <row r="27" spans="1:26" x14ac:dyDescent="0.25">
      <c r="A27" s="2">
        <v>1000000000557</v>
      </c>
      <c r="B27" s="5" t="s">
        <v>80</v>
      </c>
      <c r="C27" s="2">
        <v>3000000000049</v>
      </c>
      <c r="D27" s="5" t="s">
        <v>81</v>
      </c>
      <c r="E27" s="1">
        <v>4</v>
      </c>
      <c r="F27" s="1" t="s">
        <v>67</v>
      </c>
      <c r="G27" s="1">
        <v>4</v>
      </c>
      <c r="H27" s="1">
        <v>2</v>
      </c>
      <c r="I27" s="1">
        <v>2</v>
      </c>
      <c r="J27" s="1"/>
      <c r="K27" s="1">
        <v>25</v>
      </c>
      <c r="L27" s="1" t="str">
        <f>IFERROR(_xlfn.LET(_xlpm.x,VLOOKUP($A27,'[1]Markings Threadings'!$B$3:$L$245,3,0),IF(_xlpm.x=0,"",_xlpm.x)),"")</f>
        <v/>
      </c>
      <c r="M27" s="2" t="str">
        <f>IFERROR(_xlfn.LET(_xlpm.x,VLOOKUP($A27,'[1]Markings Threadings'!$B$3:$L$245,7,0),IF(_xlpm.x=0,"",_xlpm.x)),"")</f>
        <v/>
      </c>
      <c r="N27" s="5" t="str">
        <f>IFERROR(_xlfn.LET(_xlpm.x,VLOOKUP($A27,'[1]Markings Threadings'!$B$3:$L$245,8,0),IF(_xlpm.x=0,"",_xlpm.x)),"")</f>
        <v/>
      </c>
      <c r="O27" s="2" t="str">
        <f>IFERROR(_xlfn.LET(_xlpm.x,VLOOKUP($A27,'[1]Markings Threadings'!$B$3:$L$245,10,0),IF(_xlpm.x=0,"",_xlpm.x)),"")</f>
        <v/>
      </c>
      <c r="P27" s="5" t="str">
        <f>IFERROR(_xlfn.LET(_xlpm.x,VLOOKUP($A27,'[1]Markings Threadings'!$B$3:$L$245,11,0),IF(_xlpm.x=0,"",_xlpm.x)),"")</f>
        <v/>
      </c>
      <c r="Q27" s="1" t="str">
        <f>IFERROR(_xlfn.LET(_xlpm.x,VLOOKUP($A27,'[1]Markings Threadings'!$B$3:$L$245,4,0),IF(_xlpm.x=0,"",_xlpm.x)),"")</f>
        <v/>
      </c>
      <c r="R27" s="1" t="str">
        <f>IFERROR(_xlfn.LET(_xlpm.x,VLOOKUP($A27,'[1]Markings Threadings'!$B$3:$L$245,5,0),IF(_xlpm.x=0,"",_xlpm.x)),"")</f>
        <v/>
      </c>
      <c r="S27" s="1" t="str">
        <f>IFERROR(_xlfn.LET(_xlpm.x,VLOOKUP($A27,'[1]Markings Threadings'!$B$3:$L$245,6,0),IF(_xlpm.x=0,"",_xlpm.x)),"")</f>
        <v/>
      </c>
      <c r="T27" s="6" t="str">
        <f>IFERROR(_xlfn.LET(_xlpm.x,VLOOKUP($C27,[1]Summary!$A$2:$J$118,4,0),IF(_xlpm.x=0,"",_xlpm.x)),"")</f>
        <v/>
      </c>
      <c r="U27" s="6" t="str">
        <f>IFERROR(_xlfn.LET(_xlpm.x,VLOOKUP($C27,[1]Summary!$A$2:$J$118,5,0),IF(_xlpm.x=0,"",_xlpm.x)),"")</f>
        <v/>
      </c>
      <c r="V27" s="6" t="str">
        <f>IFERROR(_xlfn.LET(_xlpm.x,VLOOKUP($C27,[1]Summary!$A$2:$J$118,6,0),IF(_xlpm.x=0,"",_xlpm.x)),"")</f>
        <v/>
      </c>
      <c r="W27" s="6" t="str">
        <f>IFERROR(_xlfn.LET(_xlpm.x,VLOOKUP($C27,[1]Summary!$A$2:$J$118,7,0),IF(_xlpm.x=0,"",_xlpm.x)),"")</f>
        <v/>
      </c>
      <c r="X27" s="6" t="str">
        <f>IFERROR(_xlfn.LET(_xlpm.x,VLOOKUP($C27,[1]Summary!$A$2:$J$118,8,0),IF(_xlpm.x=0,"",_xlpm.x)),"")</f>
        <v/>
      </c>
      <c r="Y27" s="6" t="str">
        <f>IFERROR(_xlfn.LET(_xlpm.x,VLOOKUP($C27,[1]Summary!$A$2:$J$118,9,0),IF(_xlpm.x=0,"",_xlpm.x)),"")</f>
        <v/>
      </c>
      <c r="Z27" s="6" t="str">
        <f>IFERROR(_xlfn.LET(_xlpm.x,VLOOKUP($C27,[1]Summary!$A$2:$J$118,10,0),IF(_xlpm.x=0,"",_xlpm.x)),"")</f>
        <v/>
      </c>
    </row>
    <row r="28" spans="1:26" x14ac:dyDescent="0.25">
      <c r="A28" s="2">
        <v>1000000000591</v>
      </c>
      <c r="B28" s="5" t="s">
        <v>82</v>
      </c>
      <c r="C28" s="2">
        <v>3000000000238</v>
      </c>
      <c r="D28" s="5" t="s">
        <v>83</v>
      </c>
      <c r="E28" s="1">
        <v>4</v>
      </c>
      <c r="F28" s="1" t="s">
        <v>67</v>
      </c>
      <c r="G28" s="1">
        <v>4</v>
      </c>
      <c r="H28" s="1">
        <v>2</v>
      </c>
      <c r="I28" s="1">
        <v>2</v>
      </c>
      <c r="J28" s="1"/>
      <c r="K28" s="1">
        <v>50</v>
      </c>
      <c r="L28" s="1" t="str">
        <f>IFERROR(_xlfn.LET(_xlpm.x,VLOOKUP($A28,'[1]Markings Threadings'!$B$3:$L$245,3,0),IF(_xlpm.x=0,"",_xlpm.x)),"")</f>
        <v>White</v>
      </c>
      <c r="M28" s="2">
        <f>IFERROR(_xlfn.LET(_xlpm.x,VLOOKUP($A28,'[1]Markings Threadings'!$B$3:$L$245,7,0),IF(_xlpm.x=0,"",_xlpm.x)),"")</f>
        <v>5000000000063</v>
      </c>
      <c r="N28" s="5" t="str">
        <f>IFERROR(_xlfn.LET(_xlpm.x,VLOOKUP($A28,'[1]Markings Threadings'!$B$3:$L$245,8,0),IF(_xlpm.x=0,"",_xlpm.x)),"")</f>
        <v>Empty Sack - Gallimax 2 Stag Developer Pellet 50 kg</v>
      </c>
      <c r="O28" s="2">
        <f>IFERROR(_xlfn.LET(_xlpm.x,VLOOKUP($A28,'[1]Markings Threadings'!$B$3:$L$245,10,0),IF(_xlpm.x=0,"",_xlpm.x)),"")</f>
        <v>5000000000128</v>
      </c>
      <c r="P28" s="5" t="str">
        <f>IFERROR(_xlfn.LET(_xlpm.x,VLOOKUP($A28,'[1]Markings Threadings'!$B$3:$L$245,11,0),IF(_xlpm.x=0,"",_xlpm.x)),"")</f>
        <v>Tag - Gallimax 2 Stag Developer Crumble</v>
      </c>
      <c r="Q28" s="1" t="str">
        <f>IFERROR(_xlfn.LET(_xlpm.x,VLOOKUP($A28,'[1]Markings Threadings'!$B$3:$L$245,4,0),IF(_xlpm.x=0,"",_xlpm.x)),"")</f>
        <v/>
      </c>
      <c r="R28" s="1" t="str">
        <f>IFERROR(_xlfn.LET(_xlpm.x,VLOOKUP($A28,'[1]Markings Threadings'!$B$3:$L$245,5,0),IF(_xlpm.x=0,"",_xlpm.x)),"")</f>
        <v/>
      </c>
      <c r="S28" s="1">
        <f>IFERROR(_xlfn.LET(_xlpm.x,VLOOKUP($A28,'[1]Markings Threadings'!$B$3:$L$245,6,0),IF(_xlpm.x=0,"",_xlpm.x)),"")</f>
        <v>1</v>
      </c>
      <c r="T28" s="6" t="str">
        <f>IFERROR(_xlfn.LET(_xlpm.x,VLOOKUP($C28,[1]Summary!$A$2:$J$118,4,0),IF(_xlpm.x=0,"",_xlpm.x)),"")</f>
        <v/>
      </c>
      <c r="U28" s="6">
        <f>IFERROR(_xlfn.LET(_xlpm.x,VLOOKUP($C28,[1]Summary!$A$2:$J$118,5,0),IF(_xlpm.x=0,"",_xlpm.x)),"")</f>
        <v>13.257850616884644</v>
      </c>
      <c r="V28" s="6">
        <f>IFERROR(_xlfn.LET(_xlpm.x,VLOOKUP($C28,[1]Summary!$A$2:$J$118,6,0),IF(_xlpm.x=0,"",_xlpm.x)),"")</f>
        <v>7.2707210847457642</v>
      </c>
      <c r="W28" s="6" t="str">
        <f>IFERROR(_xlfn.LET(_xlpm.x,VLOOKUP($C28,[1]Summary!$A$2:$J$118,7,0),IF(_xlpm.x=0,"",_xlpm.x)),"")</f>
        <v/>
      </c>
      <c r="X28" s="6" t="str">
        <f>IFERROR(_xlfn.LET(_xlpm.x,VLOOKUP($C28,[1]Summary!$A$2:$J$118,8,0),IF(_xlpm.x=0,"",_xlpm.x)),"")</f>
        <v/>
      </c>
      <c r="Y28" s="6">
        <f>IFERROR(_xlfn.LET(_xlpm.x,VLOOKUP($C28,[1]Summary!$A$2:$J$118,9,0),IF(_xlpm.x=0,"",_xlpm.x)),"")</f>
        <v>7.0324996736962637</v>
      </c>
      <c r="Z28" s="6" t="str">
        <f>IFERROR(_xlfn.LET(_xlpm.x,VLOOKUP($C28,[1]Summary!$A$2:$J$118,10,0),IF(_xlpm.x=0,"",_xlpm.x)),"")</f>
        <v/>
      </c>
    </row>
    <row r="29" spans="1:26" x14ac:dyDescent="0.25">
      <c r="A29" s="2">
        <v>1000000000588</v>
      </c>
      <c r="B29" s="5" t="s">
        <v>84</v>
      </c>
      <c r="C29" s="2">
        <v>3000000000234</v>
      </c>
      <c r="D29" s="5" t="s">
        <v>85</v>
      </c>
      <c r="E29" s="1">
        <v>3</v>
      </c>
      <c r="F29" s="1" t="s">
        <v>86</v>
      </c>
      <c r="G29" s="1">
        <v>4</v>
      </c>
      <c r="H29" s="1">
        <v>2</v>
      </c>
      <c r="I29" s="1">
        <v>2</v>
      </c>
      <c r="J29" s="1"/>
      <c r="K29" s="1">
        <v>50</v>
      </c>
      <c r="L29" s="1" t="str">
        <f>IFERROR(_xlfn.LET(_xlpm.x,VLOOKUP($A29,'[1]Markings Threadings'!$B$3:$L$245,3,0),IF(_xlpm.x=0,"",_xlpm.x)),"")</f>
        <v>White</v>
      </c>
      <c r="M29" s="2">
        <f>IFERROR(_xlfn.LET(_xlpm.x,VLOOKUP($A29,'[1]Markings Threadings'!$B$3:$L$245,7,0),IF(_xlpm.x=0,"",_xlpm.x)),"")</f>
        <v>5000000000020</v>
      </c>
      <c r="N29" s="5" t="str">
        <f>IFERROR(_xlfn.LET(_xlpm.x,VLOOKUP($A29,'[1]Markings Threadings'!$B$3:$L$245,8,0),IF(_xlpm.x=0,"",_xlpm.x)),"")</f>
        <v>Empty Sack - Gallimax 3 Red Mini Pellet, 50kg</v>
      </c>
      <c r="O29" s="2">
        <f>IFERROR(_xlfn.LET(_xlpm.x,VLOOKUP($A29,'[1]Markings Threadings'!$B$3:$L$245,10,0),IF(_xlpm.x=0,"",_xlpm.x)),"")</f>
        <v>5000000000129</v>
      </c>
      <c r="P29" s="5" t="str">
        <f>IFERROR(_xlfn.LET(_xlpm.x,VLOOKUP($A29,'[1]Markings Threadings'!$B$3:$L$245,11,0),IF(_xlpm.x=0,"",_xlpm.x)),"")</f>
        <v>Tag - Gallimax 3 Maintenance mini Pellet</v>
      </c>
      <c r="Q29" s="1" t="str">
        <f>IFERROR(_xlfn.LET(_xlpm.x,VLOOKUP($A29,'[1]Markings Threadings'!$B$3:$L$245,4,0),IF(_xlpm.x=0,"",_xlpm.x)),"")</f>
        <v/>
      </c>
      <c r="R29" s="1" t="str">
        <f>IFERROR(_xlfn.LET(_xlpm.x,VLOOKUP($A29,'[1]Markings Threadings'!$B$3:$L$245,5,0),IF(_xlpm.x=0,"",_xlpm.x)),"")</f>
        <v/>
      </c>
      <c r="S29" s="1">
        <f>IFERROR(_xlfn.LET(_xlpm.x,VLOOKUP($A29,'[1]Markings Threadings'!$B$3:$L$245,6,0),IF(_xlpm.x=0,"",_xlpm.x)),"")</f>
        <v>1</v>
      </c>
      <c r="T29" s="6">
        <f>IFERROR(_xlfn.LET(_xlpm.x,VLOOKUP($C29,[1]Summary!$A$2:$J$118,4,0),IF(_xlpm.x=0,"",_xlpm.x)),"")</f>
        <v>18.959690047375933</v>
      </c>
      <c r="U29" s="6" t="str">
        <f>IFERROR(_xlfn.LET(_xlpm.x,VLOOKUP($C29,[1]Summary!$A$2:$J$118,5,0),IF(_xlpm.x=0,"",_xlpm.x)),"")</f>
        <v/>
      </c>
      <c r="V29" s="6" t="str">
        <f>IFERROR(_xlfn.LET(_xlpm.x,VLOOKUP($C29,[1]Summary!$A$2:$J$118,6,0),IF(_xlpm.x=0,"",_xlpm.x)),"")</f>
        <v/>
      </c>
      <c r="W29" s="6" t="str">
        <f>IFERROR(_xlfn.LET(_xlpm.x,VLOOKUP($C29,[1]Summary!$A$2:$J$118,7,0),IF(_xlpm.x=0,"",_xlpm.x)),"")</f>
        <v/>
      </c>
      <c r="X29" s="6" t="str">
        <f>IFERROR(_xlfn.LET(_xlpm.x,VLOOKUP($C29,[1]Summary!$A$2:$J$118,8,0),IF(_xlpm.x=0,"",_xlpm.x)),"")</f>
        <v/>
      </c>
      <c r="Y29" s="6" t="str">
        <f>IFERROR(_xlfn.LET(_xlpm.x,VLOOKUP($C29,[1]Summary!$A$2:$J$118,9,0),IF(_xlpm.x=0,"",_xlpm.x)),"")</f>
        <v/>
      </c>
      <c r="Z29" s="6" t="str">
        <f>IFERROR(_xlfn.LET(_xlpm.x,VLOOKUP($C29,[1]Summary!$A$2:$J$118,10,0),IF(_xlpm.x=0,"",_xlpm.x)),"")</f>
        <v/>
      </c>
    </row>
    <row r="30" spans="1:26" x14ac:dyDescent="0.25">
      <c r="A30" s="2">
        <v>1000000000589</v>
      </c>
      <c r="B30" s="5" t="s">
        <v>87</v>
      </c>
      <c r="C30" s="2">
        <v>3000000000236</v>
      </c>
      <c r="D30" s="5" t="s">
        <v>88</v>
      </c>
      <c r="E30" s="1">
        <v>4</v>
      </c>
      <c r="F30" s="1" t="s">
        <v>47</v>
      </c>
      <c r="G30" s="1">
        <v>4</v>
      </c>
      <c r="H30" s="1">
        <v>2</v>
      </c>
      <c r="I30" s="1">
        <v>2</v>
      </c>
      <c r="J30" s="1"/>
      <c r="K30" s="1">
        <v>50</v>
      </c>
      <c r="L30" s="1" t="str">
        <f>IFERROR(_xlfn.LET(_xlpm.x,VLOOKUP($A30,'[1]Markings Threadings'!$B$3:$L$245,3,0),IF(_xlpm.x=0,"",_xlpm.x)),"")</f>
        <v>White</v>
      </c>
      <c r="M30" s="2">
        <f>IFERROR(_xlfn.LET(_xlpm.x,VLOOKUP($A30,'[1]Markings Threadings'!$B$3:$L$245,7,0),IF(_xlpm.x=0,"",_xlpm.x)),"")</f>
        <v>5000000000062</v>
      </c>
      <c r="N30" s="5" t="str">
        <f>IFERROR(_xlfn.LET(_xlpm.x,VLOOKUP($A30,'[1]Markings Threadings'!$B$3:$L$245,8,0),IF(_xlpm.x=0,"",_xlpm.x)),"")</f>
        <v>Empty Sack - Gallimax 1 Booster Pellet, 50 kg</v>
      </c>
      <c r="O30" s="2">
        <f>IFERROR(_xlfn.LET(_xlpm.x,VLOOKUP($A30,'[1]Markings Threadings'!$B$3:$L$245,10,0),IF(_xlpm.x=0,"",_xlpm.x)),"")</f>
        <v>5000000000127</v>
      </c>
      <c r="P30" s="5" t="str">
        <f>IFERROR(_xlfn.LET(_xlpm.x,VLOOKUP($A30,'[1]Markings Threadings'!$B$3:$L$245,11,0),IF(_xlpm.x=0,"",_xlpm.x)),"")</f>
        <v>Tag - Gallimax 1 Booster Crumble</v>
      </c>
      <c r="Q30" s="1" t="str">
        <f>IFERROR(_xlfn.LET(_xlpm.x,VLOOKUP($A30,'[1]Markings Threadings'!$B$3:$L$245,4,0),IF(_xlpm.x=0,"",_xlpm.x)),"")</f>
        <v/>
      </c>
      <c r="R30" s="1" t="str">
        <f>IFERROR(_xlfn.LET(_xlpm.x,VLOOKUP($A30,'[1]Markings Threadings'!$B$3:$L$245,5,0),IF(_xlpm.x=0,"",_xlpm.x)),"")</f>
        <v/>
      </c>
      <c r="S30" s="1">
        <f>IFERROR(_xlfn.LET(_xlpm.x,VLOOKUP($A30,'[1]Markings Threadings'!$B$3:$L$245,6,0),IF(_xlpm.x=0,"",_xlpm.x)),"")</f>
        <v>1</v>
      </c>
      <c r="T30" s="6">
        <f>IFERROR(_xlfn.LET(_xlpm.x,VLOOKUP($C30,[1]Summary!$A$2:$J$118,4,0),IF(_xlpm.x=0,"",_xlpm.x)),"")</f>
        <v>13.782505342588466</v>
      </c>
      <c r="U30" s="6">
        <f>IFERROR(_xlfn.LET(_xlpm.x,VLOOKUP($C30,[1]Summary!$A$2:$J$118,5,0),IF(_xlpm.x=0,"",_xlpm.x)),"")</f>
        <v>12.870283185487422</v>
      </c>
      <c r="V30" s="6" t="str">
        <f>IFERROR(_xlfn.LET(_xlpm.x,VLOOKUP($C30,[1]Summary!$A$2:$J$118,6,0),IF(_xlpm.x=0,"",_xlpm.x)),"")</f>
        <v/>
      </c>
      <c r="W30" s="6">
        <f>IFERROR(_xlfn.LET(_xlpm.x,VLOOKUP($C30,[1]Summary!$A$2:$J$118,7,0),IF(_xlpm.x=0,"",_xlpm.x)),"")</f>
        <v>7.8093784242730075</v>
      </c>
      <c r="X30" s="6" t="str">
        <f>IFERROR(_xlfn.LET(_xlpm.x,VLOOKUP($C30,[1]Summary!$A$2:$J$118,8,0),IF(_xlpm.x=0,"",_xlpm.x)),"")</f>
        <v/>
      </c>
      <c r="Y30" s="6" t="str">
        <f>IFERROR(_xlfn.LET(_xlpm.x,VLOOKUP($C30,[1]Summary!$A$2:$J$118,9,0),IF(_xlpm.x=0,"",_xlpm.x)),"")</f>
        <v/>
      </c>
      <c r="Z30" s="6" t="str">
        <f>IFERROR(_xlfn.LET(_xlpm.x,VLOOKUP($C30,[1]Summary!$A$2:$J$118,10,0),IF(_xlpm.x=0,"",_xlpm.x)),"")</f>
        <v/>
      </c>
    </row>
    <row r="31" spans="1:26" x14ac:dyDescent="0.25">
      <c r="A31" s="2">
        <v>1000000000480</v>
      </c>
      <c r="B31" s="5" t="s">
        <v>89</v>
      </c>
      <c r="C31" s="2">
        <v>3000000000152</v>
      </c>
      <c r="D31" s="5" t="s">
        <v>90</v>
      </c>
      <c r="E31" s="1">
        <v>4</v>
      </c>
      <c r="F31" s="1" t="s">
        <v>28</v>
      </c>
      <c r="G31" s="1">
        <v>4</v>
      </c>
      <c r="H31" s="1">
        <v>2</v>
      </c>
      <c r="I31" s="1">
        <v>2</v>
      </c>
      <c r="J31" s="1"/>
      <c r="K31" s="1">
        <v>50</v>
      </c>
      <c r="L31" s="1" t="str">
        <f>IFERROR(_xlfn.LET(_xlpm.x,VLOOKUP($A31,'[1]Markings Threadings'!$B$3:$L$245,3,0),IF(_xlpm.x=0,"",_xlpm.x)),"")</f>
        <v>Yellow Green</v>
      </c>
      <c r="M31" s="2">
        <f>IFERROR(_xlfn.LET(_xlpm.x,VLOOKUP($A31,'[1]Markings Threadings'!$B$3:$L$245,7,0),IF(_xlpm.x=0,"",_xlpm.x)),"")</f>
        <v>5000000000050</v>
      </c>
      <c r="N31" s="5" t="str">
        <f>IFERROR(_xlfn.LET(_xlpm.x,VLOOKUP($A31,'[1]Markings Threadings'!$B$3:$L$245,8,0),IF(_xlpm.x=0,"",_xlpm.x)),"")</f>
        <v>Empty Sack - Pork Solutions Grower , 50 kg</v>
      </c>
      <c r="O31" s="2">
        <f>IFERROR(_xlfn.LET(_xlpm.x,VLOOKUP($A31,'[1]Markings Threadings'!$B$3:$L$245,10,0),IF(_xlpm.x=0,"",_xlpm.x)),"")</f>
        <v>5000000000081</v>
      </c>
      <c r="P31" s="5" t="str">
        <f>IFERROR(_xlfn.LET(_xlpm.x,VLOOKUP($A31,'[1]Markings Threadings'!$B$3:$L$245,11,0),IF(_xlpm.x=0,"",_xlpm.x)),"")</f>
        <v>Tag - Elite Hog Growex 2 Pellet</v>
      </c>
      <c r="Q31" s="1" t="str">
        <f>IFERROR(_xlfn.LET(_xlpm.x,VLOOKUP($A31,'[1]Markings Threadings'!$B$3:$L$245,4,0),IF(_xlpm.x=0,"",_xlpm.x)),"")</f>
        <v>480 G 1</v>
      </c>
      <c r="R31" s="1" t="str">
        <f>IFERROR(_xlfn.LET(_xlpm.x,VLOOKUP($A31,'[1]Markings Threadings'!$B$3:$L$245,5,0),IF(_xlpm.x=0,"",_xlpm.x)),"")</f>
        <v/>
      </c>
      <c r="S31" s="1">
        <f>IFERROR(_xlfn.LET(_xlpm.x,VLOOKUP($A31,'[1]Markings Threadings'!$B$3:$L$245,6,0),IF(_xlpm.x=0,"",_xlpm.x)),"")</f>
        <v>6</v>
      </c>
      <c r="T31" s="6" t="str">
        <f>IFERROR(_xlfn.LET(_xlpm.x,VLOOKUP($C31,[1]Summary!$A$2:$J$118,4,0),IF(_xlpm.x=0,"",_xlpm.x)),"")</f>
        <v/>
      </c>
      <c r="U31" s="6" t="str">
        <f>IFERROR(_xlfn.LET(_xlpm.x,VLOOKUP($C31,[1]Summary!$A$2:$J$118,5,0),IF(_xlpm.x=0,"",_xlpm.x)),"")</f>
        <v/>
      </c>
      <c r="V31" s="6" t="str">
        <f>IFERROR(_xlfn.LET(_xlpm.x,VLOOKUP($C31,[1]Summary!$A$2:$J$118,6,0),IF(_xlpm.x=0,"",_xlpm.x)),"")</f>
        <v/>
      </c>
      <c r="W31" s="6" t="str">
        <f>IFERROR(_xlfn.LET(_xlpm.x,VLOOKUP($C31,[1]Summary!$A$2:$J$118,7,0),IF(_xlpm.x=0,"",_xlpm.x)),"")</f>
        <v/>
      </c>
      <c r="X31" s="6" t="str">
        <f>IFERROR(_xlfn.LET(_xlpm.x,VLOOKUP($C31,[1]Summary!$A$2:$J$118,8,0),IF(_xlpm.x=0,"",_xlpm.x)),"")</f>
        <v/>
      </c>
      <c r="Y31" s="6" t="str">
        <f>IFERROR(_xlfn.LET(_xlpm.x,VLOOKUP($C31,[1]Summary!$A$2:$J$118,9,0),IF(_xlpm.x=0,"",_xlpm.x)),"")</f>
        <v/>
      </c>
      <c r="Z31" s="6" t="str">
        <f>IFERROR(_xlfn.LET(_xlpm.x,VLOOKUP($C31,[1]Summary!$A$2:$J$118,10,0),IF(_xlpm.x=0,"",_xlpm.x)),"")</f>
        <v/>
      </c>
    </row>
    <row r="32" spans="1:26" x14ac:dyDescent="0.25">
      <c r="A32" s="2">
        <v>1000000000594</v>
      </c>
      <c r="B32" s="5" t="s">
        <v>91</v>
      </c>
      <c r="C32" s="2">
        <v>3000000000242</v>
      </c>
      <c r="D32" s="5" t="s">
        <v>92</v>
      </c>
      <c r="E32" s="1">
        <v>3</v>
      </c>
      <c r="F32" s="1" t="s">
        <v>86</v>
      </c>
      <c r="G32" s="1">
        <v>3</v>
      </c>
      <c r="H32" s="1">
        <v>2</v>
      </c>
      <c r="I32" s="1">
        <v>2</v>
      </c>
      <c r="J32" s="1"/>
      <c r="K32" s="1">
        <v>50</v>
      </c>
      <c r="L32" s="1" t="str">
        <f>IFERROR(_xlfn.LET(_xlpm.x,VLOOKUP($A32,'[1]Markings Threadings'!$B$3:$L$245,3,0),IF(_xlpm.x=0,"",_xlpm.x)),"")</f>
        <v>White</v>
      </c>
      <c r="M32" s="2">
        <f>IFERROR(_xlfn.LET(_xlpm.x,VLOOKUP($A32,'[1]Markings Threadings'!$B$3:$L$245,7,0),IF(_xlpm.x=0,"",_xlpm.x)),"")</f>
        <v>5000000000142</v>
      </c>
      <c r="N32" s="5" t="str">
        <f>IFERROR(_xlfn.LET(_xlpm.x,VLOOKUP($A32,'[1]Markings Threadings'!$B$3:$L$245,8,0),IF(_xlpm.x=0,"",_xlpm.x)),"")</f>
        <v>Empty Sack - Gallimax 21 Breeder Ration Mini Pellet, 50 kg</v>
      </c>
      <c r="O32" s="2">
        <f>IFERROR(_xlfn.LET(_xlpm.x,VLOOKUP($A32,'[1]Markings Threadings'!$B$3:$L$245,10,0),IF(_xlpm.x=0,"",_xlpm.x)),"")</f>
        <v>5000000000143</v>
      </c>
      <c r="P32" s="5" t="str">
        <f>IFERROR(_xlfn.LET(_xlpm.x,VLOOKUP($A32,'[1]Markings Threadings'!$B$3:$L$245,11,0),IF(_xlpm.x=0,"",_xlpm.x)),"")</f>
        <v>Tag - Gallimax 21 Breeder Ration Mini Pellet, 50kg</v>
      </c>
      <c r="Q32" s="1" t="str">
        <f>IFERROR(_xlfn.LET(_xlpm.x,VLOOKUP($A32,'[1]Markings Threadings'!$B$3:$L$245,4,0),IF(_xlpm.x=0,"",_xlpm.x)),"")</f>
        <v/>
      </c>
      <c r="R32" s="1" t="str">
        <f>IFERROR(_xlfn.LET(_xlpm.x,VLOOKUP($A32,'[1]Markings Threadings'!$B$3:$L$245,5,0),IF(_xlpm.x=0,"",_xlpm.x)),"")</f>
        <v/>
      </c>
      <c r="S32" s="1">
        <f>IFERROR(_xlfn.LET(_xlpm.x,VLOOKUP($A32,'[1]Markings Threadings'!$B$3:$L$245,6,0),IF(_xlpm.x=0,"",_xlpm.x)),"")</f>
        <v>1</v>
      </c>
      <c r="T32" s="6">
        <f>IFERROR(_xlfn.LET(_xlpm.x,VLOOKUP($C32,[1]Summary!$A$2:$J$118,4,0),IF(_xlpm.x=0,"",_xlpm.x)),"")</f>
        <v>19.513631257519059</v>
      </c>
      <c r="U32" s="6" t="str">
        <f>IFERROR(_xlfn.LET(_xlpm.x,VLOOKUP($C32,[1]Summary!$A$2:$J$118,5,0),IF(_xlpm.x=0,"",_xlpm.x)),"")</f>
        <v/>
      </c>
      <c r="V32" s="6" t="str">
        <f>IFERROR(_xlfn.LET(_xlpm.x,VLOOKUP($C32,[1]Summary!$A$2:$J$118,6,0),IF(_xlpm.x=0,"",_xlpm.x)),"")</f>
        <v/>
      </c>
      <c r="W32" s="6" t="str">
        <f>IFERROR(_xlfn.LET(_xlpm.x,VLOOKUP($C32,[1]Summary!$A$2:$J$118,7,0),IF(_xlpm.x=0,"",_xlpm.x)),"")</f>
        <v/>
      </c>
      <c r="X32" s="6" t="str">
        <f>IFERROR(_xlfn.LET(_xlpm.x,VLOOKUP($C32,[1]Summary!$A$2:$J$118,8,0),IF(_xlpm.x=0,"",_xlpm.x)),"")</f>
        <v/>
      </c>
      <c r="Y32" s="6" t="str">
        <f>IFERROR(_xlfn.LET(_xlpm.x,VLOOKUP($C32,[1]Summary!$A$2:$J$118,9,0),IF(_xlpm.x=0,"",_xlpm.x)),"")</f>
        <v/>
      </c>
      <c r="Z32" s="6" t="str">
        <f>IFERROR(_xlfn.LET(_xlpm.x,VLOOKUP($C32,[1]Summary!$A$2:$J$118,10,0),IF(_xlpm.x=0,"",_xlpm.x)),"")</f>
        <v/>
      </c>
    </row>
    <row r="33" spans="1:26" x14ac:dyDescent="0.25">
      <c r="A33" s="2">
        <v>1000000000500</v>
      </c>
      <c r="B33" s="5" t="s">
        <v>93</v>
      </c>
      <c r="C33" s="2">
        <v>3000000000156</v>
      </c>
      <c r="D33" s="5" t="s">
        <v>94</v>
      </c>
      <c r="E33" s="1">
        <v>4</v>
      </c>
      <c r="F33" s="1" t="s">
        <v>28</v>
      </c>
      <c r="G33" s="1">
        <v>4</v>
      </c>
      <c r="H33" s="1">
        <v>2</v>
      </c>
      <c r="I33" s="1">
        <v>2</v>
      </c>
      <c r="J33" s="1"/>
      <c r="K33" s="1">
        <v>50</v>
      </c>
      <c r="L33" s="1" t="str">
        <f>IFERROR(_xlfn.LET(_xlpm.x,VLOOKUP($A33,'[1]Markings Threadings'!$B$3:$L$245,3,0),IF(_xlpm.x=0,"",_xlpm.x)),"")</f>
        <v>White</v>
      </c>
      <c r="M33" s="2">
        <f>IFERROR(_xlfn.LET(_xlpm.x,VLOOKUP($A33,'[1]Markings Threadings'!$B$3:$L$245,7,0),IF(_xlpm.x=0,"",_xlpm.x)),"")</f>
        <v>5000000000051</v>
      </c>
      <c r="N33" s="5" t="str">
        <f>IFERROR(_xlfn.LET(_xlpm.x,VLOOKUP($A33,'[1]Markings Threadings'!$B$3:$L$245,8,0),IF(_xlpm.x=0,"",_xlpm.x)),"")</f>
        <v>Empty Sack - Pork Solutions Finisher , 50 kg</v>
      </c>
      <c r="O33" s="2" t="str">
        <f>IFERROR(_xlfn.LET(_xlpm.x,VLOOKUP($A33,'[1]Markings Threadings'!$B$3:$L$245,10,0),IF(_xlpm.x=0,"",_xlpm.x)),"")</f>
        <v/>
      </c>
      <c r="P33" s="5" t="str">
        <f>IFERROR(_xlfn.LET(_xlpm.x,VLOOKUP($A33,'[1]Markings Threadings'!$B$3:$L$245,11,0),IF(_xlpm.x=0,"",_xlpm.x)),"")</f>
        <v>Tag - Elite Hog Finex Pellet</v>
      </c>
      <c r="Q33" s="1" t="str">
        <f>IFERROR(_xlfn.LET(_xlpm.x,VLOOKUP($A33,'[1]Markings Threadings'!$B$3:$L$245,4,0),IF(_xlpm.x=0,"",_xlpm.x)),"")</f>
        <v/>
      </c>
      <c r="R33" s="1" t="str">
        <f>IFERROR(_xlfn.LET(_xlpm.x,VLOOKUP($A33,'[1]Markings Threadings'!$B$3:$L$245,5,0),IF(_xlpm.x=0,"",_xlpm.x)),"")</f>
        <v/>
      </c>
      <c r="S33" s="1">
        <f>IFERROR(_xlfn.LET(_xlpm.x,VLOOKUP($A33,'[1]Markings Threadings'!$B$3:$L$245,6,0),IF(_xlpm.x=0,"",_xlpm.x)),"")</f>
        <v>3</v>
      </c>
      <c r="T33" s="6" t="str">
        <f>IFERROR(_xlfn.LET(_xlpm.x,VLOOKUP($C33,[1]Summary!$A$2:$J$118,4,0),IF(_xlpm.x=0,"",_xlpm.x)),"")</f>
        <v/>
      </c>
      <c r="U33" s="6" t="str">
        <f>IFERROR(_xlfn.LET(_xlpm.x,VLOOKUP($C33,[1]Summary!$A$2:$J$118,5,0),IF(_xlpm.x=0,"",_xlpm.x)),"")</f>
        <v/>
      </c>
      <c r="V33" s="6" t="str">
        <f>IFERROR(_xlfn.LET(_xlpm.x,VLOOKUP($C33,[1]Summary!$A$2:$J$118,6,0),IF(_xlpm.x=0,"",_xlpm.x)),"")</f>
        <v/>
      </c>
      <c r="W33" s="6" t="str">
        <f>IFERROR(_xlfn.LET(_xlpm.x,VLOOKUP($C33,[1]Summary!$A$2:$J$118,7,0),IF(_xlpm.x=0,"",_xlpm.x)),"")</f>
        <v/>
      </c>
      <c r="X33" s="6" t="str">
        <f>IFERROR(_xlfn.LET(_xlpm.x,VLOOKUP($C33,[1]Summary!$A$2:$J$118,8,0),IF(_xlpm.x=0,"",_xlpm.x)),"")</f>
        <v/>
      </c>
      <c r="Y33" s="6" t="str">
        <f>IFERROR(_xlfn.LET(_xlpm.x,VLOOKUP($C33,[1]Summary!$A$2:$J$118,9,0),IF(_xlpm.x=0,"",_xlpm.x)),"")</f>
        <v/>
      </c>
      <c r="Z33" s="6" t="str">
        <f>IFERROR(_xlfn.LET(_xlpm.x,VLOOKUP($C33,[1]Summary!$A$2:$J$118,10,0),IF(_xlpm.x=0,"",_xlpm.x)),"")</f>
        <v/>
      </c>
    </row>
    <row r="34" spans="1:26" x14ac:dyDescent="0.25">
      <c r="A34" s="2">
        <v>1000000000857</v>
      </c>
      <c r="B34" s="5" t="s">
        <v>95</v>
      </c>
      <c r="C34" s="2">
        <v>3000000000120</v>
      </c>
      <c r="D34" s="5" t="s">
        <v>96</v>
      </c>
      <c r="E34" s="1">
        <v>4</v>
      </c>
      <c r="F34" s="1" t="s">
        <v>28</v>
      </c>
      <c r="G34" s="1">
        <v>4</v>
      </c>
      <c r="H34" s="1">
        <v>2</v>
      </c>
      <c r="I34" s="1">
        <v>2</v>
      </c>
      <c r="J34" s="1"/>
      <c r="K34" s="1">
        <v>50</v>
      </c>
      <c r="L34" s="1" t="str">
        <f>IFERROR(_xlfn.LET(_xlpm.x,VLOOKUP($A34,'[1]Markings Threadings'!$B$3:$L$245,3,0),IF(_xlpm.x=0,"",_xlpm.x)),"")</f>
        <v/>
      </c>
      <c r="M34" s="2" t="str">
        <f>IFERROR(_xlfn.LET(_xlpm.x,VLOOKUP($A34,'[1]Markings Threadings'!$B$3:$L$245,7,0),IF(_xlpm.x=0,"",_xlpm.x)),"")</f>
        <v/>
      </c>
      <c r="N34" s="5" t="str">
        <f>IFERROR(_xlfn.LET(_xlpm.x,VLOOKUP($A34,'[1]Markings Threadings'!$B$3:$L$245,8,0),IF(_xlpm.x=0,"",_xlpm.x)),"")</f>
        <v/>
      </c>
      <c r="O34" s="2" t="str">
        <f>IFERROR(_xlfn.LET(_xlpm.x,VLOOKUP($A34,'[1]Markings Threadings'!$B$3:$L$245,10,0),IF(_xlpm.x=0,"",_xlpm.x)),"")</f>
        <v/>
      </c>
      <c r="P34" s="5" t="str">
        <f>IFERROR(_xlfn.LET(_xlpm.x,VLOOKUP($A34,'[1]Markings Threadings'!$B$3:$L$245,11,0),IF(_xlpm.x=0,"",_xlpm.x)),"")</f>
        <v/>
      </c>
      <c r="Q34" s="1" t="str">
        <f>IFERROR(_xlfn.LET(_xlpm.x,VLOOKUP($A34,'[1]Markings Threadings'!$B$3:$L$245,4,0),IF(_xlpm.x=0,"",_xlpm.x)),"")</f>
        <v/>
      </c>
      <c r="R34" s="1" t="str">
        <f>IFERROR(_xlfn.LET(_xlpm.x,VLOOKUP($A34,'[1]Markings Threadings'!$B$3:$L$245,5,0),IF(_xlpm.x=0,"",_xlpm.x)),"")</f>
        <v/>
      </c>
      <c r="S34" s="1" t="str">
        <f>IFERROR(_xlfn.LET(_xlpm.x,VLOOKUP($A34,'[1]Markings Threadings'!$B$3:$L$245,6,0),IF(_xlpm.x=0,"",_xlpm.x)),"")</f>
        <v/>
      </c>
      <c r="T34" s="6" t="str">
        <f>IFERROR(_xlfn.LET(_xlpm.x,VLOOKUP($C34,[1]Summary!$A$2:$J$118,4,0),IF(_xlpm.x=0,"",_xlpm.x)),"")</f>
        <v/>
      </c>
      <c r="U34" s="6" t="str">
        <f>IFERROR(_xlfn.LET(_xlpm.x,VLOOKUP($C34,[1]Summary!$A$2:$J$118,5,0),IF(_xlpm.x=0,"",_xlpm.x)),"")</f>
        <v/>
      </c>
      <c r="V34" s="6" t="str">
        <f>IFERROR(_xlfn.LET(_xlpm.x,VLOOKUP($C34,[1]Summary!$A$2:$J$118,6,0),IF(_xlpm.x=0,"",_xlpm.x)),"")</f>
        <v/>
      </c>
      <c r="W34" s="6" t="str">
        <f>IFERROR(_xlfn.LET(_xlpm.x,VLOOKUP($C34,[1]Summary!$A$2:$J$118,7,0),IF(_xlpm.x=0,"",_xlpm.x)),"")</f>
        <v/>
      </c>
      <c r="X34" s="6" t="str">
        <f>IFERROR(_xlfn.LET(_xlpm.x,VLOOKUP($C34,[1]Summary!$A$2:$J$118,8,0),IF(_xlpm.x=0,"",_xlpm.x)),"")</f>
        <v/>
      </c>
      <c r="Y34" s="6" t="str">
        <f>IFERROR(_xlfn.LET(_xlpm.x,VLOOKUP($C34,[1]Summary!$A$2:$J$118,9,0),IF(_xlpm.x=0,"",_xlpm.x)),"")</f>
        <v/>
      </c>
      <c r="Z34" s="6" t="str">
        <f>IFERROR(_xlfn.LET(_xlpm.x,VLOOKUP($C34,[1]Summary!$A$2:$J$118,10,0),IF(_xlpm.x=0,"",_xlpm.x)),"")</f>
        <v/>
      </c>
    </row>
    <row r="35" spans="1:26" x14ac:dyDescent="0.25">
      <c r="A35" s="2">
        <v>1000000000481</v>
      </c>
      <c r="B35" s="5" t="s">
        <v>97</v>
      </c>
      <c r="C35" s="2">
        <v>3000000000154</v>
      </c>
      <c r="D35" s="5" t="s">
        <v>98</v>
      </c>
      <c r="E35" s="1">
        <v>4</v>
      </c>
      <c r="F35" s="1" t="s">
        <v>28</v>
      </c>
      <c r="G35" s="1">
        <v>4</v>
      </c>
      <c r="H35" s="1">
        <v>2</v>
      </c>
      <c r="I35" s="1">
        <v>2</v>
      </c>
      <c r="J35" s="1"/>
      <c r="K35" s="1">
        <v>50</v>
      </c>
      <c r="L35" s="1" t="str">
        <f>IFERROR(_xlfn.LET(_xlpm.x,VLOOKUP($A35,'[1]Markings Threadings'!$B$3:$L$245,3,0),IF(_xlpm.x=0,"",_xlpm.x)),"")</f>
        <v>Yellow</v>
      </c>
      <c r="M35" s="2">
        <f>IFERROR(_xlfn.LET(_xlpm.x,VLOOKUP($A35,'[1]Markings Threadings'!$B$3:$L$245,7,0),IF(_xlpm.x=0,"",_xlpm.x)),"")</f>
        <v>5000000000050</v>
      </c>
      <c r="N35" s="5" t="str">
        <f>IFERROR(_xlfn.LET(_xlpm.x,VLOOKUP($A35,'[1]Markings Threadings'!$B$3:$L$245,8,0),IF(_xlpm.x=0,"",_xlpm.x)),"")</f>
        <v>Empty Sack - Pork Solutions Grower , 50 kg</v>
      </c>
      <c r="O35" s="2">
        <f>IFERROR(_xlfn.LET(_xlpm.x,VLOOKUP($A35,'[1]Markings Threadings'!$B$3:$L$245,10,0),IF(_xlpm.x=0,"",_xlpm.x)),"")</f>
        <v>5000000000081</v>
      </c>
      <c r="P35" s="5" t="str">
        <f>IFERROR(_xlfn.LET(_xlpm.x,VLOOKUP($A35,'[1]Markings Threadings'!$B$3:$L$245,11,0),IF(_xlpm.x=0,"",_xlpm.x)),"")</f>
        <v>Tag - Elite Hog Growex 2 Pellet</v>
      </c>
      <c r="Q35" s="1" t="str">
        <f>IFERROR(_xlfn.LET(_xlpm.x,VLOOKUP($A35,'[1]Markings Threadings'!$B$3:$L$245,4,0),IF(_xlpm.x=0,"",_xlpm.x)),"")</f>
        <v>481 G 2</v>
      </c>
      <c r="R35" s="1" t="str">
        <f>IFERROR(_xlfn.LET(_xlpm.x,VLOOKUP($A35,'[1]Markings Threadings'!$B$3:$L$245,5,0),IF(_xlpm.x=0,"",_xlpm.x)),"")</f>
        <v/>
      </c>
      <c r="S35" s="1">
        <f>IFERROR(_xlfn.LET(_xlpm.x,VLOOKUP($A35,'[1]Markings Threadings'!$B$3:$L$245,6,0),IF(_xlpm.x=0,"",_xlpm.x)),"")</f>
        <v>6</v>
      </c>
      <c r="T35" s="6" t="str">
        <f>IFERROR(_xlfn.LET(_xlpm.x,VLOOKUP($C35,[1]Summary!$A$2:$J$118,4,0),IF(_xlpm.x=0,"",_xlpm.x)),"")</f>
        <v/>
      </c>
      <c r="U35" s="6" t="str">
        <f>IFERROR(_xlfn.LET(_xlpm.x,VLOOKUP($C35,[1]Summary!$A$2:$J$118,5,0),IF(_xlpm.x=0,"",_xlpm.x)),"")</f>
        <v/>
      </c>
      <c r="V35" s="6" t="str">
        <f>IFERROR(_xlfn.LET(_xlpm.x,VLOOKUP($C35,[1]Summary!$A$2:$J$118,6,0),IF(_xlpm.x=0,"",_xlpm.x)),"")</f>
        <v/>
      </c>
      <c r="W35" s="6" t="str">
        <f>IFERROR(_xlfn.LET(_xlpm.x,VLOOKUP($C35,[1]Summary!$A$2:$J$118,7,0),IF(_xlpm.x=0,"",_xlpm.x)),"")</f>
        <v/>
      </c>
      <c r="X35" s="6" t="str">
        <f>IFERROR(_xlfn.LET(_xlpm.x,VLOOKUP($C35,[1]Summary!$A$2:$J$118,8,0),IF(_xlpm.x=0,"",_xlpm.x)),"")</f>
        <v/>
      </c>
      <c r="Y35" s="6" t="str">
        <f>IFERROR(_xlfn.LET(_xlpm.x,VLOOKUP($C35,[1]Summary!$A$2:$J$118,9,0),IF(_xlpm.x=0,"",_xlpm.x)),"")</f>
        <v/>
      </c>
      <c r="Z35" s="6" t="str">
        <f>IFERROR(_xlfn.LET(_xlpm.x,VLOOKUP($C35,[1]Summary!$A$2:$J$118,10,0),IF(_xlpm.x=0,"",_xlpm.x)),"")</f>
        <v/>
      </c>
    </row>
    <row r="36" spans="1:26" x14ac:dyDescent="0.25">
      <c r="A36" s="2">
        <v>1000000000539</v>
      </c>
      <c r="B36" s="5" t="s">
        <v>99</v>
      </c>
      <c r="C36" s="2">
        <v>3000000000848</v>
      </c>
      <c r="D36" s="5" t="s">
        <v>100</v>
      </c>
      <c r="E36" s="1">
        <v>4</v>
      </c>
      <c r="F36" s="1" t="s">
        <v>47</v>
      </c>
      <c r="G36" s="1">
        <v>4</v>
      </c>
      <c r="H36" s="1">
        <v>2</v>
      </c>
      <c r="I36" s="1">
        <v>2</v>
      </c>
      <c r="J36" s="1"/>
      <c r="K36" s="1">
        <v>50</v>
      </c>
      <c r="L36" s="1" t="str">
        <f>IFERROR(_xlfn.LET(_xlpm.x,VLOOKUP($A36,'[1]Markings Threadings'!$B$3:$L$245,3,0),IF(_xlpm.x=0,"",_xlpm.x)),"")</f>
        <v>White</v>
      </c>
      <c r="M36" s="2">
        <f>IFERROR(_xlfn.LET(_xlpm.x,VLOOKUP($A36,'[1]Markings Threadings'!$B$3:$L$245,7,0),IF(_xlpm.x=0,"",_xlpm.x)),"")</f>
        <v>5000000000554</v>
      </c>
      <c r="N36" s="5" t="str">
        <f>IFERROR(_xlfn.LET(_xlpm.x,VLOOKUP($A36,'[1]Markings Threadings'!$B$3:$L$245,8,0),IF(_xlpm.x=0,"",_xlpm.x)),"")</f>
        <v>Empty Sack - Ave Max Quail Layex Crumble, 50 kg</v>
      </c>
      <c r="O36" s="2">
        <f>IFERROR(_xlfn.LET(_xlpm.x,VLOOKUP($A36,'[1]Markings Threadings'!$B$3:$L$245,10,0),IF(_xlpm.x=0,"",_xlpm.x)),"")</f>
        <v>5000000000136</v>
      </c>
      <c r="P36" s="5" t="str">
        <f>IFERROR(_xlfn.LET(_xlpm.x,VLOOKUP($A36,'[1]Markings Threadings'!$B$3:$L$245,11,0),IF(_xlpm.x=0,"",_xlpm.x)),"")</f>
        <v>Tag - Ave Max Quail Layex Crumble</v>
      </c>
      <c r="Q36" s="1" t="str">
        <f>IFERROR(_xlfn.LET(_xlpm.x,VLOOKUP($A36,'[1]Markings Threadings'!$B$3:$L$245,4,0),IF(_xlpm.x=0,"",_xlpm.x)),"")</f>
        <v/>
      </c>
      <c r="R36" s="1" t="str">
        <f>IFERROR(_xlfn.LET(_xlpm.x,VLOOKUP($A36,'[1]Markings Threadings'!$B$3:$L$245,5,0),IF(_xlpm.x=0,"",_xlpm.x)),"")</f>
        <v/>
      </c>
      <c r="S36" s="1">
        <f>IFERROR(_xlfn.LET(_xlpm.x,VLOOKUP($A36,'[1]Markings Threadings'!$B$3:$L$245,6,0),IF(_xlpm.x=0,"",_xlpm.x)),"")</f>
        <v>1</v>
      </c>
      <c r="T36" s="6">
        <f>IFERROR(_xlfn.LET(_xlpm.x,VLOOKUP($C36,[1]Summary!$A$2:$J$118,4,0),IF(_xlpm.x=0,"",_xlpm.x)),"")</f>
        <v>13.999103999999996</v>
      </c>
      <c r="U36" s="6">
        <f>IFERROR(_xlfn.LET(_xlpm.x,VLOOKUP($C36,[1]Summary!$A$2:$J$118,5,0),IF(_xlpm.x=0,"",_xlpm.x)),"")</f>
        <v>12.399206400000004</v>
      </c>
      <c r="V36" s="6" t="str">
        <f>IFERROR(_xlfn.LET(_xlpm.x,VLOOKUP($C36,[1]Summary!$A$2:$J$118,6,0),IF(_xlpm.x=0,"",_xlpm.x)),"")</f>
        <v/>
      </c>
      <c r="W36" s="6">
        <f>IFERROR(_xlfn.LET(_xlpm.x,VLOOKUP($C36,[1]Summary!$A$2:$J$118,7,0),IF(_xlpm.x=0,"",_xlpm.x)),"")</f>
        <v>7.881436526263137</v>
      </c>
      <c r="X36" s="6" t="str">
        <f>IFERROR(_xlfn.LET(_xlpm.x,VLOOKUP($C36,[1]Summary!$A$2:$J$118,8,0),IF(_xlpm.x=0,"",_xlpm.x)),"")</f>
        <v/>
      </c>
      <c r="Y36" s="6" t="str">
        <f>IFERROR(_xlfn.LET(_xlpm.x,VLOOKUP($C36,[1]Summary!$A$2:$J$118,9,0),IF(_xlpm.x=0,"",_xlpm.x)),"")</f>
        <v/>
      </c>
      <c r="Z36" s="6" t="str">
        <f>IFERROR(_xlfn.LET(_xlpm.x,VLOOKUP($C36,[1]Summary!$A$2:$J$118,10,0),IF(_xlpm.x=0,"",_xlpm.x)),"")</f>
        <v/>
      </c>
    </row>
    <row r="37" spans="1:26" x14ac:dyDescent="0.25">
      <c r="A37" s="2">
        <v>1000000000528</v>
      </c>
      <c r="B37" s="5" t="s">
        <v>101</v>
      </c>
      <c r="C37" s="2">
        <v>3000000000838</v>
      </c>
      <c r="D37" s="5" t="s">
        <v>102</v>
      </c>
      <c r="E37" s="1">
        <v>4</v>
      </c>
      <c r="F37" s="1" t="s">
        <v>28</v>
      </c>
      <c r="G37" s="1">
        <v>4</v>
      </c>
      <c r="H37" s="1">
        <v>2</v>
      </c>
      <c r="I37" s="1">
        <v>2</v>
      </c>
      <c r="J37" s="1"/>
      <c r="K37" s="1">
        <v>50</v>
      </c>
      <c r="L37" s="1" t="str">
        <f>IFERROR(_xlfn.LET(_xlpm.x,VLOOKUP($A37,'[1]Markings Threadings'!$B$3:$L$245,3,0),IF(_xlpm.x=0,"",_xlpm.x)),"")</f>
        <v>White</v>
      </c>
      <c r="M37" s="2">
        <f>IFERROR(_xlfn.LET(_xlpm.x,VLOOKUP($A37,'[1]Markings Threadings'!$B$3:$L$245,7,0),IF(_xlpm.x=0,"",_xlpm.x)),"")</f>
        <v>5000000000553</v>
      </c>
      <c r="N37" s="5" t="str">
        <f>IFERROR(_xlfn.LET(_xlpm.x,VLOOKUP($A37,'[1]Markings Threadings'!$B$3:$L$245,8,0),IF(_xlpm.x=0,"",_xlpm.x)),"")</f>
        <v>v2 - Ave Max Duck Layex 2, 50kg</v>
      </c>
      <c r="O37" s="2">
        <f>IFERROR(_xlfn.LET(_xlpm.x,VLOOKUP($A37,'[1]Markings Threadings'!$B$3:$L$245,10,0),IF(_xlpm.x=0,"",_xlpm.x)),"")</f>
        <v>5000000000135</v>
      </c>
      <c r="P37" s="5" t="str">
        <f>IFERROR(_xlfn.LET(_xlpm.x,VLOOKUP($A37,'[1]Markings Threadings'!$B$3:$L$245,11,0),IF(_xlpm.x=0,"",_xlpm.x)),"")</f>
        <v>Tag - Ave Max Duck Layex 2 Pellet</v>
      </c>
      <c r="Q37" s="1" t="str">
        <f>IFERROR(_xlfn.LET(_xlpm.x,VLOOKUP($A37,'[1]Markings Threadings'!$B$3:$L$245,4,0),IF(_xlpm.x=0,"",_xlpm.x)),"")</f>
        <v/>
      </c>
      <c r="R37" s="1" t="str">
        <f>IFERROR(_xlfn.LET(_xlpm.x,VLOOKUP($A37,'[1]Markings Threadings'!$B$3:$L$245,5,0),IF(_xlpm.x=0,"",_xlpm.x)),"")</f>
        <v/>
      </c>
      <c r="S37" s="1">
        <f>IFERROR(_xlfn.LET(_xlpm.x,VLOOKUP($A37,'[1]Markings Threadings'!$B$3:$L$245,6,0),IF(_xlpm.x=0,"",_xlpm.x)),"")</f>
        <v>1</v>
      </c>
      <c r="T37" s="6" t="str">
        <f>IFERROR(_xlfn.LET(_xlpm.x,VLOOKUP($C37,[1]Summary!$A$2:$J$118,4,0),IF(_xlpm.x=0,"",_xlpm.x)),"")</f>
        <v/>
      </c>
      <c r="U37" s="6">
        <f>IFERROR(_xlfn.LET(_xlpm.x,VLOOKUP($C37,[1]Summary!$A$2:$J$118,5,0),IF(_xlpm.x=0,"",_xlpm.x)),"")</f>
        <v>20.148588823429368</v>
      </c>
      <c r="V37" s="6">
        <f>IFERROR(_xlfn.LET(_xlpm.x,VLOOKUP($C37,[1]Summary!$A$2:$J$118,6,0),IF(_xlpm.x=0,"",_xlpm.x)),"")</f>
        <v>8.4407067625899312</v>
      </c>
      <c r="W37" s="6">
        <f>IFERROR(_xlfn.LET(_xlpm.x,VLOOKUP($C37,[1]Summary!$A$2:$J$118,7,0),IF(_xlpm.x=0,"",_xlpm.x)),"")</f>
        <v>8.8646572512479196</v>
      </c>
      <c r="X37" s="6" t="str">
        <f>IFERROR(_xlfn.LET(_xlpm.x,VLOOKUP($C37,[1]Summary!$A$2:$J$118,8,0),IF(_xlpm.x=0,"",_xlpm.x)),"")</f>
        <v/>
      </c>
      <c r="Y37" s="6">
        <f>IFERROR(_xlfn.LET(_xlpm.x,VLOOKUP($C37,[1]Summary!$A$2:$J$118,9,0),IF(_xlpm.x=0,"",_xlpm.x)),"")</f>
        <v>8.4205136842105279</v>
      </c>
      <c r="Z37" s="6" t="str">
        <f>IFERROR(_xlfn.LET(_xlpm.x,VLOOKUP($C37,[1]Summary!$A$2:$J$118,10,0),IF(_xlpm.x=0,"",_xlpm.x)),"")</f>
        <v/>
      </c>
    </row>
    <row r="38" spans="1:26" x14ac:dyDescent="0.25">
      <c r="A38" s="2">
        <v>1000000000531</v>
      </c>
      <c r="B38" s="5" t="s">
        <v>103</v>
      </c>
      <c r="C38" s="2">
        <v>3000000000842</v>
      </c>
      <c r="D38" s="5" t="s">
        <v>104</v>
      </c>
      <c r="E38" s="1">
        <v>4</v>
      </c>
      <c r="F38" s="1" t="s">
        <v>47</v>
      </c>
      <c r="G38" s="1">
        <v>4</v>
      </c>
      <c r="H38" s="1">
        <v>2</v>
      </c>
      <c r="I38" s="1">
        <v>2</v>
      </c>
      <c r="J38" s="1"/>
      <c r="K38" s="1">
        <v>50</v>
      </c>
      <c r="L38" s="1" t="str">
        <f>IFERROR(_xlfn.LET(_xlpm.x,VLOOKUP($A38,'[1]Markings Threadings'!$B$3:$L$245,3,0),IF(_xlpm.x=0,"",_xlpm.x)),"")</f>
        <v>White</v>
      </c>
      <c r="M38" s="2">
        <f>IFERROR(_xlfn.LET(_xlpm.x,VLOOKUP($A38,'[1]Markings Threadings'!$B$3:$L$245,7,0),IF(_xlpm.x=0,"",_xlpm.x)),"")</f>
        <v>5000000000022</v>
      </c>
      <c r="N38" s="5" t="str">
        <f>IFERROR(_xlfn.LET(_xlpm.x,VLOOKUP($A38,'[1]Markings Threadings'!$B$3:$L$245,8,0),IF(_xlpm.x=0,"",_xlpm.x)),"")</f>
        <v>Empty Sack - Avemax Duck Startex, 50 kg</v>
      </c>
      <c r="O38" s="2">
        <f>IFERROR(_xlfn.LET(_xlpm.x,VLOOKUP($A38,'[1]Markings Threadings'!$B$3:$L$245,10,0),IF(_xlpm.x=0,"",_xlpm.x)),"")</f>
        <v>5000000000023</v>
      </c>
      <c r="P38" s="5" t="str">
        <f>IFERROR(_xlfn.LET(_xlpm.x,VLOOKUP($A38,'[1]Markings Threadings'!$B$3:$L$245,11,0),IF(_xlpm.x=0,"",_xlpm.x)),"")</f>
        <v>Tag - Avemax Duck Startex, Crumble</v>
      </c>
      <c r="Q38" s="1" t="str">
        <f>IFERROR(_xlfn.LET(_xlpm.x,VLOOKUP($A38,'[1]Markings Threadings'!$B$3:$L$245,4,0),IF(_xlpm.x=0,"",_xlpm.x)),"")</f>
        <v/>
      </c>
      <c r="R38" s="1" t="str">
        <f>IFERROR(_xlfn.LET(_xlpm.x,VLOOKUP($A38,'[1]Markings Threadings'!$B$3:$L$245,5,0),IF(_xlpm.x=0,"",_xlpm.x)),"")</f>
        <v/>
      </c>
      <c r="S38" s="1">
        <f>IFERROR(_xlfn.LET(_xlpm.x,VLOOKUP($A38,'[1]Markings Threadings'!$B$3:$L$245,6,0),IF(_xlpm.x=0,"",_xlpm.x)),"")</f>
        <v>1</v>
      </c>
      <c r="T38" s="6" t="str">
        <f>IFERROR(_xlfn.LET(_xlpm.x,VLOOKUP($C38,[1]Summary!$A$2:$J$118,4,0),IF(_xlpm.x=0,"",_xlpm.x)),"")</f>
        <v/>
      </c>
      <c r="U38" s="6" t="str">
        <f>IFERROR(_xlfn.LET(_xlpm.x,VLOOKUP($C38,[1]Summary!$A$2:$J$118,5,0),IF(_xlpm.x=0,"",_xlpm.x)),"")</f>
        <v/>
      </c>
      <c r="V38" s="6" t="str">
        <f>IFERROR(_xlfn.LET(_xlpm.x,VLOOKUP($C38,[1]Summary!$A$2:$J$118,6,0),IF(_xlpm.x=0,"",_xlpm.x)),"")</f>
        <v/>
      </c>
      <c r="W38" s="6">
        <f>IFERROR(_xlfn.LET(_xlpm.x,VLOOKUP($C38,[1]Summary!$A$2:$J$118,7,0),IF(_xlpm.x=0,"",_xlpm.x)),"")</f>
        <v>8.0560214840989435</v>
      </c>
      <c r="X38" s="6" t="str">
        <f>IFERROR(_xlfn.LET(_xlpm.x,VLOOKUP($C38,[1]Summary!$A$2:$J$118,8,0),IF(_xlpm.x=0,"",_xlpm.x)),"")</f>
        <v/>
      </c>
      <c r="Y38" s="6" t="str">
        <f>IFERROR(_xlfn.LET(_xlpm.x,VLOOKUP($C38,[1]Summary!$A$2:$J$118,9,0),IF(_xlpm.x=0,"",_xlpm.x)),"")</f>
        <v/>
      </c>
      <c r="Z38" s="6" t="str">
        <f>IFERROR(_xlfn.LET(_xlpm.x,VLOOKUP($C38,[1]Summary!$A$2:$J$118,10,0),IF(_xlpm.x=0,"",_xlpm.x)),"")</f>
        <v/>
      </c>
    </row>
    <row r="39" spans="1:26" x14ac:dyDescent="0.25">
      <c r="A39" s="2">
        <v>1000000000530</v>
      </c>
      <c r="B39" s="5" t="s">
        <v>105</v>
      </c>
      <c r="C39" s="2">
        <v>3000000000840</v>
      </c>
      <c r="D39" s="5" t="s">
        <v>106</v>
      </c>
      <c r="E39" s="1">
        <v>3</v>
      </c>
      <c r="F39" s="1" t="s">
        <v>86</v>
      </c>
      <c r="G39" s="1">
        <v>3</v>
      </c>
      <c r="H39" s="1">
        <v>2</v>
      </c>
      <c r="I39" s="1">
        <v>2</v>
      </c>
      <c r="J39" s="1"/>
      <c r="K39" s="1">
        <v>50</v>
      </c>
      <c r="L39" s="1" t="str">
        <f>IFERROR(_xlfn.LET(_xlpm.x,VLOOKUP($A39,'[1]Markings Threadings'!$B$3:$L$245,3,0),IF(_xlpm.x=0,"",_xlpm.x)),"")</f>
        <v>White</v>
      </c>
      <c r="M39" s="2">
        <f>IFERROR(_xlfn.LET(_xlpm.x,VLOOKUP($A39,'[1]Markings Threadings'!$B$3:$L$245,7,0),IF(_xlpm.x=0,"",_xlpm.x)),"")</f>
        <v>5000000000550</v>
      </c>
      <c r="N39" s="5" t="str">
        <f>IFERROR(_xlfn.LET(_xlpm.x,VLOOKUP($A39,'[1]Markings Threadings'!$B$3:$L$245,8,0),IF(_xlpm.x=0,"",_xlpm.x)),"")</f>
        <v>v2 - Ave Max Duck Growex, 50 kg</v>
      </c>
      <c r="O39" s="2">
        <f>IFERROR(_xlfn.LET(_xlpm.x,VLOOKUP($A39,'[1]Markings Threadings'!$B$3:$L$245,10,0),IF(_xlpm.x=0,"",_xlpm.x)),"")</f>
        <v>5000000000412</v>
      </c>
      <c r="P39" s="5" t="str">
        <f>IFERROR(_xlfn.LET(_xlpm.x,VLOOKUP($A39,'[1]Markings Threadings'!$B$3:$L$245,11,0),IF(_xlpm.x=0,"",_xlpm.x)),"")</f>
        <v>Tag Avemax Duck Growex, Pellet</v>
      </c>
      <c r="Q39" s="1" t="str">
        <f>IFERROR(_xlfn.LET(_xlpm.x,VLOOKUP($A39,'[1]Markings Threadings'!$B$3:$L$245,4,0),IF(_xlpm.x=0,"",_xlpm.x)),"")</f>
        <v/>
      </c>
      <c r="R39" s="1" t="str">
        <f>IFERROR(_xlfn.LET(_xlpm.x,VLOOKUP($A39,'[1]Markings Threadings'!$B$3:$L$245,5,0),IF(_xlpm.x=0,"",_xlpm.x)),"")</f>
        <v/>
      </c>
      <c r="S39" s="1">
        <f>IFERROR(_xlfn.LET(_xlpm.x,VLOOKUP($A39,'[1]Markings Threadings'!$B$3:$L$245,6,0),IF(_xlpm.x=0,"",_xlpm.x)),"")</f>
        <v>1</v>
      </c>
      <c r="T39" s="6">
        <f>IFERROR(_xlfn.LET(_xlpm.x,VLOOKUP($C39,[1]Summary!$A$2:$J$118,4,0),IF(_xlpm.x=0,"",_xlpm.x)),"")</f>
        <v>19.858303684335976</v>
      </c>
      <c r="U39" s="6" t="str">
        <f>IFERROR(_xlfn.LET(_xlpm.x,VLOOKUP($C39,[1]Summary!$A$2:$J$118,5,0),IF(_xlpm.x=0,"",_xlpm.x)),"")</f>
        <v/>
      </c>
      <c r="V39" s="6">
        <f>IFERROR(_xlfn.LET(_xlpm.x,VLOOKUP($C39,[1]Summary!$A$2:$J$118,6,0),IF(_xlpm.x=0,"",_xlpm.x)),"")</f>
        <v>7.6795084800000009</v>
      </c>
      <c r="W39" s="6" t="str">
        <f>IFERROR(_xlfn.LET(_xlpm.x,VLOOKUP($C39,[1]Summary!$A$2:$J$118,7,0),IF(_xlpm.x=0,"",_xlpm.x)),"")</f>
        <v/>
      </c>
      <c r="X39" s="6" t="str">
        <f>IFERROR(_xlfn.LET(_xlpm.x,VLOOKUP($C39,[1]Summary!$A$2:$J$118,8,0),IF(_xlpm.x=0,"",_xlpm.x)),"")</f>
        <v/>
      </c>
      <c r="Y39" s="6">
        <f>IFERROR(_xlfn.LET(_xlpm.x,VLOOKUP($C39,[1]Summary!$A$2:$J$118,9,0),IF(_xlpm.x=0,"",_xlpm.x)),"")</f>
        <v>7.999487999999995</v>
      </c>
      <c r="Z39" s="6">
        <f>IFERROR(_xlfn.LET(_xlpm.x,VLOOKUP($C39,[1]Summary!$A$2:$J$118,10,0),IF(_xlpm.x=0,"",_xlpm.x)),"")</f>
        <v>7.6770518234165062</v>
      </c>
    </row>
    <row r="40" spans="1:26" x14ac:dyDescent="0.25">
      <c r="A40" s="2">
        <v>1000000000544</v>
      </c>
      <c r="B40" s="5" t="s">
        <v>107</v>
      </c>
      <c r="C40" s="2">
        <v>3000000000031</v>
      </c>
      <c r="D40" s="5" t="s">
        <v>108</v>
      </c>
      <c r="E40" s="1">
        <v>3</v>
      </c>
      <c r="F40" s="1" t="s">
        <v>75</v>
      </c>
      <c r="G40" s="1">
        <v>0.8</v>
      </c>
      <c r="H40" s="1"/>
      <c r="I40" s="1"/>
      <c r="J40" s="1">
        <v>0.8</v>
      </c>
      <c r="K40" s="1">
        <v>25</v>
      </c>
      <c r="L40" s="1" t="str">
        <f>IFERROR(_xlfn.LET(_xlpm.x,VLOOKUP($A40,'[1]Markings Threadings'!$B$3:$L$245,3,0),IF(_xlpm.x=0,"",_xlpm.x)),"")</f>
        <v/>
      </c>
      <c r="M40" s="2" t="str">
        <f>IFERROR(_xlfn.LET(_xlpm.x,VLOOKUP($A40,'[1]Markings Threadings'!$B$3:$L$245,7,0),IF(_xlpm.x=0,"",_xlpm.x)),"")</f>
        <v/>
      </c>
      <c r="N40" s="5" t="str">
        <f>IFERROR(_xlfn.LET(_xlpm.x,VLOOKUP($A40,'[1]Markings Threadings'!$B$3:$L$245,8,0),IF(_xlpm.x=0,"",_xlpm.x)),"")</f>
        <v/>
      </c>
      <c r="O40" s="2" t="str">
        <f>IFERROR(_xlfn.LET(_xlpm.x,VLOOKUP($A40,'[1]Markings Threadings'!$B$3:$L$245,10,0),IF(_xlpm.x=0,"",_xlpm.x)),"")</f>
        <v/>
      </c>
      <c r="P40" s="5" t="str">
        <f>IFERROR(_xlfn.LET(_xlpm.x,VLOOKUP($A40,'[1]Markings Threadings'!$B$3:$L$245,11,0),IF(_xlpm.x=0,"",_xlpm.x)),"")</f>
        <v/>
      </c>
      <c r="Q40" s="1" t="str">
        <f>IFERROR(_xlfn.LET(_xlpm.x,VLOOKUP($A40,'[1]Markings Threadings'!$B$3:$L$245,4,0),IF(_xlpm.x=0,"",_xlpm.x)),"")</f>
        <v/>
      </c>
      <c r="R40" s="1" t="str">
        <f>IFERROR(_xlfn.LET(_xlpm.x,VLOOKUP($A40,'[1]Markings Threadings'!$B$3:$L$245,5,0),IF(_xlpm.x=0,"",_xlpm.x)),"")</f>
        <v/>
      </c>
      <c r="S40" s="1" t="str">
        <f>IFERROR(_xlfn.LET(_xlpm.x,VLOOKUP($A40,'[1]Markings Threadings'!$B$3:$L$245,6,0),IF(_xlpm.x=0,"",_xlpm.x)),"")</f>
        <v/>
      </c>
      <c r="T40" s="6" t="str">
        <f>IFERROR(_xlfn.LET(_xlpm.x,VLOOKUP($C40,[1]Summary!$A$2:$J$118,4,0),IF(_xlpm.x=0,"",_xlpm.x)),"")</f>
        <v/>
      </c>
      <c r="U40" s="6" t="str">
        <f>IFERROR(_xlfn.LET(_xlpm.x,VLOOKUP($C40,[1]Summary!$A$2:$J$118,5,0),IF(_xlpm.x=0,"",_xlpm.x)),"")</f>
        <v/>
      </c>
      <c r="V40" s="6" t="str">
        <f>IFERROR(_xlfn.LET(_xlpm.x,VLOOKUP($C40,[1]Summary!$A$2:$J$118,6,0),IF(_xlpm.x=0,"",_xlpm.x)),"")</f>
        <v/>
      </c>
      <c r="W40" s="6" t="str">
        <f>IFERROR(_xlfn.LET(_xlpm.x,VLOOKUP($C40,[1]Summary!$A$2:$J$118,7,0),IF(_xlpm.x=0,"",_xlpm.x)),"")</f>
        <v/>
      </c>
      <c r="X40" s="6" t="str">
        <f>IFERROR(_xlfn.LET(_xlpm.x,VLOOKUP($C40,[1]Summary!$A$2:$J$118,8,0),IF(_xlpm.x=0,"",_xlpm.x)),"")</f>
        <v/>
      </c>
      <c r="Y40" s="6" t="str">
        <f>IFERROR(_xlfn.LET(_xlpm.x,VLOOKUP($C40,[1]Summary!$A$2:$J$118,9,0),IF(_xlpm.x=0,"",_xlpm.x)),"")</f>
        <v/>
      </c>
      <c r="Z40" s="6" t="str">
        <f>IFERROR(_xlfn.LET(_xlpm.x,VLOOKUP($C40,[1]Summary!$A$2:$J$118,10,0),IF(_xlpm.x=0,"",_xlpm.x)),"")</f>
        <v/>
      </c>
    </row>
    <row r="41" spans="1:26" x14ac:dyDescent="0.25">
      <c r="A41" s="2">
        <v>1000000000038</v>
      </c>
      <c r="B41" s="5" t="s">
        <v>109</v>
      </c>
      <c r="C41" s="2">
        <v>3000000000844</v>
      </c>
      <c r="D41" s="5" t="s">
        <v>110</v>
      </c>
      <c r="E41" s="1">
        <v>4</v>
      </c>
      <c r="F41" s="1" t="s">
        <v>28</v>
      </c>
      <c r="G41" s="1">
        <v>4</v>
      </c>
      <c r="H41" s="1">
        <v>2</v>
      </c>
      <c r="I41" s="1">
        <v>2</v>
      </c>
      <c r="J41" s="1"/>
      <c r="K41" s="1">
        <v>50</v>
      </c>
      <c r="L41" s="1" t="str">
        <f>IFERROR(_xlfn.LET(_xlpm.x,VLOOKUP($A41,'[1]Markings Threadings'!$B$3:$L$245,3,0),IF(_xlpm.x=0,"",_xlpm.x)),"")</f>
        <v>White</v>
      </c>
      <c r="M41" s="2">
        <f>IFERROR(_xlfn.LET(_xlpm.x,VLOOKUP($A41,'[1]Markings Threadings'!$B$3:$L$245,7,0),IF(_xlpm.x=0,"",_xlpm.x)),"")</f>
        <v>5000000000551</v>
      </c>
      <c r="N41" s="5" t="str">
        <f>IFERROR(_xlfn.LET(_xlpm.x,VLOOKUP($A41,'[1]Markings Threadings'!$B$3:$L$245,8,0),IF(_xlpm.x=0,"",_xlpm.x)),"")</f>
        <v>Empty Sack - Avemax Duck Pre-Lay, 50 kg</v>
      </c>
      <c r="O41" s="2">
        <f>IFERROR(_xlfn.LET(_xlpm.x,VLOOKUP($A41,'[1]Markings Threadings'!$B$3:$L$245,10,0),IF(_xlpm.x=0,"",_xlpm.x)),"")</f>
        <v>5000000000746</v>
      </c>
      <c r="P41" s="5" t="str">
        <f>IFERROR(_xlfn.LET(_xlpm.x,VLOOKUP($A41,'[1]Markings Threadings'!$B$3:$L$245,11,0),IF(_xlpm.x=0,"",_xlpm.x)),"")</f>
        <v>Tag - Avemax Duck Pre-Lay, Pellet</v>
      </c>
      <c r="Q41" s="1" t="str">
        <f>IFERROR(_xlfn.LET(_xlpm.x,VLOOKUP($A41,'[1]Markings Threadings'!$B$3:$L$245,4,0),IF(_xlpm.x=0,"",_xlpm.x)),"")</f>
        <v/>
      </c>
      <c r="R41" s="1" t="str">
        <f>IFERROR(_xlfn.LET(_xlpm.x,VLOOKUP($A41,'[1]Markings Threadings'!$B$3:$L$245,5,0),IF(_xlpm.x=0,"",_xlpm.x)),"")</f>
        <v/>
      </c>
      <c r="S41" s="1">
        <f>IFERROR(_xlfn.LET(_xlpm.x,VLOOKUP($A41,'[1]Markings Threadings'!$B$3:$L$245,6,0),IF(_xlpm.x=0,"",_xlpm.x)),"")</f>
        <v>1</v>
      </c>
      <c r="T41" s="6" t="str">
        <f>IFERROR(_xlfn.LET(_xlpm.x,VLOOKUP($C41,[1]Summary!$A$2:$J$118,4,0),IF(_xlpm.x=0,"",_xlpm.x)),"")</f>
        <v/>
      </c>
      <c r="U41" s="6" t="str">
        <f>IFERROR(_xlfn.LET(_xlpm.x,VLOOKUP($C41,[1]Summary!$A$2:$J$118,5,0),IF(_xlpm.x=0,"",_xlpm.x)),"")</f>
        <v/>
      </c>
      <c r="V41" s="6">
        <f>IFERROR(_xlfn.LET(_xlpm.x,VLOOKUP($C41,[1]Summary!$A$2:$J$118,6,0),IF(_xlpm.x=0,"",_xlpm.x)),"")</f>
        <v>7.1995391999999985</v>
      </c>
      <c r="W41" s="6">
        <f>IFERROR(_xlfn.LET(_xlpm.x,VLOOKUP($C41,[1]Summary!$A$2:$J$118,7,0),IF(_xlpm.x=0,"",_xlpm.x)),"")</f>
        <v>8.2430984702549583</v>
      </c>
      <c r="X41" s="6" t="str">
        <f>IFERROR(_xlfn.LET(_xlpm.x,VLOOKUP($C41,[1]Summary!$A$2:$J$118,8,0),IF(_xlpm.x=0,"",_xlpm.x)),"")</f>
        <v/>
      </c>
      <c r="Y41" s="6" t="str">
        <f>IFERROR(_xlfn.LET(_xlpm.x,VLOOKUP($C41,[1]Summary!$A$2:$J$118,9,0),IF(_xlpm.x=0,"",_xlpm.x)),"")</f>
        <v/>
      </c>
      <c r="Z41" s="6" t="str">
        <f>IFERROR(_xlfn.LET(_xlpm.x,VLOOKUP($C41,[1]Summary!$A$2:$J$118,10,0),IF(_xlpm.x=0,"",_xlpm.x)),"")</f>
        <v/>
      </c>
    </row>
    <row r="42" spans="1:26" x14ac:dyDescent="0.25">
      <c r="A42" s="2">
        <v>1000000000467</v>
      </c>
      <c r="B42" s="5" t="s">
        <v>111</v>
      </c>
      <c r="C42" s="2">
        <v>3000000000144</v>
      </c>
      <c r="D42" s="5" t="s">
        <v>112</v>
      </c>
      <c r="E42" s="1">
        <v>3</v>
      </c>
      <c r="F42" s="1" t="s">
        <v>37</v>
      </c>
      <c r="G42" s="1">
        <v>4</v>
      </c>
      <c r="H42" s="1">
        <v>2</v>
      </c>
      <c r="I42" s="1">
        <v>2</v>
      </c>
      <c r="J42" s="1"/>
      <c r="K42" s="1">
        <v>50</v>
      </c>
      <c r="L42" s="1" t="str">
        <f>IFERROR(_xlfn.LET(_xlpm.x,VLOOKUP($A42,'[1]Markings Threadings'!$B$3:$L$245,3,0),IF(_xlpm.x=0,"",_xlpm.x)),"")</f>
        <v>White</v>
      </c>
      <c r="M42" s="2">
        <f>IFERROR(_xlfn.LET(_xlpm.x,VLOOKUP($A42,'[1]Markings Threadings'!$B$3:$L$245,7,0),IF(_xlpm.x=0,"",_xlpm.x)),"")</f>
        <v>5000000000057</v>
      </c>
      <c r="N42" s="5" t="str">
        <f>IFERROR(_xlfn.LET(_xlpm.x,VLOOKUP($A42,'[1]Markings Threadings'!$B$3:$L$245,8,0),IF(_xlpm.x=0,"",_xlpm.x)),"")</f>
        <v>Empty Sack - Pork Solutions Pre-starter Mini Pellet ,50kg</v>
      </c>
      <c r="O42" s="2">
        <f>IFERROR(_xlfn.LET(_xlpm.x,VLOOKUP($A42,'[1]Markings Threadings'!$B$3:$L$245,10,0),IF(_xlpm.x=0,"",_xlpm.x)),"")</f>
        <v>5000000000102</v>
      </c>
      <c r="P42" s="5" t="str">
        <f>IFERROR(_xlfn.LET(_xlpm.x,VLOOKUP($A42,'[1]Markings Threadings'!$B$3:$L$245,11,0),IF(_xlpm.x=0,"",_xlpm.x)),"")</f>
        <v>Tag Pork Solutions Hog Pre-Starter 1 Mini Pellet 50kg</v>
      </c>
      <c r="Q42" s="1" t="str">
        <f>IFERROR(_xlfn.LET(_xlpm.x,VLOOKUP($A42,'[1]Markings Threadings'!$B$3:$L$245,4,0),IF(_xlpm.x=0,"",_xlpm.x)),"")</f>
        <v/>
      </c>
      <c r="R42" s="1" t="str">
        <f>IFERROR(_xlfn.LET(_xlpm.x,VLOOKUP($A42,'[1]Markings Threadings'!$B$3:$L$245,5,0),IF(_xlpm.x=0,"",_xlpm.x)),"")</f>
        <v/>
      </c>
      <c r="S42" s="1">
        <f>IFERROR(_xlfn.LET(_xlpm.x,VLOOKUP($A42,'[1]Markings Threadings'!$B$3:$L$245,6,0),IF(_xlpm.x=0,"",_xlpm.x)),"")</f>
        <v>5</v>
      </c>
      <c r="T42" s="6" t="str">
        <f>IFERROR(_xlfn.LET(_xlpm.x,VLOOKUP($C42,[1]Summary!$A$2:$J$118,4,0),IF(_xlpm.x=0,"",_xlpm.x)),"")</f>
        <v/>
      </c>
      <c r="U42" s="6" t="str">
        <f>IFERROR(_xlfn.LET(_xlpm.x,VLOOKUP($C42,[1]Summary!$A$2:$J$118,5,0),IF(_xlpm.x=0,"",_xlpm.x)),"")</f>
        <v/>
      </c>
      <c r="V42" s="6" t="str">
        <f>IFERROR(_xlfn.LET(_xlpm.x,VLOOKUP($C42,[1]Summary!$A$2:$J$118,6,0),IF(_xlpm.x=0,"",_xlpm.x)),"")</f>
        <v/>
      </c>
      <c r="W42" s="6" t="str">
        <f>IFERROR(_xlfn.LET(_xlpm.x,VLOOKUP($C42,[1]Summary!$A$2:$J$118,7,0),IF(_xlpm.x=0,"",_xlpm.x)),"")</f>
        <v/>
      </c>
      <c r="X42" s="6" t="str">
        <f>IFERROR(_xlfn.LET(_xlpm.x,VLOOKUP($C42,[1]Summary!$A$2:$J$118,8,0),IF(_xlpm.x=0,"",_xlpm.x)),"")</f>
        <v/>
      </c>
      <c r="Y42" s="6" t="str">
        <f>IFERROR(_xlfn.LET(_xlpm.x,VLOOKUP($C42,[1]Summary!$A$2:$J$118,9,0),IF(_xlpm.x=0,"",_xlpm.x)),"")</f>
        <v/>
      </c>
      <c r="Z42" s="6" t="str">
        <f>IFERROR(_xlfn.LET(_xlpm.x,VLOOKUP($C42,[1]Summary!$A$2:$J$118,10,0),IF(_xlpm.x=0,"",_xlpm.x)),"")</f>
        <v/>
      </c>
    </row>
    <row r="43" spans="1:26" x14ac:dyDescent="0.25">
      <c r="A43" s="2">
        <v>1000000001599</v>
      </c>
      <c r="B43" s="5" t="s">
        <v>113</v>
      </c>
      <c r="C43" s="2">
        <v>3000000000198</v>
      </c>
      <c r="D43" s="5" t="s">
        <v>114</v>
      </c>
      <c r="E43" s="1">
        <v>4</v>
      </c>
      <c r="F43" s="1" t="s">
        <v>47</v>
      </c>
      <c r="G43" s="1">
        <v>4</v>
      </c>
      <c r="H43" s="1">
        <v>2</v>
      </c>
      <c r="I43" s="1">
        <v>2</v>
      </c>
      <c r="J43" s="1"/>
      <c r="K43" s="1">
        <v>50</v>
      </c>
      <c r="L43" s="1" t="str">
        <f>IFERROR(_xlfn.LET(_xlpm.x,VLOOKUP($A43,'[1]Markings Threadings'!$B$3:$L$245,3,0),IF(_xlpm.x=0,"",_xlpm.x)),"")</f>
        <v/>
      </c>
      <c r="M43" s="2" t="str">
        <f>IFERROR(_xlfn.LET(_xlpm.x,VLOOKUP($A43,'[1]Markings Threadings'!$B$3:$L$245,7,0),IF(_xlpm.x=0,"",_xlpm.x)),"")</f>
        <v/>
      </c>
      <c r="N43" s="5" t="str">
        <f>IFERROR(_xlfn.LET(_xlpm.x,VLOOKUP($A43,'[1]Markings Threadings'!$B$3:$L$245,8,0),IF(_xlpm.x=0,"",_xlpm.x)),"")</f>
        <v/>
      </c>
      <c r="O43" s="2" t="str">
        <f>IFERROR(_xlfn.LET(_xlpm.x,VLOOKUP($A43,'[1]Markings Threadings'!$B$3:$L$245,10,0),IF(_xlpm.x=0,"",_xlpm.x)),"")</f>
        <v/>
      </c>
      <c r="P43" s="5" t="str">
        <f>IFERROR(_xlfn.LET(_xlpm.x,VLOOKUP($A43,'[1]Markings Threadings'!$B$3:$L$245,11,0),IF(_xlpm.x=0,"",_xlpm.x)),"")</f>
        <v/>
      </c>
      <c r="Q43" s="1" t="str">
        <f>IFERROR(_xlfn.LET(_xlpm.x,VLOOKUP($A43,'[1]Markings Threadings'!$B$3:$L$245,4,0),IF(_xlpm.x=0,"",_xlpm.x)),"")</f>
        <v/>
      </c>
      <c r="R43" s="1" t="str">
        <f>IFERROR(_xlfn.LET(_xlpm.x,VLOOKUP($A43,'[1]Markings Threadings'!$B$3:$L$245,5,0),IF(_xlpm.x=0,"",_xlpm.x)),"")</f>
        <v/>
      </c>
      <c r="S43" s="1" t="str">
        <f>IFERROR(_xlfn.LET(_xlpm.x,VLOOKUP($A43,'[1]Markings Threadings'!$B$3:$L$245,6,0),IF(_xlpm.x=0,"",_xlpm.x)),"")</f>
        <v/>
      </c>
      <c r="T43" s="6" t="str">
        <f>IFERROR(_xlfn.LET(_xlpm.x,VLOOKUP($C43,[1]Summary!$A$2:$J$118,4,0),IF(_xlpm.x=0,"",_xlpm.x)),"")</f>
        <v/>
      </c>
      <c r="U43" s="6" t="str">
        <f>IFERROR(_xlfn.LET(_xlpm.x,VLOOKUP($C43,[1]Summary!$A$2:$J$118,5,0),IF(_xlpm.x=0,"",_xlpm.x)),"")</f>
        <v/>
      </c>
      <c r="V43" s="6" t="str">
        <f>IFERROR(_xlfn.LET(_xlpm.x,VLOOKUP($C43,[1]Summary!$A$2:$J$118,6,0),IF(_xlpm.x=0,"",_xlpm.x)),"")</f>
        <v/>
      </c>
      <c r="W43" s="6" t="str">
        <f>IFERROR(_xlfn.LET(_xlpm.x,VLOOKUP($C43,[1]Summary!$A$2:$J$118,7,0),IF(_xlpm.x=0,"",_xlpm.x)),"")</f>
        <v/>
      </c>
      <c r="X43" s="6" t="str">
        <f>IFERROR(_xlfn.LET(_xlpm.x,VLOOKUP($C43,[1]Summary!$A$2:$J$118,8,0),IF(_xlpm.x=0,"",_xlpm.x)),"")</f>
        <v/>
      </c>
      <c r="Y43" s="6" t="str">
        <f>IFERROR(_xlfn.LET(_xlpm.x,VLOOKUP($C43,[1]Summary!$A$2:$J$118,9,0),IF(_xlpm.x=0,"",_xlpm.x)),"")</f>
        <v/>
      </c>
      <c r="Z43" s="6" t="str">
        <f>IFERROR(_xlfn.LET(_xlpm.x,VLOOKUP($C43,[1]Summary!$A$2:$J$118,10,0),IF(_xlpm.x=0,"",_xlpm.x)),"")</f>
        <v/>
      </c>
    </row>
    <row r="44" spans="1:26" x14ac:dyDescent="0.25">
      <c r="A44" s="2">
        <v>1000000001126</v>
      </c>
      <c r="B44" s="5" t="s">
        <v>63</v>
      </c>
      <c r="C44" s="2">
        <v>3000000000170</v>
      </c>
      <c r="D44" s="5" t="s">
        <v>64</v>
      </c>
      <c r="E44" s="1">
        <v>4</v>
      </c>
      <c r="F44" s="1" t="s">
        <v>54</v>
      </c>
      <c r="G44" s="1">
        <v>4</v>
      </c>
      <c r="H44" s="1">
        <v>2</v>
      </c>
      <c r="I44" s="1">
        <v>2</v>
      </c>
      <c r="J44" s="1"/>
      <c r="K44" s="1">
        <v>50</v>
      </c>
      <c r="L44" s="1" t="str">
        <f>IFERROR(_xlfn.LET(_xlpm.x,VLOOKUP($A44,'[1]Markings Threadings'!$B$3:$L$245,3,0),IF(_xlpm.x=0,"",_xlpm.x)),"")</f>
        <v>White</v>
      </c>
      <c r="M44" s="2">
        <f>IFERROR(_xlfn.LET(_xlpm.x,VLOOKUP($A44,'[1]Markings Threadings'!$B$3:$L$245,7,0),IF(_xlpm.x=0,"",_xlpm.x)),"")</f>
        <v>5000000000564</v>
      </c>
      <c r="N44" s="5" t="str">
        <f>IFERROR(_xlfn.LET(_xlpm.x,VLOOKUP($A44,'[1]Markings Threadings'!$B$3:$L$245,8,0),IF(_xlpm.x=0,"",_xlpm.x)),"")</f>
        <v>v2 - Poultry Solutions Layer 1, 50kg</v>
      </c>
      <c r="O44" s="2">
        <f>IFERROR(_xlfn.LET(_xlpm.x,VLOOKUP($A44,'[1]Markings Threadings'!$B$3:$L$245,10,0),IF(_xlpm.x=0,"",_xlpm.x)),"")</f>
        <v>5000000000116</v>
      </c>
      <c r="P44" s="5" t="str">
        <f>IFERROR(_xlfn.LET(_xlpm.x,VLOOKUP($A44,'[1]Markings Threadings'!$B$3:$L$245,11,0),IF(_xlpm.x=0,"",_xlpm.x)),"")</f>
        <v>Tag - Poultry Solutions Chicken Layer 1 Crumble</v>
      </c>
      <c r="Q44" s="1">
        <f>IFERROR(_xlfn.LET(_xlpm.x,VLOOKUP($A44,'[1]Markings Threadings'!$B$3:$L$245,4,0),IF(_xlpm.x=0,"",_xlpm.x)),"")</f>
        <v>1126</v>
      </c>
      <c r="R44" s="1" t="str">
        <f>IFERROR(_xlfn.LET(_xlpm.x,VLOOKUP($A44,'[1]Markings Threadings'!$B$3:$L$245,5,0),IF(_xlpm.x=0,"",_xlpm.x)),"")</f>
        <v/>
      </c>
      <c r="S44" s="1">
        <f>IFERROR(_xlfn.LET(_xlpm.x,VLOOKUP($A44,'[1]Markings Threadings'!$B$3:$L$245,6,0),IF(_xlpm.x=0,"",_xlpm.x)),"")</f>
        <v>8</v>
      </c>
      <c r="T44" s="6" t="str">
        <f>IFERROR(_xlfn.LET(_xlpm.x,VLOOKUP($C44,[1]Summary!$A$2:$J$118,4,0),IF(_xlpm.x=0,"",_xlpm.x)),"")</f>
        <v/>
      </c>
      <c r="U44" s="6" t="str">
        <f>IFERROR(_xlfn.LET(_xlpm.x,VLOOKUP($C44,[1]Summary!$A$2:$J$118,5,0),IF(_xlpm.x=0,"",_xlpm.x)),"")</f>
        <v/>
      </c>
      <c r="V44" s="6">
        <f>IFERROR(_xlfn.LET(_xlpm.x,VLOOKUP($C44,[1]Summary!$A$2:$J$118,6,0),IF(_xlpm.x=0,"",_xlpm.x)),"")</f>
        <v>7.5878590452572841</v>
      </c>
      <c r="W44" s="6">
        <f>IFERROR(_xlfn.LET(_xlpm.x,VLOOKUP($C44,[1]Summary!$A$2:$J$118,7,0),IF(_xlpm.x=0,"",_xlpm.x)),"")</f>
        <v>8.5544764019138757</v>
      </c>
      <c r="X44" s="6" t="str">
        <f>IFERROR(_xlfn.LET(_xlpm.x,VLOOKUP($C44,[1]Summary!$A$2:$J$118,8,0),IF(_xlpm.x=0,"",_xlpm.x)),"")</f>
        <v/>
      </c>
      <c r="Y44" s="6">
        <f>IFERROR(_xlfn.LET(_xlpm.x,VLOOKUP($C44,[1]Summary!$A$2:$J$118,9,0),IF(_xlpm.x=0,"",_xlpm.x)),"")</f>
        <v>8.0679359229130725</v>
      </c>
      <c r="Z44" s="6" t="str">
        <f>IFERROR(_xlfn.LET(_xlpm.x,VLOOKUP($C44,[1]Summary!$A$2:$J$118,10,0),IF(_xlpm.x=0,"",_xlpm.x)),"")</f>
        <v/>
      </c>
    </row>
    <row r="45" spans="1:26" x14ac:dyDescent="0.25">
      <c r="A45" s="2">
        <v>1000000000501</v>
      </c>
      <c r="B45" s="5" t="s">
        <v>48</v>
      </c>
      <c r="C45" s="2">
        <v>3000000000824</v>
      </c>
      <c r="D45" s="5" t="s">
        <v>49</v>
      </c>
      <c r="E45" s="1">
        <v>3</v>
      </c>
      <c r="F45" s="1" t="s">
        <v>47</v>
      </c>
      <c r="G45" s="1">
        <v>4</v>
      </c>
      <c r="H45" s="1">
        <v>2</v>
      </c>
      <c r="I45" s="1">
        <v>2</v>
      </c>
      <c r="J45" s="1"/>
      <c r="K45" s="1">
        <v>50</v>
      </c>
      <c r="L45" s="1" t="str">
        <f>IFERROR(_xlfn.LET(_xlpm.x,VLOOKUP($A45,'[1]Markings Threadings'!$B$3:$L$245,3,0),IF(_xlpm.x=0,"",_xlpm.x)),"")</f>
        <v>White</v>
      </c>
      <c r="M45" s="2">
        <f>IFERROR(_xlfn.LET(_xlpm.x,VLOOKUP($A45,'[1]Markings Threadings'!$B$3:$L$245,7,0),IF(_xlpm.x=0,"",_xlpm.x)),"")</f>
        <v>5000000000540</v>
      </c>
      <c r="N45" s="5" t="str">
        <f>IFERROR(_xlfn.LET(_xlpm.x,VLOOKUP($A45,'[1]Markings Threadings'!$B$3:$L$245,8,0),IF(_xlpm.x=0,"",_xlpm.x)),"")</f>
        <v>v2 - Poultry Express Broiler Startex, 50 kg</v>
      </c>
      <c r="O45" s="2">
        <f>IFERROR(_xlfn.LET(_xlpm.x,VLOOKUP($A45,'[1]Markings Threadings'!$B$3:$L$245,10,0),IF(_xlpm.x=0,"",_xlpm.x)),"")</f>
        <v>5000000000092</v>
      </c>
      <c r="P45" s="5" t="str">
        <f>IFERROR(_xlfn.LET(_xlpm.x,VLOOKUP($A45,'[1]Markings Threadings'!$B$3:$L$245,11,0),IF(_xlpm.x=0,"",_xlpm.x)),"")</f>
        <v>Tag - P/E Broiler Startex Crumble</v>
      </c>
      <c r="Q45" s="1" t="str">
        <f>IFERROR(_xlfn.LET(_xlpm.x,VLOOKUP($A45,'[1]Markings Threadings'!$B$3:$L$245,4,0),IF(_xlpm.x=0,"",_xlpm.x)),"")</f>
        <v/>
      </c>
      <c r="R45" s="1" t="str">
        <f>IFERROR(_xlfn.LET(_xlpm.x,VLOOKUP($A45,'[1]Markings Threadings'!$B$3:$L$245,5,0),IF(_xlpm.x=0,"",_xlpm.x)),"")</f>
        <v/>
      </c>
      <c r="S45" s="1">
        <f>IFERROR(_xlfn.LET(_xlpm.x,VLOOKUP($A45,'[1]Markings Threadings'!$B$3:$L$245,6,0),IF(_xlpm.x=0,"",_xlpm.x)),"")</f>
        <v>1</v>
      </c>
      <c r="T45" s="6" t="str">
        <f>IFERROR(_xlfn.LET(_xlpm.x,VLOOKUP($C45,[1]Summary!$A$2:$J$118,4,0),IF(_xlpm.x=0,"",_xlpm.x)),"")</f>
        <v/>
      </c>
      <c r="U45" s="6" t="str">
        <f>IFERROR(_xlfn.LET(_xlpm.x,VLOOKUP($C45,[1]Summary!$A$2:$J$118,5,0),IF(_xlpm.x=0,"",_xlpm.x)),"")</f>
        <v/>
      </c>
      <c r="V45" s="6" t="str">
        <f>IFERROR(_xlfn.LET(_xlpm.x,VLOOKUP($C45,[1]Summary!$A$2:$J$118,6,0),IF(_xlpm.x=0,"",_xlpm.x)),"")</f>
        <v/>
      </c>
      <c r="W45" s="6">
        <f>IFERROR(_xlfn.LET(_xlpm.x,VLOOKUP($C45,[1]Summary!$A$2:$J$118,7,0),IF(_xlpm.x=0,"",_xlpm.x)),"")</f>
        <v>7.7475821833234795</v>
      </c>
      <c r="X45" s="6" t="str">
        <f>IFERROR(_xlfn.LET(_xlpm.x,VLOOKUP($C45,[1]Summary!$A$2:$J$118,8,0),IF(_xlpm.x=0,"",_xlpm.x)),"")</f>
        <v/>
      </c>
      <c r="Y45" s="6" t="str">
        <f>IFERROR(_xlfn.LET(_xlpm.x,VLOOKUP($C45,[1]Summary!$A$2:$J$118,9,0),IF(_xlpm.x=0,"",_xlpm.x)),"")</f>
        <v/>
      </c>
      <c r="Z45" s="6" t="str">
        <f>IFERROR(_xlfn.LET(_xlpm.x,VLOOKUP($C45,[1]Summary!$A$2:$J$118,10,0),IF(_xlpm.x=0,"",_xlpm.x)),"")</f>
        <v/>
      </c>
    </row>
    <row r="46" spans="1:26" x14ac:dyDescent="0.25">
      <c r="A46" s="2">
        <v>1000000000503</v>
      </c>
      <c r="B46" s="5" t="s">
        <v>52</v>
      </c>
      <c r="C46" s="2">
        <v>3000000000826</v>
      </c>
      <c r="D46" s="5" t="s">
        <v>53</v>
      </c>
      <c r="E46" s="1">
        <v>4</v>
      </c>
      <c r="F46" s="1" t="s">
        <v>54</v>
      </c>
      <c r="G46" s="1">
        <v>4</v>
      </c>
      <c r="H46" s="1">
        <v>2</v>
      </c>
      <c r="I46" s="1">
        <v>2</v>
      </c>
      <c r="J46" s="1"/>
      <c r="K46" s="1">
        <v>50</v>
      </c>
      <c r="L46" s="1" t="str">
        <f>IFERROR(_xlfn.LET(_xlpm.x,VLOOKUP($A46,'[1]Markings Threadings'!$B$3:$L$245,3,0),IF(_xlpm.x=0,"",_xlpm.x)),"")</f>
        <v>White</v>
      </c>
      <c r="M46" s="2">
        <f>IFERROR(_xlfn.LET(_xlpm.x,VLOOKUP($A46,'[1]Markings Threadings'!$B$3:$L$245,7,0),IF(_xlpm.x=0,"",_xlpm.x)),"")</f>
        <v>5000000000545</v>
      </c>
      <c r="N46" s="5" t="str">
        <f>IFERROR(_xlfn.LET(_xlpm.x,VLOOKUP($A46,'[1]Markings Threadings'!$B$3:$L$245,8,0),IF(_xlpm.x=0,"",_xlpm.x)),"")</f>
        <v>v2 - Poultry Express Broiler Finex, 50 kg</v>
      </c>
      <c r="O46" s="2">
        <f>IFERROR(_xlfn.LET(_xlpm.x,VLOOKUP($A46,'[1]Markings Threadings'!$B$3:$L$245,10,0),IF(_xlpm.x=0,"",_xlpm.x)),"")</f>
        <v>5000000000094</v>
      </c>
      <c r="P46" s="5" t="str">
        <f>IFERROR(_xlfn.LET(_xlpm.x,VLOOKUP($A46,'[1]Markings Threadings'!$B$3:$L$245,11,0),IF(_xlpm.x=0,"",_xlpm.x)),"")</f>
        <v>Tag - P/E Broiler Finex Crumble</v>
      </c>
      <c r="Q46" s="1" t="str">
        <f>IFERROR(_xlfn.LET(_xlpm.x,VLOOKUP($A46,'[1]Markings Threadings'!$B$3:$L$245,4,0),IF(_xlpm.x=0,"",_xlpm.x)),"")</f>
        <v/>
      </c>
      <c r="R46" s="1" t="str">
        <f>IFERROR(_xlfn.LET(_xlpm.x,VLOOKUP($A46,'[1]Markings Threadings'!$B$3:$L$245,5,0),IF(_xlpm.x=0,"",_xlpm.x)),"")</f>
        <v/>
      </c>
      <c r="S46" s="1">
        <f>IFERROR(_xlfn.LET(_xlpm.x,VLOOKUP($A46,'[1]Markings Threadings'!$B$3:$L$245,6,0),IF(_xlpm.x=0,"",_xlpm.x)),"")</f>
        <v>2</v>
      </c>
      <c r="T46" s="6" t="str">
        <f>IFERROR(_xlfn.LET(_xlpm.x,VLOOKUP($C46,[1]Summary!$A$2:$J$118,4,0),IF(_xlpm.x=0,"",_xlpm.x)),"")</f>
        <v/>
      </c>
      <c r="U46" s="6" t="str">
        <f>IFERROR(_xlfn.LET(_xlpm.x,VLOOKUP($C46,[1]Summary!$A$2:$J$118,5,0),IF(_xlpm.x=0,"",_xlpm.x)),"")</f>
        <v/>
      </c>
      <c r="V46" s="6" t="str">
        <f>IFERROR(_xlfn.LET(_xlpm.x,VLOOKUP($C46,[1]Summary!$A$2:$J$118,6,0),IF(_xlpm.x=0,"",_xlpm.x)),"")</f>
        <v/>
      </c>
      <c r="W46" s="6" t="str">
        <f>IFERROR(_xlfn.LET(_xlpm.x,VLOOKUP($C46,[1]Summary!$A$2:$J$118,7,0),IF(_xlpm.x=0,"",_xlpm.x)),"")</f>
        <v/>
      </c>
      <c r="X46" s="6" t="str">
        <f>IFERROR(_xlfn.LET(_xlpm.x,VLOOKUP($C46,[1]Summary!$A$2:$J$118,8,0),IF(_xlpm.x=0,"",_xlpm.x)),"")</f>
        <v/>
      </c>
      <c r="Y46" s="6" t="str">
        <f>IFERROR(_xlfn.LET(_xlpm.x,VLOOKUP($C46,[1]Summary!$A$2:$J$118,9,0),IF(_xlpm.x=0,"",_xlpm.x)),"")</f>
        <v/>
      </c>
      <c r="Z46" s="6" t="str">
        <f>IFERROR(_xlfn.LET(_xlpm.x,VLOOKUP($C46,[1]Summary!$A$2:$J$118,10,0),IF(_xlpm.x=0,"",_xlpm.x)),"")</f>
        <v/>
      </c>
    </row>
    <row r="47" spans="1:26" x14ac:dyDescent="0.25">
      <c r="A47" s="2">
        <v>1000000001403</v>
      </c>
      <c r="B47" s="5" t="s">
        <v>115</v>
      </c>
      <c r="C47" s="2">
        <v>3000000001116</v>
      </c>
      <c r="D47" s="5" t="s">
        <v>116</v>
      </c>
      <c r="E47" s="1">
        <v>4</v>
      </c>
      <c r="F47" s="1" t="s">
        <v>28</v>
      </c>
      <c r="G47" s="1">
        <v>4</v>
      </c>
      <c r="H47" s="1">
        <v>2</v>
      </c>
      <c r="I47" s="1">
        <v>2</v>
      </c>
      <c r="J47" s="1"/>
      <c r="K47" s="1">
        <v>50</v>
      </c>
      <c r="L47" s="1" t="str">
        <f>IFERROR(_xlfn.LET(_xlpm.x,VLOOKUP($A47,'[1]Markings Threadings'!$B$3:$L$245,3,0),IF(_xlpm.x=0,"",_xlpm.x)),"")</f>
        <v>White Blue</v>
      </c>
      <c r="M47" s="2">
        <f>IFERROR(_xlfn.LET(_xlpm.x,VLOOKUP($A47,'[1]Markings Threadings'!$B$3:$L$245,7,0),IF(_xlpm.x=0,"",_xlpm.x)),"")</f>
        <v>5000000000053</v>
      </c>
      <c r="N47" s="5" t="str">
        <f>IFERROR(_xlfn.LET(_xlpm.x,VLOOKUP($A47,'[1]Markings Threadings'!$B$3:$L$245,8,0),IF(_xlpm.x=0,"",_xlpm.x)),"")</f>
        <v>Sack Pork Solutions Breeder Hog 50kg</v>
      </c>
      <c r="O47" s="2">
        <f>IFERROR(_xlfn.LET(_xlpm.x,VLOOKUP($A47,'[1]Markings Threadings'!$B$3:$L$245,10,0),IF(_xlpm.x=0,"",_xlpm.x)),"")</f>
        <v>5000000000107</v>
      </c>
      <c r="P47" s="5" t="str">
        <f>IFERROR(_xlfn.LET(_xlpm.x,VLOOKUP($A47,'[1]Markings Threadings'!$B$3:$L$245,11,0),IF(_xlpm.x=0,"",_xlpm.x)),"")</f>
        <v>Tag - Pork Solutions Breeder Hog Lactat Pelletion</v>
      </c>
      <c r="Q47" s="1">
        <f>IFERROR(_xlfn.LET(_xlpm.x,VLOOKUP($A47,'[1]Markings Threadings'!$B$3:$L$245,4,0),IF(_xlpm.x=0,"",_xlpm.x)),"")</f>
        <v>1403</v>
      </c>
      <c r="R47" s="1" t="str">
        <f>IFERROR(_xlfn.LET(_xlpm.x,VLOOKUP($A47,'[1]Markings Threadings'!$B$3:$L$245,5,0),IF(_xlpm.x=0,"",_xlpm.x)),"")</f>
        <v/>
      </c>
      <c r="S47" s="1">
        <f>IFERROR(_xlfn.LET(_xlpm.x,VLOOKUP($A47,'[1]Markings Threadings'!$B$3:$L$245,6,0),IF(_xlpm.x=0,"",_xlpm.x)),"")</f>
        <v>4</v>
      </c>
      <c r="T47" s="6" t="str">
        <f>IFERROR(_xlfn.LET(_xlpm.x,VLOOKUP($C47,[1]Summary!$A$2:$J$118,4,0),IF(_xlpm.x=0,"",_xlpm.x)),"")</f>
        <v/>
      </c>
      <c r="U47" s="6" t="str">
        <f>IFERROR(_xlfn.LET(_xlpm.x,VLOOKUP($C47,[1]Summary!$A$2:$J$118,5,0),IF(_xlpm.x=0,"",_xlpm.x)),"")</f>
        <v/>
      </c>
      <c r="V47" s="6" t="str">
        <f>IFERROR(_xlfn.LET(_xlpm.x,VLOOKUP($C47,[1]Summary!$A$2:$J$118,6,0),IF(_xlpm.x=0,"",_xlpm.x)),"")</f>
        <v/>
      </c>
      <c r="W47" s="6" t="str">
        <f>IFERROR(_xlfn.LET(_xlpm.x,VLOOKUP($C47,[1]Summary!$A$2:$J$118,7,0),IF(_xlpm.x=0,"",_xlpm.x)),"")</f>
        <v/>
      </c>
      <c r="X47" s="6" t="str">
        <f>IFERROR(_xlfn.LET(_xlpm.x,VLOOKUP($C47,[1]Summary!$A$2:$J$118,8,0),IF(_xlpm.x=0,"",_xlpm.x)),"")</f>
        <v/>
      </c>
      <c r="Y47" s="6" t="str">
        <f>IFERROR(_xlfn.LET(_xlpm.x,VLOOKUP($C47,[1]Summary!$A$2:$J$118,9,0),IF(_xlpm.x=0,"",_xlpm.x)),"")</f>
        <v/>
      </c>
      <c r="Z47" s="6" t="str">
        <f>IFERROR(_xlfn.LET(_xlpm.x,VLOOKUP($C47,[1]Summary!$A$2:$J$118,10,0),IF(_xlpm.x=0,"",_xlpm.x)),"")</f>
        <v/>
      </c>
    </row>
    <row r="48" spans="1:26" x14ac:dyDescent="0.25">
      <c r="A48" s="2">
        <v>1000000000176</v>
      </c>
      <c r="B48" s="5" t="s">
        <v>117</v>
      </c>
      <c r="C48" s="2">
        <v>3000000000830</v>
      </c>
      <c r="D48" s="5" t="s">
        <v>118</v>
      </c>
      <c r="E48" s="1">
        <v>4</v>
      </c>
      <c r="F48" s="1" t="s">
        <v>47</v>
      </c>
      <c r="G48" s="1">
        <v>4</v>
      </c>
      <c r="H48" s="1">
        <v>2</v>
      </c>
      <c r="I48" s="1">
        <v>2</v>
      </c>
      <c r="J48" s="1"/>
      <c r="K48" s="1">
        <v>50</v>
      </c>
      <c r="L48" s="1" t="str">
        <f>IFERROR(_xlfn.LET(_xlpm.x,VLOOKUP($A48,'[1]Markings Threadings'!$B$3:$L$245,3,0),IF(_xlpm.x=0,"",_xlpm.x)),"")</f>
        <v>White</v>
      </c>
      <c r="M48" s="2">
        <f>IFERROR(_xlfn.LET(_xlpm.x,VLOOKUP($A48,'[1]Markings Threadings'!$B$3:$L$245,7,0),IF(_xlpm.x=0,"",_xlpm.x)),"")</f>
        <v>5000000000573</v>
      </c>
      <c r="N48" s="5" t="str">
        <f>IFERROR(_xlfn.LET(_xlpm.x,VLOOKUP($A48,'[1]Markings Threadings'!$B$3:$L$245,8,0),IF(_xlpm.x=0,"",_xlpm.x)),"")</f>
        <v>v2 - Basic Chick Boostex, 50 Kg</v>
      </c>
      <c r="O48" s="2">
        <f>IFERROR(_xlfn.LET(_xlpm.x,VLOOKUP($A48,'[1]Markings Threadings'!$B$3:$L$245,10,0),IF(_xlpm.x=0,"",_xlpm.x)),"")</f>
        <v>5000000001531</v>
      </c>
      <c r="P48" s="5" t="str">
        <f>IFERROR(_xlfn.LET(_xlpm.x,VLOOKUP($A48,'[1]Markings Threadings'!$B$3:$L$245,11,0),IF(_xlpm.x=0,"",_xlpm.x)),"")</f>
        <v>Tag Basic Chick Boostex Crumble, 50kg</v>
      </c>
      <c r="Q48" s="1" t="str">
        <f>IFERROR(_xlfn.LET(_xlpm.x,VLOOKUP($A48,'[1]Markings Threadings'!$B$3:$L$245,4,0),IF(_xlpm.x=0,"",_xlpm.x)),"")</f>
        <v/>
      </c>
      <c r="R48" s="1" t="str">
        <f>IFERROR(_xlfn.LET(_xlpm.x,VLOOKUP($A48,'[1]Markings Threadings'!$B$3:$L$245,5,0),IF(_xlpm.x=0,"",_xlpm.x)),"")</f>
        <v/>
      </c>
      <c r="S48" s="1">
        <f>IFERROR(_xlfn.LET(_xlpm.x,VLOOKUP($A48,'[1]Markings Threadings'!$B$3:$L$245,6,0),IF(_xlpm.x=0,"",_xlpm.x)),"")</f>
        <v>1</v>
      </c>
      <c r="T48" s="6" t="str">
        <f>IFERROR(_xlfn.LET(_xlpm.x,VLOOKUP($C48,[1]Summary!$A$2:$J$118,4,0),IF(_xlpm.x=0,"",_xlpm.x)),"")</f>
        <v/>
      </c>
      <c r="U48" s="6" t="str">
        <f>IFERROR(_xlfn.LET(_xlpm.x,VLOOKUP($C48,[1]Summary!$A$2:$J$118,5,0),IF(_xlpm.x=0,"",_xlpm.x)),"")</f>
        <v/>
      </c>
      <c r="V48" s="6" t="str">
        <f>IFERROR(_xlfn.LET(_xlpm.x,VLOOKUP($C48,[1]Summary!$A$2:$J$118,6,0),IF(_xlpm.x=0,"",_xlpm.x)),"")</f>
        <v/>
      </c>
      <c r="W48" s="6">
        <f>IFERROR(_xlfn.LET(_xlpm.x,VLOOKUP($C48,[1]Summary!$A$2:$J$118,7,0),IF(_xlpm.x=0,"",_xlpm.x)),"")</f>
        <v>7.993105429787235</v>
      </c>
      <c r="X48" s="6" t="str">
        <f>IFERROR(_xlfn.LET(_xlpm.x,VLOOKUP($C48,[1]Summary!$A$2:$J$118,8,0),IF(_xlpm.x=0,"",_xlpm.x)),"")</f>
        <v/>
      </c>
      <c r="Y48" s="6" t="str">
        <f>IFERROR(_xlfn.LET(_xlpm.x,VLOOKUP($C48,[1]Summary!$A$2:$J$118,9,0),IF(_xlpm.x=0,"",_xlpm.x)),"")</f>
        <v/>
      </c>
      <c r="Z48" s="6" t="str">
        <f>IFERROR(_xlfn.LET(_xlpm.x,VLOOKUP($C48,[1]Summary!$A$2:$J$118,10,0),IF(_xlpm.x=0,"",_xlpm.x)),"")</f>
        <v/>
      </c>
    </row>
    <row r="49" spans="1:26" x14ac:dyDescent="0.25">
      <c r="A49" s="2">
        <v>1000000000042</v>
      </c>
      <c r="B49" s="5" t="s">
        <v>119</v>
      </c>
      <c r="C49" s="2">
        <v>3000000000206</v>
      </c>
      <c r="D49" s="5" t="s">
        <v>120</v>
      </c>
      <c r="E49" s="1">
        <v>4</v>
      </c>
      <c r="F49" s="1" t="s">
        <v>47</v>
      </c>
      <c r="G49" s="1">
        <v>4</v>
      </c>
      <c r="H49" s="1">
        <v>2</v>
      </c>
      <c r="I49" s="1">
        <v>2</v>
      </c>
      <c r="J49" s="1"/>
      <c r="K49" s="1">
        <v>50</v>
      </c>
      <c r="L49" s="1" t="str">
        <f>IFERROR(_xlfn.LET(_xlpm.x,VLOOKUP($A49,'[1]Markings Threadings'!$B$3:$L$245,3,0),IF(_xlpm.x=0,"",_xlpm.x)),"")</f>
        <v>White</v>
      </c>
      <c r="M49" s="2">
        <f>IFERROR(_xlfn.LET(_xlpm.x,VLOOKUP($A49,'[1]Markings Threadings'!$B$3:$L$245,7,0),IF(_xlpm.x=0,"",_xlpm.x)),"")</f>
        <v>5000000000574</v>
      </c>
      <c r="N49" s="5" t="str">
        <f>IFERROR(_xlfn.LET(_xlpm.x,VLOOKUP($A49,'[1]Markings Threadings'!$B$3:$L$245,8,0),IF(_xlpm.x=0,"",_xlpm.x)),"")</f>
        <v>Empty Sack - Basic Broiler Startex, 50Kg</v>
      </c>
      <c r="O49" s="2">
        <f>IFERROR(_xlfn.LET(_xlpm.x,VLOOKUP($A49,'[1]Markings Threadings'!$B$3:$L$245,10,0),IF(_xlpm.x=0,"",_xlpm.x)),"")</f>
        <v>5000000000099</v>
      </c>
      <c r="P49" s="5" t="str">
        <f>IFERROR(_xlfn.LET(_xlpm.x,VLOOKUP($A49,'[1]Markings Threadings'!$B$3:$L$245,11,0),IF(_xlpm.x=0,"",_xlpm.x)),"")</f>
        <v>Tag - Basic Broiler Startex Crumble</v>
      </c>
      <c r="Q49" s="1" t="str">
        <f>IFERROR(_xlfn.LET(_xlpm.x,VLOOKUP($A49,'[1]Markings Threadings'!$B$3:$L$245,4,0),IF(_xlpm.x=0,"",_xlpm.x)),"")</f>
        <v/>
      </c>
      <c r="R49" s="1" t="str">
        <f>IFERROR(_xlfn.LET(_xlpm.x,VLOOKUP($A49,'[1]Markings Threadings'!$B$3:$L$245,5,0),IF(_xlpm.x=0,"",_xlpm.x)),"")</f>
        <v/>
      </c>
      <c r="S49" s="1">
        <f>IFERROR(_xlfn.LET(_xlpm.x,VLOOKUP($A49,'[1]Markings Threadings'!$B$3:$L$245,6,0),IF(_xlpm.x=0,"",_xlpm.x)),"")</f>
        <v>1</v>
      </c>
      <c r="T49" s="6" t="str">
        <f>IFERROR(_xlfn.LET(_xlpm.x,VLOOKUP($C49,[1]Summary!$A$2:$J$118,4,0),IF(_xlpm.x=0,"",_xlpm.x)),"")</f>
        <v/>
      </c>
      <c r="U49" s="6">
        <f>IFERROR(_xlfn.LET(_xlpm.x,VLOOKUP($C49,[1]Summary!$A$2:$J$118,5,0),IF(_xlpm.x=0,"",_xlpm.x)),"")</f>
        <v>14.099097600000002</v>
      </c>
      <c r="V49" s="6" t="str">
        <f>IFERROR(_xlfn.LET(_xlpm.x,VLOOKUP($C49,[1]Summary!$A$2:$J$118,6,0),IF(_xlpm.x=0,"",_xlpm.x)),"")</f>
        <v/>
      </c>
      <c r="W49" s="6">
        <f>IFERROR(_xlfn.LET(_xlpm.x,VLOOKUP($C49,[1]Summary!$A$2:$J$118,7,0),IF(_xlpm.x=0,"",_xlpm.x)),"")</f>
        <v>7.9382092617577227</v>
      </c>
      <c r="X49" s="6" t="str">
        <f>IFERROR(_xlfn.LET(_xlpm.x,VLOOKUP($C49,[1]Summary!$A$2:$J$118,8,0),IF(_xlpm.x=0,"",_xlpm.x)),"")</f>
        <v/>
      </c>
      <c r="Y49" s="6" t="str">
        <f>IFERROR(_xlfn.LET(_xlpm.x,VLOOKUP($C49,[1]Summary!$A$2:$J$118,9,0),IF(_xlpm.x=0,"",_xlpm.x)),"")</f>
        <v/>
      </c>
      <c r="Z49" s="6" t="str">
        <f>IFERROR(_xlfn.LET(_xlpm.x,VLOOKUP($C49,[1]Summary!$A$2:$J$118,10,0),IF(_xlpm.x=0,"",_xlpm.x)),"")</f>
        <v/>
      </c>
    </row>
    <row r="50" spans="1:26" x14ac:dyDescent="0.25">
      <c r="A50" s="2">
        <v>1000000001123</v>
      </c>
      <c r="B50" s="5" t="s">
        <v>121</v>
      </c>
      <c r="C50" s="2">
        <v>3000000000168</v>
      </c>
      <c r="D50" s="5" t="s">
        <v>122</v>
      </c>
      <c r="E50" s="1">
        <v>4</v>
      </c>
      <c r="F50" s="1" t="s">
        <v>54</v>
      </c>
      <c r="G50" s="1">
        <v>4</v>
      </c>
      <c r="H50" s="1">
        <v>2</v>
      </c>
      <c r="I50" s="1">
        <v>2</v>
      </c>
      <c r="J50" s="1"/>
      <c r="K50" s="1">
        <v>50</v>
      </c>
      <c r="L50" s="1" t="str">
        <f>IFERROR(_xlfn.LET(_xlpm.x,VLOOKUP($A50,'[1]Markings Threadings'!$B$3:$L$245,3,0),IF(_xlpm.x=0,"",_xlpm.x)),"")</f>
        <v>Yellow</v>
      </c>
      <c r="M50" s="2">
        <f>IFERROR(_xlfn.LET(_xlpm.x,VLOOKUP($A50,'[1]Markings Threadings'!$B$3:$L$245,7,0),IF(_xlpm.x=0,"",_xlpm.x)),"")</f>
        <v>5000000000563</v>
      </c>
      <c r="N50" s="5" t="str">
        <f>IFERROR(_xlfn.LET(_xlpm.x,VLOOKUP($A50,'[1]Markings Threadings'!$B$3:$L$245,8,0),IF(_xlpm.x=0,"",_xlpm.x)),"")</f>
        <v>v2 - Poultry Solutions Pre-Layer 50kg</v>
      </c>
      <c r="O50" s="2">
        <f>IFERROR(_xlfn.LET(_xlpm.x,VLOOKUP($A50,'[1]Markings Threadings'!$B$3:$L$245,10,0),IF(_xlpm.x=0,"",_xlpm.x)),"")</f>
        <v>5000000000615</v>
      </c>
      <c r="P50" s="5" t="str">
        <f>IFERROR(_xlfn.LET(_xlpm.x,VLOOKUP($A50,'[1]Markings Threadings'!$B$3:$L$245,11,0),IF(_xlpm.x=0,"",_xlpm.x)),"")</f>
        <v>Tag - Poultry Solutions Pre-Lay Crumble, 50kg</v>
      </c>
      <c r="Q50" s="1" t="str">
        <f>IFERROR(_xlfn.LET(_xlpm.x,VLOOKUP($A50,'[1]Markings Threadings'!$B$3:$L$245,4,0),IF(_xlpm.x=0,"",_xlpm.x)),"")</f>
        <v>1123 PS Pre-layer</v>
      </c>
      <c r="R50" s="1" t="str">
        <f>IFERROR(_xlfn.LET(_xlpm.x,VLOOKUP($A50,'[1]Markings Threadings'!$B$3:$L$245,5,0),IF(_xlpm.x=0,"",_xlpm.x)),"")</f>
        <v/>
      </c>
      <c r="S50" s="1">
        <f>IFERROR(_xlfn.LET(_xlpm.x,VLOOKUP($A50,'[1]Markings Threadings'!$B$3:$L$245,6,0),IF(_xlpm.x=0,"",_xlpm.x)),"")</f>
        <v>6</v>
      </c>
      <c r="T50" s="6" t="str">
        <f>IFERROR(_xlfn.LET(_xlpm.x,VLOOKUP($C50,[1]Summary!$A$2:$J$118,4,0),IF(_xlpm.x=0,"",_xlpm.x)),"")</f>
        <v/>
      </c>
      <c r="U50" s="6" t="str">
        <f>IFERROR(_xlfn.LET(_xlpm.x,VLOOKUP($C50,[1]Summary!$A$2:$J$118,5,0),IF(_xlpm.x=0,"",_xlpm.x)),"")</f>
        <v/>
      </c>
      <c r="V50" s="6">
        <f>IFERROR(_xlfn.LET(_xlpm.x,VLOOKUP($C50,[1]Summary!$A$2:$J$118,6,0),IF(_xlpm.x=0,"",_xlpm.x)),"")</f>
        <v>7.6358749090909139</v>
      </c>
      <c r="W50" s="6">
        <f>IFERROR(_xlfn.LET(_xlpm.x,VLOOKUP($C50,[1]Summary!$A$2:$J$118,7,0),IF(_xlpm.x=0,"",_xlpm.x)),"")</f>
        <v>8.1634119344262288</v>
      </c>
      <c r="X50" s="6" t="str">
        <f>IFERROR(_xlfn.LET(_xlpm.x,VLOOKUP($C50,[1]Summary!$A$2:$J$118,8,0),IF(_xlpm.x=0,"",_xlpm.x)),"")</f>
        <v/>
      </c>
      <c r="Y50" s="6" t="str">
        <f>IFERROR(_xlfn.LET(_xlpm.x,VLOOKUP($C50,[1]Summary!$A$2:$J$118,9,0),IF(_xlpm.x=0,"",_xlpm.x)),"")</f>
        <v/>
      </c>
      <c r="Z50" s="6" t="str">
        <f>IFERROR(_xlfn.LET(_xlpm.x,VLOOKUP($C50,[1]Summary!$A$2:$J$118,10,0),IF(_xlpm.x=0,"",_xlpm.x)),"")</f>
        <v/>
      </c>
    </row>
    <row r="51" spans="1:26" x14ac:dyDescent="0.25">
      <c r="A51" s="2">
        <v>1000000000019</v>
      </c>
      <c r="B51" s="5" t="s">
        <v>123</v>
      </c>
      <c r="C51" s="2">
        <v>3000000000391</v>
      </c>
      <c r="D51" s="5" t="s">
        <v>124</v>
      </c>
      <c r="E51" s="1">
        <v>4</v>
      </c>
      <c r="F51" s="1" t="s">
        <v>54</v>
      </c>
      <c r="G51" s="1">
        <v>4</v>
      </c>
      <c r="H51" s="1">
        <v>2</v>
      </c>
      <c r="I51" s="1">
        <v>2</v>
      </c>
      <c r="J51" s="1"/>
      <c r="K51" s="1">
        <v>50</v>
      </c>
      <c r="L51" s="1" t="str">
        <f>IFERROR(_xlfn.LET(_xlpm.x,VLOOKUP($A51,'[1]Markings Threadings'!$B$3:$L$245,3,0),IF(_xlpm.x=0,"",_xlpm.x)),"")</f>
        <v>White</v>
      </c>
      <c r="M51" s="2">
        <f>IFERROR(_xlfn.LET(_xlpm.x,VLOOKUP($A51,'[1]Markings Threadings'!$B$3:$L$245,7,0),IF(_xlpm.x=0,"",_xlpm.x)),"")</f>
        <v>5000000000547</v>
      </c>
      <c r="N51" s="5" t="str">
        <f>IFERROR(_xlfn.LET(_xlpm.x,VLOOKUP($A51,'[1]Markings Threadings'!$B$3:$L$245,8,0),IF(_xlpm.x=0,"",_xlpm.x)),"")</f>
        <v>v2 - Poultry Express Pre-Lay, 50 Kg</v>
      </c>
      <c r="O51" s="2">
        <f>IFERROR(_xlfn.LET(_xlpm.x,VLOOKUP($A51,'[1]Markings Threadings'!$B$3:$L$245,10,0),IF(_xlpm.x=0,"",_xlpm.x)),"")</f>
        <v>5000000000140</v>
      </c>
      <c r="P51" s="5" t="str">
        <f>IFERROR(_xlfn.LET(_xlpm.x,VLOOKUP($A51,'[1]Markings Threadings'!$B$3:$L$245,11,0),IF(_xlpm.x=0,"",_xlpm.x)),"")</f>
        <v>Tag - P/E Pre-Lay Crumble, 50kg</v>
      </c>
      <c r="Q51" s="1" t="str">
        <f>IFERROR(_xlfn.LET(_xlpm.x,VLOOKUP($A51,'[1]Markings Threadings'!$B$3:$L$245,4,0),IF(_xlpm.x=0,"",_xlpm.x)),"")</f>
        <v/>
      </c>
      <c r="R51" s="1" t="str">
        <f>IFERROR(_xlfn.LET(_xlpm.x,VLOOKUP($A51,'[1]Markings Threadings'!$B$3:$L$245,5,0),IF(_xlpm.x=0,"",_xlpm.x)),"")</f>
        <v/>
      </c>
      <c r="S51" s="1">
        <f>IFERROR(_xlfn.LET(_xlpm.x,VLOOKUP($A51,'[1]Markings Threadings'!$B$3:$L$245,6,0),IF(_xlpm.x=0,"",_xlpm.x)),"")</f>
        <v>1</v>
      </c>
      <c r="T51" s="6" t="str">
        <f>IFERROR(_xlfn.LET(_xlpm.x,VLOOKUP($C51,[1]Summary!$A$2:$J$118,4,0),IF(_xlpm.x=0,"",_xlpm.x)),"")</f>
        <v/>
      </c>
      <c r="U51" s="6" t="str">
        <f>IFERROR(_xlfn.LET(_xlpm.x,VLOOKUP($C51,[1]Summary!$A$2:$J$118,5,0),IF(_xlpm.x=0,"",_xlpm.x)),"")</f>
        <v/>
      </c>
      <c r="V51" s="6" t="str">
        <f>IFERROR(_xlfn.LET(_xlpm.x,VLOOKUP($C51,[1]Summary!$A$2:$J$118,6,0),IF(_xlpm.x=0,"",_xlpm.x)),"")</f>
        <v/>
      </c>
      <c r="W51" s="6">
        <f>IFERROR(_xlfn.LET(_xlpm.x,VLOOKUP($C51,[1]Summary!$A$2:$J$118,7,0),IF(_xlpm.x=0,"",_xlpm.x)),"")</f>
        <v>7.9994880000000101</v>
      </c>
      <c r="X51" s="6" t="str">
        <f>IFERROR(_xlfn.LET(_xlpm.x,VLOOKUP($C51,[1]Summary!$A$2:$J$118,8,0),IF(_xlpm.x=0,"",_xlpm.x)),"")</f>
        <v/>
      </c>
      <c r="Y51" s="6" t="str">
        <f>IFERROR(_xlfn.LET(_xlpm.x,VLOOKUP($C51,[1]Summary!$A$2:$J$118,9,0),IF(_xlpm.x=0,"",_xlpm.x)),"")</f>
        <v/>
      </c>
      <c r="Z51" s="6" t="str">
        <f>IFERROR(_xlfn.LET(_xlpm.x,VLOOKUP($C51,[1]Summary!$A$2:$J$118,10,0),IF(_xlpm.x=0,"",_xlpm.x)),"")</f>
        <v/>
      </c>
    </row>
    <row r="52" spans="1:26" x14ac:dyDescent="0.25">
      <c r="A52" s="2">
        <v>1000000001240</v>
      </c>
      <c r="B52" s="5" t="s">
        <v>125</v>
      </c>
      <c r="C52" s="2">
        <v>3000000000466</v>
      </c>
      <c r="D52" s="5" t="s">
        <v>126</v>
      </c>
      <c r="E52" s="1">
        <v>4</v>
      </c>
      <c r="F52" s="1" t="s">
        <v>54</v>
      </c>
      <c r="G52" s="1">
        <v>4</v>
      </c>
      <c r="H52" s="1">
        <v>2</v>
      </c>
      <c r="I52" s="1">
        <v>2</v>
      </c>
      <c r="J52" s="1"/>
      <c r="K52" s="1">
        <v>50</v>
      </c>
      <c r="L52" s="1" t="str">
        <f>IFERROR(_xlfn.LET(_xlpm.x,VLOOKUP($A52,'[1]Markings Threadings'!$B$3:$L$245,3,0),IF(_xlpm.x=0,"",_xlpm.x)),"")</f>
        <v>Green Yellow</v>
      </c>
      <c r="M52" s="2">
        <f>IFERROR(_xlfn.LET(_xlpm.x,VLOOKUP($A52,'[1]Markings Threadings'!$B$3:$L$245,7,0),IF(_xlpm.x=0,"",_xlpm.x)),"")</f>
        <v>5000000000564</v>
      </c>
      <c r="N52" s="5" t="str">
        <f>IFERROR(_xlfn.LET(_xlpm.x,VLOOKUP($A52,'[1]Markings Threadings'!$B$3:$L$245,8,0),IF(_xlpm.x=0,"",_xlpm.x)),"")</f>
        <v>v2 - Poultry Solutions Layer 1, 50kg</v>
      </c>
      <c r="O52" s="2">
        <f>IFERROR(_xlfn.LET(_xlpm.x,VLOOKUP($A52,'[1]Markings Threadings'!$B$3:$L$245,10,0),IF(_xlpm.x=0,"",_xlpm.x)),"")</f>
        <v>5000000000116</v>
      </c>
      <c r="P52" s="5" t="str">
        <f>IFERROR(_xlfn.LET(_xlpm.x,VLOOKUP($A52,'[1]Markings Threadings'!$B$3:$L$245,11,0),IF(_xlpm.x=0,"",_xlpm.x)),"")</f>
        <v>Tag - Poultry Solutions Chicken Layer 1 Crumble</v>
      </c>
      <c r="Q52" s="1" t="str">
        <f>IFERROR(_xlfn.LET(_xlpm.x,VLOOKUP($A52,'[1]Markings Threadings'!$B$3:$L$245,4,0),IF(_xlpm.x=0,"",_xlpm.x)),"")</f>
        <v>1240 L -1</v>
      </c>
      <c r="R52" s="1" t="str">
        <f>IFERROR(_xlfn.LET(_xlpm.x,VLOOKUP($A52,'[1]Markings Threadings'!$B$3:$L$245,5,0),IF(_xlpm.x=0,"",_xlpm.x)),"")</f>
        <v/>
      </c>
      <c r="S52" s="1">
        <f>IFERROR(_xlfn.LET(_xlpm.x,VLOOKUP($A52,'[1]Markings Threadings'!$B$3:$L$245,6,0),IF(_xlpm.x=0,"",_xlpm.x)),"")</f>
        <v>8</v>
      </c>
      <c r="T52" s="6" t="str">
        <f>IFERROR(_xlfn.LET(_xlpm.x,VLOOKUP($C52,[1]Summary!$A$2:$J$118,4,0),IF(_xlpm.x=0,"",_xlpm.x)),"")</f>
        <v/>
      </c>
      <c r="U52" s="6" t="str">
        <f>IFERROR(_xlfn.LET(_xlpm.x,VLOOKUP($C52,[1]Summary!$A$2:$J$118,5,0),IF(_xlpm.x=0,"",_xlpm.x)),"")</f>
        <v/>
      </c>
      <c r="V52" s="6" t="str">
        <f>IFERROR(_xlfn.LET(_xlpm.x,VLOOKUP($C52,[1]Summary!$A$2:$J$118,6,0),IF(_xlpm.x=0,"",_xlpm.x)),"")</f>
        <v/>
      </c>
      <c r="W52" s="6">
        <f>IFERROR(_xlfn.LET(_xlpm.x,VLOOKUP($C52,[1]Summary!$A$2:$J$118,7,0),IF(_xlpm.x=0,"",_xlpm.x)),"")</f>
        <v>8.6148332307692339</v>
      </c>
      <c r="X52" s="6" t="str">
        <f>IFERROR(_xlfn.LET(_xlpm.x,VLOOKUP($C52,[1]Summary!$A$2:$J$118,8,0),IF(_xlpm.x=0,"",_xlpm.x)),"")</f>
        <v/>
      </c>
      <c r="Y52" s="6">
        <f>IFERROR(_xlfn.LET(_xlpm.x,VLOOKUP($C52,[1]Summary!$A$2:$J$118,9,0),IF(_xlpm.x=0,"",_xlpm.x)),"")</f>
        <v>8.0119872000000001</v>
      </c>
      <c r="Z52" s="6" t="str">
        <f>IFERROR(_xlfn.LET(_xlpm.x,VLOOKUP($C52,[1]Summary!$A$2:$J$118,10,0),IF(_xlpm.x=0,"",_xlpm.x)),"")</f>
        <v/>
      </c>
    </row>
    <row r="53" spans="1:26" x14ac:dyDescent="0.25">
      <c r="A53" s="2">
        <v>1000000001257</v>
      </c>
      <c r="B53" s="5" t="s">
        <v>127</v>
      </c>
      <c r="C53" s="2">
        <v>3000000000464</v>
      </c>
      <c r="D53" s="5" t="s">
        <v>128</v>
      </c>
      <c r="E53" s="1"/>
      <c r="F53" s="1" t="s">
        <v>44</v>
      </c>
      <c r="G53" s="1">
        <v>3</v>
      </c>
      <c r="H53" s="1">
        <v>2</v>
      </c>
      <c r="I53" s="1">
        <v>2</v>
      </c>
      <c r="J53" s="1"/>
      <c r="K53" s="1">
        <v>50</v>
      </c>
      <c r="L53" s="1" t="str">
        <f>IFERROR(_xlfn.LET(_xlpm.x,VLOOKUP($A53,'[1]Markings Threadings'!$B$3:$L$245,3,0),IF(_xlpm.x=0,"",_xlpm.x)),"")</f>
        <v>Orange</v>
      </c>
      <c r="M53" s="2">
        <f>IFERROR(_xlfn.LET(_xlpm.x,VLOOKUP($A53,'[1]Markings Threadings'!$B$3:$L$245,7,0),IF(_xlpm.x=0,"",_xlpm.x)),"")</f>
        <v>5000000000565</v>
      </c>
      <c r="N53" s="5" t="str">
        <f>IFERROR(_xlfn.LET(_xlpm.x,VLOOKUP($A53,'[1]Markings Threadings'!$B$3:$L$245,8,0),IF(_xlpm.x=0,"",_xlpm.x)),"")</f>
        <v>v2 - Poultry Solutions Layer 2 50kg.</v>
      </c>
      <c r="O53" s="2">
        <f>IFERROR(_xlfn.LET(_xlpm.x,VLOOKUP($A53,'[1]Markings Threadings'!$B$3:$L$245,10,0),IF(_xlpm.x=0,"",_xlpm.x)),"")</f>
        <v>5000000000117</v>
      </c>
      <c r="P53" s="5" t="str">
        <f>IFERROR(_xlfn.LET(_xlpm.x,VLOOKUP($A53,'[1]Markings Threadings'!$B$3:$L$245,11,0),IF(_xlpm.x=0,"",_xlpm.x)),"")</f>
        <v>Tag Poultry Solution Chicken Layer II (C)</v>
      </c>
      <c r="Q53" s="1" t="str">
        <f>IFERROR(_xlfn.LET(_xlpm.x,VLOOKUP($A53,'[1]Markings Threadings'!$B$3:$L$245,4,0),IF(_xlpm.x=0,"",_xlpm.x)),"")</f>
        <v>1257 PS L 2</v>
      </c>
      <c r="R53" s="1" t="str">
        <f>IFERROR(_xlfn.LET(_xlpm.x,VLOOKUP($A53,'[1]Markings Threadings'!$B$3:$L$245,5,0),IF(_xlpm.x=0,"",_xlpm.x)),"")</f>
        <v/>
      </c>
      <c r="S53" s="1">
        <f>IFERROR(_xlfn.LET(_xlpm.x,VLOOKUP($A53,'[1]Markings Threadings'!$B$3:$L$245,6,0),IF(_xlpm.x=0,"",_xlpm.x)),"")</f>
        <v>7</v>
      </c>
      <c r="T53" s="6" t="str">
        <f>IFERROR(_xlfn.LET(_xlpm.x,VLOOKUP($C53,[1]Summary!$A$2:$J$118,4,0),IF(_xlpm.x=0,"",_xlpm.x)),"")</f>
        <v/>
      </c>
      <c r="U53" s="6" t="str">
        <f>IFERROR(_xlfn.LET(_xlpm.x,VLOOKUP($C53,[1]Summary!$A$2:$J$118,5,0),IF(_xlpm.x=0,"",_xlpm.x)),"")</f>
        <v/>
      </c>
      <c r="V53" s="6" t="str">
        <f>IFERROR(_xlfn.LET(_xlpm.x,VLOOKUP($C53,[1]Summary!$A$2:$J$118,6,0),IF(_xlpm.x=0,"",_xlpm.x)),"")</f>
        <v/>
      </c>
      <c r="W53" s="6" t="str">
        <f>IFERROR(_xlfn.LET(_xlpm.x,VLOOKUP($C53,[1]Summary!$A$2:$J$118,7,0),IF(_xlpm.x=0,"",_xlpm.x)),"")</f>
        <v/>
      </c>
      <c r="X53" s="6" t="str">
        <f>IFERROR(_xlfn.LET(_xlpm.x,VLOOKUP($C53,[1]Summary!$A$2:$J$118,8,0),IF(_xlpm.x=0,"",_xlpm.x)),"")</f>
        <v/>
      </c>
      <c r="Y53" s="6" t="str">
        <f>IFERROR(_xlfn.LET(_xlpm.x,VLOOKUP($C53,[1]Summary!$A$2:$J$118,9,0),IF(_xlpm.x=0,"",_xlpm.x)),"")</f>
        <v/>
      </c>
      <c r="Z53" s="6" t="str">
        <f>IFERROR(_xlfn.LET(_xlpm.x,VLOOKUP($C53,[1]Summary!$A$2:$J$118,10,0),IF(_xlpm.x=0,"",_xlpm.x)),"")</f>
        <v/>
      </c>
    </row>
    <row r="54" spans="1:26" x14ac:dyDescent="0.25">
      <c r="A54" s="2">
        <v>1000000000012</v>
      </c>
      <c r="B54" s="5" t="s">
        <v>129</v>
      </c>
      <c r="C54" s="2">
        <v>3000000000332</v>
      </c>
      <c r="D54" s="5" t="s">
        <v>130</v>
      </c>
      <c r="E54" s="1">
        <v>3</v>
      </c>
      <c r="F54" s="1" t="s">
        <v>67</v>
      </c>
      <c r="G54" s="1">
        <v>4</v>
      </c>
      <c r="H54" s="1">
        <v>2</v>
      </c>
      <c r="I54" s="1">
        <v>2</v>
      </c>
      <c r="J54" s="1"/>
      <c r="K54" s="1">
        <v>50</v>
      </c>
      <c r="L54" s="1" t="str">
        <f>IFERROR(_xlfn.LET(_xlpm.x,VLOOKUP($A54,'[1]Markings Threadings'!$B$3:$L$245,3,0),IF(_xlpm.x=0,"",_xlpm.x)),"")</f>
        <v>White Yellow</v>
      </c>
      <c r="M54" s="2">
        <f>IFERROR(_xlfn.LET(_xlpm.x,VLOOKUP($A54,'[1]Markings Threadings'!$B$3:$L$245,7,0),IF(_xlpm.x=0,"",_xlpm.x)),"")</f>
        <v>5000000000558</v>
      </c>
      <c r="N54" s="5" t="str">
        <f>IFERROR(_xlfn.LET(_xlpm.x,VLOOKUP($A54,'[1]Markings Threadings'!$B$3:$L$245,8,0),IF(_xlpm.x=0,"",_xlpm.x)),"")</f>
        <v>v2 - Poultry Solutions Broiler Starter, 50kg</v>
      </c>
      <c r="O54" s="2">
        <f>IFERROR(_xlfn.LET(_xlpm.x,VLOOKUP($A54,'[1]Markings Threadings'!$B$3:$L$245,10,0),IF(_xlpm.x=0,"",_xlpm.x)),"")</f>
        <v>5000000000113</v>
      </c>
      <c r="P54" s="5" t="str">
        <f>IFERROR(_xlfn.LET(_xlpm.x,VLOOKUP($A54,'[1]Markings Threadings'!$B$3:$L$245,11,0),IF(_xlpm.x=0,"",_xlpm.x)),"")</f>
        <v>Tag - Poultry Solutions Broiler Starter Crumble</v>
      </c>
      <c r="Q54" s="1" t="str">
        <f>IFERROR(_xlfn.LET(_xlpm.x,VLOOKUP($A54,'[1]Markings Threadings'!$B$3:$L$245,4,0),IF(_xlpm.x=0,"",_xlpm.x)),"")</f>
        <v>012 MD</v>
      </c>
      <c r="R54" s="1" t="str">
        <f>IFERROR(_xlfn.LET(_xlpm.x,VLOOKUP($A54,'[1]Markings Threadings'!$B$3:$L$245,5,0),IF(_xlpm.x=0,"",_xlpm.x)),"")</f>
        <v/>
      </c>
      <c r="S54" s="1">
        <f>IFERROR(_xlfn.LET(_xlpm.x,VLOOKUP($A54,'[1]Markings Threadings'!$B$3:$L$245,6,0),IF(_xlpm.x=0,"",_xlpm.x)),"")</f>
        <v>7</v>
      </c>
      <c r="T54" s="6" t="str">
        <f>IFERROR(_xlfn.LET(_xlpm.x,VLOOKUP($C54,[1]Summary!$A$2:$J$118,4,0),IF(_xlpm.x=0,"",_xlpm.x)),"")</f>
        <v/>
      </c>
      <c r="U54" s="6" t="str">
        <f>IFERROR(_xlfn.LET(_xlpm.x,VLOOKUP($C54,[1]Summary!$A$2:$J$118,5,0),IF(_xlpm.x=0,"",_xlpm.x)),"")</f>
        <v/>
      </c>
      <c r="V54" s="6">
        <f>IFERROR(_xlfn.LET(_xlpm.x,VLOOKUP($C54,[1]Summary!$A$2:$J$118,6,0),IF(_xlpm.x=0,"",_xlpm.x)),"")</f>
        <v>7.3654889180740462</v>
      </c>
      <c r="W54" s="6">
        <f>IFERROR(_xlfn.LET(_xlpm.x,VLOOKUP($C54,[1]Summary!$A$2:$J$118,7,0),IF(_xlpm.x=0,"",_xlpm.x)),"")</f>
        <v>7.7137920000000006</v>
      </c>
      <c r="X54" s="6" t="str">
        <f>IFERROR(_xlfn.LET(_xlpm.x,VLOOKUP($C54,[1]Summary!$A$2:$J$118,8,0),IF(_xlpm.x=0,"",_xlpm.x)),"")</f>
        <v/>
      </c>
      <c r="Y54" s="6" t="str">
        <f>IFERROR(_xlfn.LET(_xlpm.x,VLOOKUP($C54,[1]Summary!$A$2:$J$118,9,0),IF(_xlpm.x=0,"",_xlpm.x)),"")</f>
        <v/>
      </c>
      <c r="Z54" s="6" t="str">
        <f>IFERROR(_xlfn.LET(_xlpm.x,VLOOKUP($C54,[1]Summary!$A$2:$J$118,10,0),IF(_xlpm.x=0,"",_xlpm.x)),"")</f>
        <v/>
      </c>
    </row>
    <row r="55" spans="1:26" x14ac:dyDescent="0.25">
      <c r="A55" s="2">
        <v>1000000000018</v>
      </c>
      <c r="B55" s="5" t="s">
        <v>131</v>
      </c>
      <c r="C55" s="2">
        <v>3000000000364</v>
      </c>
      <c r="D55" s="5" t="s">
        <v>132</v>
      </c>
      <c r="E55" s="1">
        <v>4</v>
      </c>
      <c r="F55" s="1" t="s">
        <v>28</v>
      </c>
      <c r="G55" s="1">
        <v>4</v>
      </c>
      <c r="H55" s="1">
        <v>2</v>
      </c>
      <c r="I55" s="1">
        <v>2</v>
      </c>
      <c r="J55" s="1"/>
      <c r="K55" s="1">
        <v>50</v>
      </c>
      <c r="L55" s="1" t="str">
        <f>IFERROR(_xlfn.LET(_xlpm.x,VLOOKUP($A55,'[1]Markings Threadings'!$B$3:$L$245,3,0),IF(_xlpm.x=0,"",_xlpm.x)),"")</f>
        <v/>
      </c>
      <c r="M55" s="2" t="str">
        <f>IFERROR(_xlfn.LET(_xlpm.x,VLOOKUP($A55,'[1]Markings Threadings'!$B$3:$L$245,7,0),IF(_xlpm.x=0,"",_xlpm.x)),"")</f>
        <v/>
      </c>
      <c r="N55" s="5" t="str">
        <f>IFERROR(_xlfn.LET(_xlpm.x,VLOOKUP($A55,'[1]Markings Threadings'!$B$3:$L$245,8,0),IF(_xlpm.x=0,"",_xlpm.x)),"")</f>
        <v/>
      </c>
      <c r="O55" s="2" t="str">
        <f>IFERROR(_xlfn.LET(_xlpm.x,VLOOKUP($A55,'[1]Markings Threadings'!$B$3:$L$245,10,0),IF(_xlpm.x=0,"",_xlpm.x)),"")</f>
        <v/>
      </c>
      <c r="P55" s="5" t="str">
        <f>IFERROR(_xlfn.LET(_xlpm.x,VLOOKUP($A55,'[1]Markings Threadings'!$B$3:$L$245,11,0),IF(_xlpm.x=0,"",_xlpm.x)),"")</f>
        <v/>
      </c>
      <c r="Q55" s="1" t="str">
        <f>IFERROR(_xlfn.LET(_xlpm.x,VLOOKUP($A55,'[1]Markings Threadings'!$B$3:$L$245,4,0),IF(_xlpm.x=0,"",_xlpm.x)),"")</f>
        <v/>
      </c>
      <c r="R55" s="1" t="str">
        <f>IFERROR(_xlfn.LET(_xlpm.x,VLOOKUP($A55,'[1]Markings Threadings'!$B$3:$L$245,5,0),IF(_xlpm.x=0,"",_xlpm.x)),"")</f>
        <v/>
      </c>
      <c r="S55" s="1" t="str">
        <f>IFERROR(_xlfn.LET(_xlpm.x,VLOOKUP($A55,'[1]Markings Threadings'!$B$3:$L$245,6,0),IF(_xlpm.x=0,"",_xlpm.x)),"")</f>
        <v/>
      </c>
      <c r="T55" s="6" t="str">
        <f>IFERROR(_xlfn.LET(_xlpm.x,VLOOKUP($C55,[1]Summary!$A$2:$J$118,4,0),IF(_xlpm.x=0,"",_xlpm.x)),"")</f>
        <v/>
      </c>
      <c r="U55" s="6" t="str">
        <f>IFERROR(_xlfn.LET(_xlpm.x,VLOOKUP($C55,[1]Summary!$A$2:$J$118,5,0),IF(_xlpm.x=0,"",_xlpm.x)),"")</f>
        <v/>
      </c>
      <c r="V55" s="6" t="str">
        <f>IFERROR(_xlfn.LET(_xlpm.x,VLOOKUP($C55,[1]Summary!$A$2:$J$118,6,0),IF(_xlpm.x=0,"",_xlpm.x)),"")</f>
        <v/>
      </c>
      <c r="W55" s="6" t="str">
        <f>IFERROR(_xlfn.LET(_xlpm.x,VLOOKUP($C55,[1]Summary!$A$2:$J$118,7,0),IF(_xlpm.x=0,"",_xlpm.x)),"")</f>
        <v/>
      </c>
      <c r="X55" s="6" t="str">
        <f>IFERROR(_xlfn.LET(_xlpm.x,VLOOKUP($C55,[1]Summary!$A$2:$J$118,8,0),IF(_xlpm.x=0,"",_xlpm.x)),"")</f>
        <v/>
      </c>
      <c r="Y55" s="6" t="str">
        <f>IFERROR(_xlfn.LET(_xlpm.x,VLOOKUP($C55,[1]Summary!$A$2:$J$118,9,0),IF(_xlpm.x=0,"",_xlpm.x)),"")</f>
        <v/>
      </c>
      <c r="Z55" s="6" t="str">
        <f>IFERROR(_xlfn.LET(_xlpm.x,VLOOKUP($C55,[1]Summary!$A$2:$J$118,10,0),IF(_xlpm.x=0,"",_xlpm.x)),"")</f>
        <v/>
      </c>
    </row>
    <row r="56" spans="1:26" x14ac:dyDescent="0.25">
      <c r="A56" s="2">
        <v>1000000001252</v>
      </c>
      <c r="B56" s="5" t="s">
        <v>133</v>
      </c>
      <c r="C56" s="2">
        <v>3000000000182</v>
      </c>
      <c r="D56" s="5" t="s">
        <v>134</v>
      </c>
      <c r="E56" s="1"/>
      <c r="F56" s="1" t="s">
        <v>44</v>
      </c>
      <c r="G56" s="1">
        <v>4</v>
      </c>
      <c r="H56" s="1">
        <v>2</v>
      </c>
      <c r="I56" s="1">
        <v>2</v>
      </c>
      <c r="J56" s="1"/>
      <c r="K56" s="1">
        <v>50</v>
      </c>
      <c r="L56" s="1" t="str">
        <f>IFERROR(_xlfn.LET(_xlpm.x,VLOOKUP($A56,'[1]Markings Threadings'!$B$3:$L$245,3,0),IF(_xlpm.x=0,"",_xlpm.x)),"")</f>
        <v>Orange</v>
      </c>
      <c r="M56" s="2">
        <f>IFERROR(_xlfn.LET(_xlpm.x,VLOOKUP($A56,'[1]Markings Threadings'!$B$3:$L$245,7,0),IF(_xlpm.x=0,"",_xlpm.x)),"")</f>
        <v>5000000000561</v>
      </c>
      <c r="N56" s="5" t="str">
        <f>IFERROR(_xlfn.LET(_xlpm.x,VLOOKUP($A56,'[1]Markings Threadings'!$B$3:$L$245,8,0),IF(_xlpm.x=0,"",_xlpm.x)),"")</f>
        <v>v2 - Poultry Solutions Chick Starter, 50</v>
      </c>
      <c r="O56" s="2">
        <f>IFERROR(_xlfn.LET(_xlpm.x,VLOOKUP($A56,'[1]Markings Threadings'!$B$3:$L$245,10,0),IF(_xlpm.x=0,"",_xlpm.x)),"")</f>
        <v>5000000000125</v>
      </c>
      <c r="P56" s="5" t="str">
        <f>IFERROR(_xlfn.LET(_xlpm.x,VLOOKUP($A56,'[1]Markings Threadings'!$B$3:$L$245,11,0),IF(_xlpm.x=0,"",_xlpm.x)),"")</f>
        <v>Tag - Poultry Solutions Chick Starter Crumble</v>
      </c>
      <c r="Q56" s="1" t="str">
        <f>IFERROR(_xlfn.LET(_xlpm.x,VLOOKUP($A56,'[1]Markings Threadings'!$B$3:$L$245,4,0),IF(_xlpm.x=0,"",_xlpm.x)),"")</f>
        <v>1252 - CHK STR</v>
      </c>
      <c r="R56" s="1" t="str">
        <f>IFERROR(_xlfn.LET(_xlpm.x,VLOOKUP($A56,'[1]Markings Threadings'!$B$3:$L$245,5,0),IF(_xlpm.x=0,"",_xlpm.x)),"")</f>
        <v/>
      </c>
      <c r="S56" s="1">
        <f>IFERROR(_xlfn.LET(_xlpm.x,VLOOKUP($A56,'[1]Markings Threadings'!$B$3:$L$245,6,0),IF(_xlpm.x=0,"",_xlpm.x)),"")</f>
        <v>15</v>
      </c>
      <c r="T56" s="6" t="str">
        <f>IFERROR(_xlfn.LET(_xlpm.x,VLOOKUP($C56,[1]Summary!$A$2:$J$118,4,0),IF(_xlpm.x=0,"",_xlpm.x)),"")</f>
        <v/>
      </c>
      <c r="U56" s="6" t="str">
        <f>IFERROR(_xlfn.LET(_xlpm.x,VLOOKUP($C56,[1]Summary!$A$2:$J$118,5,0),IF(_xlpm.x=0,"",_xlpm.x)),"")</f>
        <v/>
      </c>
      <c r="V56" s="6" t="str">
        <f>IFERROR(_xlfn.LET(_xlpm.x,VLOOKUP($C56,[1]Summary!$A$2:$J$118,6,0),IF(_xlpm.x=0,"",_xlpm.x)),"")</f>
        <v/>
      </c>
      <c r="W56" s="6" t="str">
        <f>IFERROR(_xlfn.LET(_xlpm.x,VLOOKUP($C56,[1]Summary!$A$2:$J$118,7,0),IF(_xlpm.x=0,"",_xlpm.x)),"")</f>
        <v/>
      </c>
      <c r="X56" s="6" t="str">
        <f>IFERROR(_xlfn.LET(_xlpm.x,VLOOKUP($C56,[1]Summary!$A$2:$J$118,8,0),IF(_xlpm.x=0,"",_xlpm.x)),"")</f>
        <v/>
      </c>
      <c r="Y56" s="6" t="str">
        <f>IFERROR(_xlfn.LET(_xlpm.x,VLOOKUP($C56,[1]Summary!$A$2:$J$118,9,0),IF(_xlpm.x=0,"",_xlpm.x)),"")</f>
        <v/>
      </c>
      <c r="Z56" s="6" t="str">
        <f>IFERROR(_xlfn.LET(_xlpm.x,VLOOKUP($C56,[1]Summary!$A$2:$J$118,10,0),IF(_xlpm.x=0,"",_xlpm.x)),"")</f>
        <v/>
      </c>
    </row>
    <row r="57" spans="1:26" x14ac:dyDescent="0.25">
      <c r="A57" s="2">
        <v>1000000001254</v>
      </c>
      <c r="B57" s="5" t="s">
        <v>135</v>
      </c>
      <c r="C57" s="2">
        <v>3000000000186</v>
      </c>
      <c r="D57" s="5" t="s">
        <v>136</v>
      </c>
      <c r="E57" s="1">
        <v>4</v>
      </c>
      <c r="F57" s="1" t="s">
        <v>67</v>
      </c>
      <c r="G57" s="1">
        <v>2</v>
      </c>
      <c r="H57" s="1">
        <v>2</v>
      </c>
      <c r="I57" s="1">
        <v>2</v>
      </c>
      <c r="J57" s="1"/>
      <c r="K57" s="1">
        <v>50</v>
      </c>
      <c r="L57" s="1" t="str">
        <f>IFERROR(_xlfn.LET(_xlpm.x,VLOOKUP($A57,'[1]Markings Threadings'!$B$3:$L$245,3,0),IF(_xlpm.x=0,"",_xlpm.x)),"")</f>
        <v>Orange</v>
      </c>
      <c r="M57" s="2">
        <f>IFERROR(_xlfn.LET(_xlpm.x,VLOOKUP($A57,'[1]Markings Threadings'!$B$3:$L$245,7,0),IF(_xlpm.x=0,"",_xlpm.x)),"")</f>
        <v>5000000000562</v>
      </c>
      <c r="N57" s="5" t="str">
        <f>IFERROR(_xlfn.LET(_xlpm.x,VLOOKUP($A57,'[1]Markings Threadings'!$B$3:$L$245,8,0),IF(_xlpm.x=0,"",_xlpm.x)),"")</f>
        <v>Sack Poultry Sol Chick Growex 1, 50kg</v>
      </c>
      <c r="O57" s="2">
        <f>IFERROR(_xlfn.LET(_xlpm.x,VLOOKUP($A57,'[1]Markings Threadings'!$B$3:$L$245,10,0),IF(_xlpm.x=0,"",_xlpm.x)),"")</f>
        <v>5000000000122</v>
      </c>
      <c r="P57" s="5" t="str">
        <f>IFERROR(_xlfn.LET(_xlpm.x,VLOOKUP($A57,'[1]Markings Threadings'!$B$3:$L$245,11,0),IF(_xlpm.x=0,"",_xlpm.x)),"")</f>
        <v>Tag - Poultry Solutions Chick Grower 1 Crumble</v>
      </c>
      <c r="Q57" s="1" t="str">
        <f>IFERROR(_xlfn.LET(_xlpm.x,VLOOKUP($A57,'[1]Markings Threadings'!$B$3:$L$245,4,0),IF(_xlpm.x=0,"",_xlpm.x)),"")</f>
        <v>1254 CG 2</v>
      </c>
      <c r="R57" s="1" t="str">
        <f>IFERROR(_xlfn.LET(_xlpm.x,VLOOKUP($A57,'[1]Markings Threadings'!$B$3:$L$245,5,0),IF(_xlpm.x=0,"",_xlpm.x)),"")</f>
        <v/>
      </c>
      <c r="S57" s="1">
        <f>IFERROR(_xlfn.LET(_xlpm.x,VLOOKUP($A57,'[1]Markings Threadings'!$B$3:$L$245,6,0),IF(_xlpm.x=0,"",_xlpm.x)),"")</f>
        <v>14</v>
      </c>
      <c r="T57" s="6" t="str">
        <f>IFERROR(_xlfn.LET(_xlpm.x,VLOOKUP($C57,[1]Summary!$A$2:$J$118,4,0),IF(_xlpm.x=0,"",_xlpm.x)),"")</f>
        <v/>
      </c>
      <c r="U57" s="6" t="str">
        <f>IFERROR(_xlfn.LET(_xlpm.x,VLOOKUP($C57,[1]Summary!$A$2:$J$118,5,0),IF(_xlpm.x=0,"",_xlpm.x)),"")</f>
        <v/>
      </c>
      <c r="V57" s="6" t="str">
        <f>IFERROR(_xlfn.LET(_xlpm.x,VLOOKUP($C57,[1]Summary!$A$2:$J$118,6,0),IF(_xlpm.x=0,"",_xlpm.x)),"")</f>
        <v/>
      </c>
      <c r="W57" s="6" t="str">
        <f>IFERROR(_xlfn.LET(_xlpm.x,VLOOKUP($C57,[1]Summary!$A$2:$J$118,7,0),IF(_xlpm.x=0,"",_xlpm.x)),"")</f>
        <v/>
      </c>
      <c r="X57" s="6" t="str">
        <f>IFERROR(_xlfn.LET(_xlpm.x,VLOOKUP($C57,[1]Summary!$A$2:$J$118,8,0),IF(_xlpm.x=0,"",_xlpm.x)),"")</f>
        <v/>
      </c>
      <c r="Y57" s="6" t="str">
        <f>IFERROR(_xlfn.LET(_xlpm.x,VLOOKUP($C57,[1]Summary!$A$2:$J$118,9,0),IF(_xlpm.x=0,"",_xlpm.x)),"")</f>
        <v/>
      </c>
      <c r="Z57" s="6" t="str">
        <f>IFERROR(_xlfn.LET(_xlpm.x,VLOOKUP($C57,[1]Summary!$A$2:$J$118,10,0),IF(_xlpm.x=0,"",_xlpm.x)),"")</f>
        <v/>
      </c>
    </row>
    <row r="58" spans="1:26" x14ac:dyDescent="0.25">
      <c r="A58" s="2">
        <v>1000000000736</v>
      </c>
      <c r="B58" s="5" t="s">
        <v>137</v>
      </c>
      <c r="C58" s="2">
        <v>3000000000172</v>
      </c>
      <c r="D58" s="5" t="s">
        <v>138</v>
      </c>
      <c r="E58" s="1">
        <v>4</v>
      </c>
      <c r="F58" s="1" t="s">
        <v>54</v>
      </c>
      <c r="G58" s="1">
        <v>2</v>
      </c>
      <c r="H58" s="1">
        <v>2</v>
      </c>
      <c r="I58" s="1">
        <v>2</v>
      </c>
      <c r="J58" s="1"/>
      <c r="K58" s="1">
        <v>50</v>
      </c>
      <c r="L58" s="1" t="str">
        <f>IFERROR(_xlfn.LET(_xlpm.x,VLOOKUP($A58,'[1]Markings Threadings'!$B$3:$L$245,3,0),IF(_xlpm.x=0,"",_xlpm.x)),"")</f>
        <v>Blue</v>
      </c>
      <c r="M58" s="2">
        <f>IFERROR(_xlfn.LET(_xlpm.x,VLOOKUP($A58,'[1]Markings Threadings'!$B$3:$L$245,7,0),IF(_xlpm.x=0,"",_xlpm.x)),"")</f>
        <v>5000000000565</v>
      </c>
      <c r="N58" s="5" t="str">
        <f>IFERROR(_xlfn.LET(_xlpm.x,VLOOKUP($A58,'[1]Markings Threadings'!$B$3:$L$245,8,0),IF(_xlpm.x=0,"",_xlpm.x)),"")</f>
        <v>v2 - Poultry Solutions Layer 2 50kg.</v>
      </c>
      <c r="O58" s="2">
        <f>IFERROR(_xlfn.LET(_xlpm.x,VLOOKUP($A58,'[1]Markings Threadings'!$B$3:$L$245,10,0),IF(_xlpm.x=0,"",_xlpm.x)),"")</f>
        <v>5000000000117</v>
      </c>
      <c r="P58" s="5" t="str">
        <f>IFERROR(_xlfn.LET(_xlpm.x,VLOOKUP($A58,'[1]Markings Threadings'!$B$3:$L$245,11,0),IF(_xlpm.x=0,"",_xlpm.x)),"")</f>
        <v>Tag Poultry Solution Chicken Layer II (C)</v>
      </c>
      <c r="Q58" s="1" t="str">
        <f>IFERROR(_xlfn.LET(_xlpm.x,VLOOKUP($A58,'[1]Markings Threadings'!$B$3:$L$245,4,0),IF(_xlpm.x=0,"",_xlpm.x)),"")</f>
        <v>736 PS L-2</v>
      </c>
      <c r="R58" s="1" t="str">
        <f>IFERROR(_xlfn.LET(_xlpm.x,VLOOKUP($A58,'[1]Markings Threadings'!$B$3:$L$245,5,0),IF(_xlpm.x=0,"",_xlpm.x)),"")</f>
        <v/>
      </c>
      <c r="S58" s="1">
        <f>IFERROR(_xlfn.LET(_xlpm.x,VLOOKUP($A58,'[1]Markings Threadings'!$B$3:$L$245,6,0),IF(_xlpm.x=0,"",_xlpm.x)),"")</f>
        <v>7</v>
      </c>
      <c r="T58" s="6" t="str">
        <f>IFERROR(_xlfn.LET(_xlpm.x,VLOOKUP($C58,[1]Summary!$A$2:$J$118,4,0),IF(_xlpm.x=0,"",_xlpm.x)),"")</f>
        <v/>
      </c>
      <c r="U58" s="6" t="str">
        <f>IFERROR(_xlfn.LET(_xlpm.x,VLOOKUP($C58,[1]Summary!$A$2:$J$118,5,0),IF(_xlpm.x=0,"",_xlpm.x)),"")</f>
        <v/>
      </c>
      <c r="V58" s="6">
        <f>IFERROR(_xlfn.LET(_xlpm.x,VLOOKUP($C58,[1]Summary!$A$2:$J$118,6,0),IF(_xlpm.x=0,"",_xlpm.x)),"")</f>
        <v>7.774150309859154</v>
      </c>
      <c r="W58" s="6">
        <f>IFERROR(_xlfn.LET(_xlpm.x,VLOOKUP($C58,[1]Summary!$A$2:$J$118,7,0),IF(_xlpm.x=0,"",_xlpm.x)),"")</f>
        <v>8.5802368558951958</v>
      </c>
      <c r="X58" s="6" t="str">
        <f>IFERROR(_xlfn.LET(_xlpm.x,VLOOKUP($C58,[1]Summary!$A$2:$J$118,8,0),IF(_xlpm.x=0,"",_xlpm.x)),"")</f>
        <v/>
      </c>
      <c r="Y58" s="6" t="str">
        <f>IFERROR(_xlfn.LET(_xlpm.x,VLOOKUP($C58,[1]Summary!$A$2:$J$118,9,0),IF(_xlpm.x=0,"",_xlpm.x)),"")</f>
        <v/>
      </c>
      <c r="Z58" s="6" t="str">
        <f>IFERROR(_xlfn.LET(_xlpm.x,VLOOKUP($C58,[1]Summary!$A$2:$J$118,10,0),IF(_xlpm.x=0,"",_xlpm.x)),"")</f>
        <v/>
      </c>
    </row>
    <row r="59" spans="1:26" x14ac:dyDescent="0.25">
      <c r="A59" s="2">
        <v>1000000001253</v>
      </c>
      <c r="B59" s="5" t="s">
        <v>139</v>
      </c>
      <c r="C59" s="2">
        <v>3000000000184</v>
      </c>
      <c r="D59" s="5" t="s">
        <v>140</v>
      </c>
      <c r="E59" s="1"/>
      <c r="F59" s="1" t="s">
        <v>44</v>
      </c>
      <c r="G59" s="1">
        <v>4</v>
      </c>
      <c r="H59" s="1">
        <v>2</v>
      </c>
      <c r="I59" s="1">
        <v>2</v>
      </c>
      <c r="J59" s="1"/>
      <c r="K59" s="1">
        <v>50</v>
      </c>
      <c r="L59" s="1" t="str">
        <f>IFERROR(_xlfn.LET(_xlpm.x,VLOOKUP($A59,'[1]Markings Threadings'!$B$3:$L$245,3,0),IF(_xlpm.x=0,"",_xlpm.x)),"")</f>
        <v>Orange Green</v>
      </c>
      <c r="M59" s="2">
        <f>IFERROR(_xlfn.LET(_xlpm.x,VLOOKUP($A59,'[1]Markings Threadings'!$B$3:$L$245,7,0),IF(_xlpm.x=0,"",_xlpm.x)),"")</f>
        <v>5000000000562</v>
      </c>
      <c r="N59" s="5" t="str">
        <f>IFERROR(_xlfn.LET(_xlpm.x,VLOOKUP($A59,'[1]Markings Threadings'!$B$3:$L$245,8,0),IF(_xlpm.x=0,"",_xlpm.x)),"")</f>
        <v>Sack Poultry Sol Chick Growex 1, 50kg</v>
      </c>
      <c r="O59" s="2">
        <f>IFERROR(_xlfn.LET(_xlpm.x,VLOOKUP($A59,'[1]Markings Threadings'!$B$3:$L$245,10,0),IF(_xlpm.x=0,"",_xlpm.x)),"")</f>
        <v>5000000000122</v>
      </c>
      <c r="P59" s="5" t="str">
        <f>IFERROR(_xlfn.LET(_xlpm.x,VLOOKUP($A59,'[1]Markings Threadings'!$B$3:$L$245,11,0),IF(_xlpm.x=0,"",_xlpm.x)),"")</f>
        <v>Tag - Poultry Solutions Chick Grower 1 Crumble</v>
      </c>
      <c r="Q59" s="1" t="str">
        <f>IFERROR(_xlfn.LET(_xlpm.x,VLOOKUP($A59,'[1]Markings Threadings'!$B$3:$L$245,4,0),IF(_xlpm.x=0,"",_xlpm.x)),"")</f>
        <v>1253 CG 1</v>
      </c>
      <c r="R59" s="1" t="str">
        <f>IFERROR(_xlfn.LET(_xlpm.x,VLOOKUP($A59,'[1]Markings Threadings'!$B$3:$L$245,5,0),IF(_xlpm.x=0,"",_xlpm.x)),"")</f>
        <v/>
      </c>
      <c r="S59" s="1">
        <f>IFERROR(_xlfn.LET(_xlpm.x,VLOOKUP($A59,'[1]Markings Threadings'!$B$3:$L$245,6,0),IF(_xlpm.x=0,"",_xlpm.x)),"")</f>
        <v>14</v>
      </c>
      <c r="T59" s="6" t="str">
        <f>IFERROR(_xlfn.LET(_xlpm.x,VLOOKUP($C59,[1]Summary!$A$2:$J$118,4,0),IF(_xlpm.x=0,"",_xlpm.x)),"")</f>
        <v/>
      </c>
      <c r="U59" s="6" t="str">
        <f>IFERROR(_xlfn.LET(_xlpm.x,VLOOKUP($C59,[1]Summary!$A$2:$J$118,5,0),IF(_xlpm.x=0,"",_xlpm.x)),"")</f>
        <v/>
      </c>
      <c r="V59" s="6" t="str">
        <f>IFERROR(_xlfn.LET(_xlpm.x,VLOOKUP($C59,[1]Summary!$A$2:$J$118,6,0),IF(_xlpm.x=0,"",_xlpm.x)),"")</f>
        <v/>
      </c>
      <c r="W59" s="6" t="str">
        <f>IFERROR(_xlfn.LET(_xlpm.x,VLOOKUP($C59,[1]Summary!$A$2:$J$118,7,0),IF(_xlpm.x=0,"",_xlpm.x)),"")</f>
        <v/>
      </c>
      <c r="X59" s="6" t="str">
        <f>IFERROR(_xlfn.LET(_xlpm.x,VLOOKUP($C59,[1]Summary!$A$2:$J$118,8,0),IF(_xlpm.x=0,"",_xlpm.x)),"")</f>
        <v/>
      </c>
      <c r="Y59" s="6" t="str">
        <f>IFERROR(_xlfn.LET(_xlpm.x,VLOOKUP($C59,[1]Summary!$A$2:$J$118,9,0),IF(_xlpm.x=0,"",_xlpm.x)),"")</f>
        <v/>
      </c>
      <c r="Z59" s="6" t="str">
        <f>IFERROR(_xlfn.LET(_xlpm.x,VLOOKUP($C59,[1]Summary!$A$2:$J$118,10,0),IF(_xlpm.x=0,"",_xlpm.x)),"")</f>
        <v/>
      </c>
    </row>
    <row r="60" spans="1:26" x14ac:dyDescent="0.25">
      <c r="A60" s="2">
        <v>1000000000245</v>
      </c>
      <c r="B60" s="5" t="s">
        <v>141</v>
      </c>
      <c r="C60" s="2">
        <v>3000000000555</v>
      </c>
      <c r="D60" s="5" t="s">
        <v>142</v>
      </c>
      <c r="E60" s="1">
        <v>4</v>
      </c>
      <c r="F60" s="1" t="s">
        <v>28</v>
      </c>
      <c r="G60" s="1">
        <v>4</v>
      </c>
      <c r="H60" s="1">
        <v>2</v>
      </c>
      <c r="I60" s="1">
        <v>2</v>
      </c>
      <c r="J60" s="1"/>
      <c r="K60" s="1">
        <v>50</v>
      </c>
      <c r="L60" s="1" t="str">
        <f>IFERROR(_xlfn.LET(_xlpm.x,VLOOKUP($A60,'[1]Markings Threadings'!$B$3:$L$245,3,0),IF(_xlpm.x=0,"",_xlpm.x)),"")</f>
        <v>White</v>
      </c>
      <c r="M60" s="2">
        <f>IFERROR(_xlfn.LET(_xlpm.x,VLOOKUP($A60,'[1]Markings Threadings'!$B$3:$L$245,7,0),IF(_xlpm.x=0,"",_xlpm.x)),"")</f>
        <v>5000000000414</v>
      </c>
      <c r="N60" s="5" t="str">
        <f>IFERROR(_xlfn.LET(_xlpm.x,VLOOKUP($A60,'[1]Markings Threadings'!$B$3:$L$245,8,0),IF(_xlpm.x=0,"",_xlpm.x)),"")</f>
        <v>Elite XP Hog Finex 50kg. Mocha PP bag</v>
      </c>
      <c r="O60" s="2">
        <f>IFERROR(_xlfn.LET(_xlpm.x,VLOOKUP($A60,'[1]Markings Threadings'!$B$3:$L$245,10,0),IF(_xlpm.x=0,"",_xlpm.x)),"")</f>
        <v>5000000000474</v>
      </c>
      <c r="P60" s="5" t="str">
        <f>IFERROR(_xlfn.LET(_xlpm.x,VLOOKUP($A60,'[1]Markings Threadings'!$B$3:$L$245,11,0),IF(_xlpm.x=0,"",_xlpm.x)),"")</f>
        <v>Tag- Elite XP Finex, Pellet 10 kg</v>
      </c>
      <c r="Q60" s="1" t="str">
        <f>IFERROR(_xlfn.LET(_xlpm.x,VLOOKUP($A60,'[1]Markings Threadings'!$B$3:$L$245,4,0),IF(_xlpm.x=0,"",_xlpm.x)),"")</f>
        <v/>
      </c>
      <c r="R60" s="1" t="str">
        <f>IFERROR(_xlfn.LET(_xlpm.x,VLOOKUP($A60,'[1]Markings Threadings'!$B$3:$L$245,5,0),IF(_xlpm.x=0,"",_xlpm.x)),"")</f>
        <v/>
      </c>
      <c r="S60" s="1">
        <f>IFERROR(_xlfn.LET(_xlpm.x,VLOOKUP($A60,'[1]Markings Threadings'!$B$3:$L$245,6,0),IF(_xlpm.x=0,"",_xlpm.x)),"")</f>
        <v>1</v>
      </c>
      <c r="T60" s="6">
        <f>IFERROR(_xlfn.LET(_xlpm.x,VLOOKUP($C60,[1]Summary!$A$2:$J$118,4,0),IF(_xlpm.x=0,"",_xlpm.x)),"")</f>
        <v>19.998719999999981</v>
      </c>
      <c r="U60" s="6">
        <f>IFERROR(_xlfn.LET(_xlpm.x,VLOOKUP($C60,[1]Summary!$A$2:$J$118,5,0),IF(_xlpm.x=0,"",_xlpm.x)),"")</f>
        <v>20.077399346177305</v>
      </c>
      <c r="V60" s="6" t="str">
        <f>IFERROR(_xlfn.LET(_xlpm.x,VLOOKUP($C60,[1]Summary!$A$2:$J$118,6,0),IF(_xlpm.x=0,"",_xlpm.x)),"")</f>
        <v/>
      </c>
      <c r="W60" s="6" t="str">
        <f>IFERROR(_xlfn.LET(_xlpm.x,VLOOKUP($C60,[1]Summary!$A$2:$J$118,7,0),IF(_xlpm.x=0,"",_xlpm.x)),"")</f>
        <v/>
      </c>
      <c r="X60" s="6" t="str">
        <f>IFERROR(_xlfn.LET(_xlpm.x,VLOOKUP($C60,[1]Summary!$A$2:$J$118,8,0),IF(_xlpm.x=0,"",_xlpm.x)),"")</f>
        <v/>
      </c>
      <c r="Y60" s="6" t="str">
        <f>IFERROR(_xlfn.LET(_xlpm.x,VLOOKUP($C60,[1]Summary!$A$2:$J$118,9,0),IF(_xlpm.x=0,"",_xlpm.x)),"")</f>
        <v/>
      </c>
      <c r="Z60" s="6" t="str">
        <f>IFERROR(_xlfn.LET(_xlpm.x,VLOOKUP($C60,[1]Summary!$A$2:$J$118,10,0),IF(_xlpm.x=0,"",_xlpm.x)),"")</f>
        <v/>
      </c>
    </row>
    <row r="61" spans="1:26" x14ac:dyDescent="0.25">
      <c r="A61" s="2">
        <v>1000000000042</v>
      </c>
      <c r="B61" s="5" t="s">
        <v>119</v>
      </c>
      <c r="C61" s="2">
        <v>3000000000206</v>
      </c>
      <c r="D61" s="5" t="s">
        <v>120</v>
      </c>
      <c r="E61" s="1">
        <v>4</v>
      </c>
      <c r="F61" s="1" t="s">
        <v>47</v>
      </c>
      <c r="G61" s="1">
        <v>4</v>
      </c>
      <c r="H61" s="1">
        <v>2</v>
      </c>
      <c r="I61" s="1">
        <v>2</v>
      </c>
      <c r="J61" s="1"/>
      <c r="K61" s="1">
        <v>50</v>
      </c>
      <c r="L61" s="1" t="str">
        <f>IFERROR(_xlfn.LET(_xlpm.x,VLOOKUP($A61,'[1]Markings Threadings'!$B$3:$L$245,3,0),IF(_xlpm.x=0,"",_xlpm.x)),"")</f>
        <v>White</v>
      </c>
      <c r="M61" s="2">
        <f>IFERROR(_xlfn.LET(_xlpm.x,VLOOKUP($A61,'[1]Markings Threadings'!$B$3:$L$245,7,0),IF(_xlpm.x=0,"",_xlpm.x)),"")</f>
        <v>5000000000574</v>
      </c>
      <c r="N61" s="5" t="str">
        <f>IFERROR(_xlfn.LET(_xlpm.x,VLOOKUP($A61,'[1]Markings Threadings'!$B$3:$L$245,8,0),IF(_xlpm.x=0,"",_xlpm.x)),"")</f>
        <v>Empty Sack - Basic Broiler Startex, 50Kg</v>
      </c>
      <c r="O61" s="2">
        <f>IFERROR(_xlfn.LET(_xlpm.x,VLOOKUP($A61,'[1]Markings Threadings'!$B$3:$L$245,10,0),IF(_xlpm.x=0,"",_xlpm.x)),"")</f>
        <v>5000000000099</v>
      </c>
      <c r="P61" s="5" t="str">
        <f>IFERROR(_xlfn.LET(_xlpm.x,VLOOKUP($A61,'[1]Markings Threadings'!$B$3:$L$245,11,0),IF(_xlpm.x=0,"",_xlpm.x)),"")</f>
        <v>Tag - Basic Broiler Startex Crumble</v>
      </c>
      <c r="Q61" s="1" t="str">
        <f>IFERROR(_xlfn.LET(_xlpm.x,VLOOKUP($A61,'[1]Markings Threadings'!$B$3:$L$245,4,0),IF(_xlpm.x=0,"",_xlpm.x)),"")</f>
        <v/>
      </c>
      <c r="R61" s="1" t="str">
        <f>IFERROR(_xlfn.LET(_xlpm.x,VLOOKUP($A61,'[1]Markings Threadings'!$B$3:$L$245,5,0),IF(_xlpm.x=0,"",_xlpm.x)),"")</f>
        <v/>
      </c>
      <c r="S61" s="1">
        <f>IFERROR(_xlfn.LET(_xlpm.x,VLOOKUP($A61,'[1]Markings Threadings'!$B$3:$L$245,6,0),IF(_xlpm.x=0,"",_xlpm.x)),"")</f>
        <v>1</v>
      </c>
      <c r="T61" s="6" t="str">
        <f>IFERROR(_xlfn.LET(_xlpm.x,VLOOKUP($C61,[1]Summary!$A$2:$J$118,4,0),IF(_xlpm.x=0,"",_xlpm.x)),"")</f>
        <v/>
      </c>
      <c r="U61" s="6">
        <f>IFERROR(_xlfn.LET(_xlpm.x,VLOOKUP($C61,[1]Summary!$A$2:$J$118,5,0),IF(_xlpm.x=0,"",_xlpm.x)),"")</f>
        <v>14.099097600000002</v>
      </c>
      <c r="V61" s="6" t="str">
        <f>IFERROR(_xlfn.LET(_xlpm.x,VLOOKUP($C61,[1]Summary!$A$2:$J$118,6,0),IF(_xlpm.x=0,"",_xlpm.x)),"")</f>
        <v/>
      </c>
      <c r="W61" s="6">
        <f>IFERROR(_xlfn.LET(_xlpm.x,VLOOKUP($C61,[1]Summary!$A$2:$J$118,7,0),IF(_xlpm.x=0,"",_xlpm.x)),"")</f>
        <v>7.9382092617577227</v>
      </c>
      <c r="X61" s="6" t="str">
        <f>IFERROR(_xlfn.LET(_xlpm.x,VLOOKUP($C61,[1]Summary!$A$2:$J$118,8,0),IF(_xlpm.x=0,"",_xlpm.x)),"")</f>
        <v/>
      </c>
      <c r="Y61" s="6" t="str">
        <f>IFERROR(_xlfn.LET(_xlpm.x,VLOOKUP($C61,[1]Summary!$A$2:$J$118,9,0),IF(_xlpm.x=0,"",_xlpm.x)),"")</f>
        <v/>
      </c>
      <c r="Z61" s="6" t="str">
        <f>IFERROR(_xlfn.LET(_xlpm.x,VLOOKUP($C61,[1]Summary!$A$2:$J$118,10,0),IF(_xlpm.x=0,"",_xlpm.x)),"")</f>
        <v/>
      </c>
    </row>
    <row r="62" spans="1:26" x14ac:dyDescent="0.25">
      <c r="A62" s="2">
        <v>1000000001256</v>
      </c>
      <c r="B62" s="5" t="s">
        <v>143</v>
      </c>
      <c r="C62" s="2">
        <v>3000000000462</v>
      </c>
      <c r="D62" s="5" t="s">
        <v>144</v>
      </c>
      <c r="E62" s="1"/>
      <c r="F62" s="1" t="s">
        <v>44</v>
      </c>
      <c r="G62" s="1">
        <v>4</v>
      </c>
      <c r="H62" s="1">
        <v>2</v>
      </c>
      <c r="I62" s="1">
        <v>2</v>
      </c>
      <c r="J62" s="1"/>
      <c r="K62" s="1">
        <v>50</v>
      </c>
      <c r="L62" s="1" t="str">
        <f>IFERROR(_xlfn.LET(_xlpm.x,VLOOKUP($A62,'[1]Markings Threadings'!$B$3:$L$245,3,0),IF(_xlpm.x=0,"",_xlpm.x)),"")</f>
        <v>Orange</v>
      </c>
      <c r="M62" s="2">
        <f>IFERROR(_xlfn.LET(_xlpm.x,VLOOKUP($A62,'[1]Markings Threadings'!$B$3:$L$245,7,0),IF(_xlpm.x=0,"",_xlpm.x)),"")</f>
        <v>5000000000564</v>
      </c>
      <c r="N62" s="5" t="str">
        <f>IFERROR(_xlfn.LET(_xlpm.x,VLOOKUP($A62,'[1]Markings Threadings'!$B$3:$L$245,8,0),IF(_xlpm.x=0,"",_xlpm.x)),"")</f>
        <v>v2 - Poultry Solutions Layer 1, 50kg</v>
      </c>
      <c r="O62" s="2">
        <f>IFERROR(_xlfn.LET(_xlpm.x,VLOOKUP($A62,'[1]Markings Threadings'!$B$3:$L$245,10,0),IF(_xlpm.x=0,"",_xlpm.x)),"")</f>
        <v>5000000000116</v>
      </c>
      <c r="P62" s="5" t="str">
        <f>IFERROR(_xlfn.LET(_xlpm.x,VLOOKUP($A62,'[1]Markings Threadings'!$B$3:$L$245,11,0),IF(_xlpm.x=0,"",_xlpm.x)),"")</f>
        <v>Tag - Poultry Solutions Chicken Layer 1 Crumble</v>
      </c>
      <c r="Q62" s="1" t="str">
        <f>IFERROR(_xlfn.LET(_xlpm.x,VLOOKUP($A62,'[1]Markings Threadings'!$B$3:$L$245,4,0),IF(_xlpm.x=0,"",_xlpm.x)),"")</f>
        <v xml:space="preserve">1256 PS L 1 </v>
      </c>
      <c r="R62" s="1" t="str">
        <f>IFERROR(_xlfn.LET(_xlpm.x,VLOOKUP($A62,'[1]Markings Threadings'!$B$3:$L$245,5,0),IF(_xlpm.x=0,"",_xlpm.x)),"")</f>
        <v/>
      </c>
      <c r="S62" s="1">
        <f>IFERROR(_xlfn.LET(_xlpm.x,VLOOKUP($A62,'[1]Markings Threadings'!$B$3:$L$245,6,0),IF(_xlpm.x=0,"",_xlpm.x)),"")</f>
        <v>8</v>
      </c>
      <c r="T62" s="6" t="str">
        <f>IFERROR(_xlfn.LET(_xlpm.x,VLOOKUP($C62,[1]Summary!$A$2:$J$118,4,0),IF(_xlpm.x=0,"",_xlpm.x)),"")</f>
        <v/>
      </c>
      <c r="U62" s="6" t="str">
        <f>IFERROR(_xlfn.LET(_xlpm.x,VLOOKUP($C62,[1]Summary!$A$2:$J$118,5,0),IF(_xlpm.x=0,"",_xlpm.x)),"")</f>
        <v/>
      </c>
      <c r="V62" s="6" t="str">
        <f>IFERROR(_xlfn.LET(_xlpm.x,VLOOKUP($C62,[1]Summary!$A$2:$J$118,6,0),IF(_xlpm.x=0,"",_xlpm.x)),"")</f>
        <v/>
      </c>
      <c r="W62" s="6" t="str">
        <f>IFERROR(_xlfn.LET(_xlpm.x,VLOOKUP($C62,[1]Summary!$A$2:$J$118,7,0),IF(_xlpm.x=0,"",_xlpm.x)),"")</f>
        <v/>
      </c>
      <c r="X62" s="6" t="str">
        <f>IFERROR(_xlfn.LET(_xlpm.x,VLOOKUP($C62,[1]Summary!$A$2:$J$118,8,0),IF(_xlpm.x=0,"",_xlpm.x)),"")</f>
        <v/>
      </c>
      <c r="Y62" s="6" t="str">
        <f>IFERROR(_xlfn.LET(_xlpm.x,VLOOKUP($C62,[1]Summary!$A$2:$J$118,9,0),IF(_xlpm.x=0,"",_xlpm.x)),"")</f>
        <v/>
      </c>
      <c r="Z62" s="6" t="str">
        <f>IFERROR(_xlfn.LET(_xlpm.x,VLOOKUP($C62,[1]Summary!$A$2:$J$118,10,0),IF(_xlpm.x=0,"",_xlpm.x)),"")</f>
        <v/>
      </c>
    </row>
    <row r="63" spans="1:26" x14ac:dyDescent="0.25">
      <c r="A63" s="2">
        <v>1000000001255</v>
      </c>
      <c r="B63" s="5" t="s">
        <v>145</v>
      </c>
      <c r="C63" s="2">
        <v>3000000000188</v>
      </c>
      <c r="D63" s="5" t="s">
        <v>146</v>
      </c>
      <c r="E63" s="1"/>
      <c r="F63" s="1" t="s">
        <v>44</v>
      </c>
      <c r="G63" s="1">
        <v>4</v>
      </c>
      <c r="H63" s="1">
        <v>2</v>
      </c>
      <c r="I63" s="1">
        <v>2</v>
      </c>
      <c r="J63" s="1"/>
      <c r="K63" s="1">
        <v>50</v>
      </c>
      <c r="L63" s="1" t="str">
        <f>IFERROR(_xlfn.LET(_xlpm.x,VLOOKUP($A63,'[1]Markings Threadings'!$B$3:$L$245,3,0),IF(_xlpm.x=0,"",_xlpm.x)),"")</f>
        <v>Orange</v>
      </c>
      <c r="M63" s="2">
        <f>IFERROR(_xlfn.LET(_xlpm.x,VLOOKUP($A63,'[1]Markings Threadings'!$B$3:$L$245,7,0),IF(_xlpm.x=0,"",_xlpm.x)),"")</f>
        <v>5000000000610</v>
      </c>
      <c r="N63" s="5" t="str">
        <f>IFERROR(_xlfn.LET(_xlpm.x,VLOOKUP($A63,'[1]Markings Threadings'!$B$3:$L$245,8,0),IF(_xlpm.x=0,"",_xlpm.x)),"")</f>
        <v>Sack Plain white PP 26x45</v>
      </c>
      <c r="O63" s="2">
        <f>IFERROR(_xlfn.LET(_xlpm.x,VLOOKUP($A63,'[1]Markings Threadings'!$B$3:$L$245,10,0),IF(_xlpm.x=0,"",_xlpm.x)),"")</f>
        <v>5000000000616</v>
      </c>
      <c r="P63" s="5" t="str">
        <f>IFERROR(_xlfn.LET(_xlpm.x,VLOOKUP($A63,'[1]Markings Threadings'!$B$3:$L$245,11,0),IF(_xlpm.x=0,"",_xlpm.x)),"")</f>
        <v>Tag - Poultry Solutions Pre-lay Mash, 50kg</v>
      </c>
      <c r="Q63" s="1" t="str">
        <f>IFERROR(_xlfn.LET(_xlpm.x,VLOOKUP($A63,'[1]Markings Threadings'!$B$3:$L$245,4,0),IF(_xlpm.x=0,"",_xlpm.x)),"")</f>
        <v>1255 PS Pre-lay</v>
      </c>
      <c r="R63" s="1" t="str">
        <f>IFERROR(_xlfn.LET(_xlpm.x,VLOOKUP($A63,'[1]Markings Threadings'!$B$3:$L$245,5,0),IF(_xlpm.x=0,"",_xlpm.x)),"")</f>
        <v/>
      </c>
      <c r="S63" s="1">
        <f>IFERROR(_xlfn.LET(_xlpm.x,VLOOKUP($A63,'[1]Markings Threadings'!$B$3:$L$245,6,0),IF(_xlpm.x=0,"",_xlpm.x)),"")</f>
        <v>4</v>
      </c>
      <c r="T63" s="6" t="str">
        <f>IFERROR(_xlfn.LET(_xlpm.x,VLOOKUP($C63,[1]Summary!$A$2:$J$118,4,0),IF(_xlpm.x=0,"",_xlpm.x)),"")</f>
        <v/>
      </c>
      <c r="U63" s="6" t="str">
        <f>IFERROR(_xlfn.LET(_xlpm.x,VLOOKUP($C63,[1]Summary!$A$2:$J$118,5,0),IF(_xlpm.x=0,"",_xlpm.x)),"")</f>
        <v/>
      </c>
      <c r="V63" s="6" t="str">
        <f>IFERROR(_xlfn.LET(_xlpm.x,VLOOKUP($C63,[1]Summary!$A$2:$J$118,6,0),IF(_xlpm.x=0,"",_xlpm.x)),"")</f>
        <v/>
      </c>
      <c r="W63" s="6" t="str">
        <f>IFERROR(_xlfn.LET(_xlpm.x,VLOOKUP($C63,[1]Summary!$A$2:$J$118,7,0),IF(_xlpm.x=0,"",_xlpm.x)),"")</f>
        <v/>
      </c>
      <c r="X63" s="6" t="str">
        <f>IFERROR(_xlfn.LET(_xlpm.x,VLOOKUP($C63,[1]Summary!$A$2:$J$118,8,0),IF(_xlpm.x=0,"",_xlpm.x)),"")</f>
        <v/>
      </c>
      <c r="Y63" s="6" t="str">
        <f>IFERROR(_xlfn.LET(_xlpm.x,VLOOKUP($C63,[1]Summary!$A$2:$J$118,9,0),IF(_xlpm.x=0,"",_xlpm.x)),"")</f>
        <v/>
      </c>
      <c r="Z63" s="6" t="str">
        <f>IFERROR(_xlfn.LET(_xlpm.x,VLOOKUP($C63,[1]Summary!$A$2:$J$118,10,0),IF(_xlpm.x=0,"",_xlpm.x)),"")</f>
        <v/>
      </c>
    </row>
    <row r="64" spans="1:26" x14ac:dyDescent="0.25">
      <c r="A64" s="2">
        <v>1000000001251</v>
      </c>
      <c r="B64" s="5" t="s">
        <v>147</v>
      </c>
      <c r="C64" s="2">
        <v>3000000000180</v>
      </c>
      <c r="D64" s="5" t="s">
        <v>148</v>
      </c>
      <c r="E64" s="1"/>
      <c r="F64" s="1" t="s">
        <v>44</v>
      </c>
      <c r="G64" s="1">
        <v>4</v>
      </c>
      <c r="H64" s="1">
        <v>2</v>
      </c>
      <c r="I64" s="1">
        <v>2</v>
      </c>
      <c r="J64" s="1"/>
      <c r="K64" s="1">
        <v>50</v>
      </c>
      <c r="L64" s="1" t="str">
        <f>IFERROR(_xlfn.LET(_xlpm.x,VLOOKUP($A64,'[1]Markings Threadings'!$B$3:$L$245,3,0),IF(_xlpm.x=0,"",_xlpm.x)),"")</f>
        <v>Orange</v>
      </c>
      <c r="M64" s="2">
        <f>IFERROR(_xlfn.LET(_xlpm.x,VLOOKUP($A64,'[1]Markings Threadings'!$B$3:$L$245,7,0),IF(_xlpm.x=0,"",_xlpm.x)),"")</f>
        <v>5000000000560</v>
      </c>
      <c r="N64" s="5" t="str">
        <f>IFERROR(_xlfn.LET(_xlpm.x,VLOOKUP($A64,'[1]Markings Threadings'!$B$3:$L$245,8,0),IF(_xlpm.x=0,"",_xlpm.x)),"")</f>
        <v>Sack Poultry Solutions Chick Booster</v>
      </c>
      <c r="O64" s="2">
        <f>IFERROR(_xlfn.LET(_xlpm.x,VLOOKUP($A64,'[1]Markings Threadings'!$B$3:$L$245,10,0),IF(_xlpm.x=0,"",_xlpm.x)),"")</f>
        <v>5000000000124</v>
      </c>
      <c r="P64" s="5" t="str">
        <f>IFERROR(_xlfn.LET(_xlpm.x,VLOOKUP($A64,'[1]Markings Threadings'!$B$3:$L$245,11,0),IF(_xlpm.x=0,"",_xlpm.x)),"")</f>
        <v>Tag - Poultry Solution Chick Booster Crumble</v>
      </c>
      <c r="Q64" s="1" t="str">
        <f>IFERROR(_xlfn.LET(_xlpm.x,VLOOKUP($A64,'[1]Markings Threadings'!$B$3:$L$245,4,0),IF(_xlpm.x=0,"",_xlpm.x)),"")</f>
        <v>1251 - CHK BSTR</v>
      </c>
      <c r="R64" s="1" t="str">
        <f>IFERROR(_xlfn.LET(_xlpm.x,VLOOKUP($A64,'[1]Markings Threadings'!$B$3:$L$245,5,0),IF(_xlpm.x=0,"",_xlpm.x)),"")</f>
        <v/>
      </c>
      <c r="S64" s="1">
        <f>IFERROR(_xlfn.LET(_xlpm.x,VLOOKUP($A64,'[1]Markings Threadings'!$B$3:$L$245,6,0),IF(_xlpm.x=0,"",_xlpm.x)),"")</f>
        <v>3</v>
      </c>
      <c r="T64" s="6" t="str">
        <f>IFERROR(_xlfn.LET(_xlpm.x,VLOOKUP($C64,[1]Summary!$A$2:$J$118,4,0),IF(_xlpm.x=0,"",_xlpm.x)),"")</f>
        <v/>
      </c>
      <c r="U64" s="6" t="str">
        <f>IFERROR(_xlfn.LET(_xlpm.x,VLOOKUP($C64,[1]Summary!$A$2:$J$118,5,0),IF(_xlpm.x=0,"",_xlpm.x)),"")</f>
        <v/>
      </c>
      <c r="V64" s="6" t="str">
        <f>IFERROR(_xlfn.LET(_xlpm.x,VLOOKUP($C64,[1]Summary!$A$2:$J$118,6,0),IF(_xlpm.x=0,"",_xlpm.x)),"")</f>
        <v/>
      </c>
      <c r="W64" s="6" t="str">
        <f>IFERROR(_xlfn.LET(_xlpm.x,VLOOKUP($C64,[1]Summary!$A$2:$J$118,7,0),IF(_xlpm.x=0,"",_xlpm.x)),"")</f>
        <v/>
      </c>
      <c r="X64" s="6" t="str">
        <f>IFERROR(_xlfn.LET(_xlpm.x,VLOOKUP($C64,[1]Summary!$A$2:$J$118,8,0),IF(_xlpm.x=0,"",_xlpm.x)),"")</f>
        <v/>
      </c>
      <c r="Y64" s="6" t="str">
        <f>IFERROR(_xlfn.LET(_xlpm.x,VLOOKUP($C64,[1]Summary!$A$2:$J$118,9,0),IF(_xlpm.x=0,"",_xlpm.x)),"")</f>
        <v/>
      </c>
      <c r="Z64" s="6" t="str">
        <f>IFERROR(_xlfn.LET(_xlpm.x,VLOOKUP($C64,[1]Summary!$A$2:$J$118,10,0),IF(_xlpm.x=0,"",_xlpm.x)),"")</f>
        <v/>
      </c>
    </row>
    <row r="65" spans="1:26" x14ac:dyDescent="0.25">
      <c r="A65" s="2">
        <v>1000000000013</v>
      </c>
      <c r="B65" s="5" t="s">
        <v>149</v>
      </c>
      <c r="C65" s="2">
        <v>3000000000334</v>
      </c>
      <c r="D65" s="5" t="s">
        <v>150</v>
      </c>
      <c r="E65" s="1">
        <v>3</v>
      </c>
      <c r="F65" s="1" t="s">
        <v>86</v>
      </c>
      <c r="G65" s="1">
        <v>4</v>
      </c>
      <c r="H65" s="1">
        <v>2</v>
      </c>
      <c r="I65" s="1">
        <v>2</v>
      </c>
      <c r="J65" s="1"/>
      <c r="K65" s="1">
        <v>50</v>
      </c>
      <c r="L65" s="1" t="str">
        <f>IFERROR(_xlfn.LET(_xlpm.x,VLOOKUP($A65,'[1]Markings Threadings'!$B$3:$L$245,3,0),IF(_xlpm.x=0,"",_xlpm.x)),"")</f>
        <v>White Yellow</v>
      </c>
      <c r="M65" s="2">
        <f>IFERROR(_xlfn.LET(_xlpm.x,VLOOKUP($A65,'[1]Markings Threadings'!$B$3:$L$245,7,0),IF(_xlpm.x=0,"",_xlpm.x)),"")</f>
        <v>5000000000559</v>
      </c>
      <c r="N65" s="5" t="str">
        <f>IFERROR(_xlfn.LET(_xlpm.x,VLOOKUP($A65,'[1]Markings Threadings'!$B$3:$L$245,8,0),IF(_xlpm.x=0,"",_xlpm.x)),"")</f>
        <v>v2 - Poultry Solutions Broiler Finisher, 50kg</v>
      </c>
      <c r="O65" s="2">
        <f>IFERROR(_xlfn.LET(_xlpm.x,VLOOKUP($A65,'[1]Markings Threadings'!$B$3:$L$245,10,0),IF(_xlpm.x=0,"",_xlpm.x)),"")</f>
        <v>5000000000115</v>
      </c>
      <c r="P65" s="5" t="str">
        <f>IFERROR(_xlfn.LET(_xlpm.x,VLOOKUP($A65,'[1]Markings Threadings'!$B$3:$L$245,11,0),IF(_xlpm.x=0,"",_xlpm.x)),"")</f>
        <v>Tag - Poultry Solutions Broiler Finisher Crumble</v>
      </c>
      <c r="Q65" s="1" t="str">
        <f>IFERROR(_xlfn.LET(_xlpm.x,VLOOKUP($A65,'[1]Markings Threadings'!$B$3:$L$245,4,0),IF(_xlpm.x=0,"",_xlpm.x)),"")</f>
        <v>013 MD</v>
      </c>
      <c r="R65" s="1" t="str">
        <f>IFERROR(_xlfn.LET(_xlpm.x,VLOOKUP($A65,'[1]Markings Threadings'!$B$3:$L$245,5,0),IF(_xlpm.x=0,"",_xlpm.x)),"")</f>
        <v/>
      </c>
      <c r="S65" s="1">
        <f>IFERROR(_xlfn.LET(_xlpm.x,VLOOKUP($A65,'[1]Markings Threadings'!$B$3:$L$245,6,0),IF(_xlpm.x=0,"",_xlpm.x)),"")</f>
        <v>7</v>
      </c>
      <c r="T65" s="6" t="str">
        <f>IFERROR(_xlfn.LET(_xlpm.x,VLOOKUP($C65,[1]Summary!$A$2:$J$118,4,0),IF(_xlpm.x=0,"",_xlpm.x)),"")</f>
        <v/>
      </c>
      <c r="U65" s="6" t="str">
        <f>IFERROR(_xlfn.LET(_xlpm.x,VLOOKUP($C65,[1]Summary!$A$2:$J$118,5,0),IF(_xlpm.x=0,"",_xlpm.x)),"")</f>
        <v/>
      </c>
      <c r="V65" s="6" t="str">
        <f>IFERROR(_xlfn.LET(_xlpm.x,VLOOKUP($C65,[1]Summary!$A$2:$J$118,6,0),IF(_xlpm.x=0,"",_xlpm.x)),"")</f>
        <v/>
      </c>
      <c r="W65" s="6" t="str">
        <f>IFERROR(_xlfn.LET(_xlpm.x,VLOOKUP($C65,[1]Summary!$A$2:$J$118,7,0),IF(_xlpm.x=0,"",_xlpm.x)),"")</f>
        <v/>
      </c>
      <c r="X65" s="6" t="str">
        <f>IFERROR(_xlfn.LET(_xlpm.x,VLOOKUP($C65,[1]Summary!$A$2:$J$118,8,0),IF(_xlpm.x=0,"",_xlpm.x)),"")</f>
        <v/>
      </c>
      <c r="Y65" s="6">
        <f>IFERROR(_xlfn.LET(_xlpm.x,VLOOKUP($C65,[1]Summary!$A$2:$J$118,9,0),IF(_xlpm.x=0,"",_xlpm.x)),"")</f>
        <v>8.790730878519879</v>
      </c>
      <c r="Z65" s="6">
        <f>IFERROR(_xlfn.LET(_xlpm.x,VLOOKUP($C65,[1]Summary!$A$2:$J$118,10,0),IF(_xlpm.x=0,"",_xlpm.x)),"")</f>
        <v>8.8950432357455878</v>
      </c>
    </row>
    <row r="66" spans="1:26" x14ac:dyDescent="0.25">
      <c r="A66" s="2">
        <v>1000000000592</v>
      </c>
      <c r="B66" s="5" t="s">
        <v>151</v>
      </c>
      <c r="C66" s="2">
        <v>3000000000240</v>
      </c>
      <c r="D66" s="5" t="s">
        <v>152</v>
      </c>
      <c r="E66" s="1">
        <v>3</v>
      </c>
      <c r="F66" s="1" t="s">
        <v>86</v>
      </c>
      <c r="G66" s="1">
        <v>4</v>
      </c>
      <c r="H66" s="1">
        <v>2</v>
      </c>
      <c r="I66" s="1">
        <v>2</v>
      </c>
      <c r="J66" s="1"/>
      <c r="K66" s="1">
        <v>10</v>
      </c>
      <c r="L66" s="1" t="str">
        <f>IFERROR(_xlfn.LET(_xlpm.x,VLOOKUP($A66,'[1]Markings Threadings'!$B$3:$L$245,3,0),IF(_xlpm.x=0,"",_xlpm.x)),"")</f>
        <v>White</v>
      </c>
      <c r="M66" s="2">
        <f>IFERROR(_xlfn.LET(_xlpm.x,VLOOKUP($A66,'[1]Markings Threadings'!$B$3:$L$245,7,0),IF(_xlpm.x=0,"",_xlpm.x)),"")</f>
        <v>5000000000066</v>
      </c>
      <c r="N66" s="5" t="str">
        <f>IFERROR(_xlfn.LET(_xlpm.x,VLOOKUP($A66,'[1]Markings Threadings'!$B$3:$L$245,8,0),IF(_xlpm.x=0,"",_xlpm.x)),"")</f>
        <v>Empty Sack - Gallimax 21 Breeder Ration Mini Pellet 10 kg</v>
      </c>
      <c r="O66" s="2">
        <f>IFERROR(_xlfn.LET(_xlpm.x,VLOOKUP($A66,'[1]Markings Threadings'!$B$3:$L$245,10,0),IF(_xlpm.x=0,"",_xlpm.x)),"")</f>
        <v>5000000000132</v>
      </c>
      <c r="P66" s="5" t="str">
        <f>IFERROR(_xlfn.LET(_xlpm.x,VLOOKUP($A66,'[1]Markings Threadings'!$B$3:$L$245,11,0),IF(_xlpm.x=0,"",_xlpm.x)),"")</f>
        <v>Tag - Gallimax 21 Breeder Ration Mini Pellet, 10kg</v>
      </c>
      <c r="Q66" s="1" t="str">
        <f>IFERROR(_xlfn.LET(_xlpm.x,VLOOKUP($A66,'[1]Markings Threadings'!$B$3:$L$245,4,0),IF(_xlpm.x=0,"",_xlpm.x)),"")</f>
        <v/>
      </c>
      <c r="R66" s="1" t="str">
        <f>IFERROR(_xlfn.LET(_xlpm.x,VLOOKUP($A66,'[1]Markings Threadings'!$B$3:$L$245,5,0),IF(_xlpm.x=0,"",_xlpm.x)),"")</f>
        <v/>
      </c>
      <c r="S66" s="1">
        <f>IFERROR(_xlfn.LET(_xlpm.x,VLOOKUP($A66,'[1]Markings Threadings'!$B$3:$L$245,6,0),IF(_xlpm.x=0,"",_xlpm.x)),"")</f>
        <v>1</v>
      </c>
      <c r="T66" s="6" t="str">
        <f>IFERROR(_xlfn.LET(_xlpm.x,VLOOKUP($C66,[1]Summary!$A$2:$J$118,4,0),IF(_xlpm.x=0,"",_xlpm.x)),"")</f>
        <v/>
      </c>
      <c r="U66" s="6" t="str">
        <f>IFERROR(_xlfn.LET(_xlpm.x,VLOOKUP($C66,[1]Summary!$A$2:$J$118,5,0),IF(_xlpm.x=0,"",_xlpm.x)),"")</f>
        <v/>
      </c>
      <c r="V66" s="6" t="str">
        <f>IFERROR(_xlfn.LET(_xlpm.x,VLOOKUP($C66,[1]Summary!$A$2:$J$118,6,0),IF(_xlpm.x=0,"",_xlpm.x)),"")</f>
        <v/>
      </c>
      <c r="W66" s="6" t="str">
        <f>IFERROR(_xlfn.LET(_xlpm.x,VLOOKUP($C66,[1]Summary!$A$2:$J$118,7,0),IF(_xlpm.x=0,"",_xlpm.x)),"")</f>
        <v/>
      </c>
      <c r="X66" s="6" t="str">
        <f>IFERROR(_xlfn.LET(_xlpm.x,VLOOKUP($C66,[1]Summary!$A$2:$J$118,8,0),IF(_xlpm.x=0,"",_xlpm.x)),"")</f>
        <v/>
      </c>
      <c r="Y66" s="6" t="str">
        <f>IFERROR(_xlfn.LET(_xlpm.x,VLOOKUP($C66,[1]Summary!$A$2:$J$118,9,0),IF(_xlpm.x=0,"",_xlpm.x)),"")</f>
        <v/>
      </c>
      <c r="Z66" s="6" t="str">
        <f>IFERROR(_xlfn.LET(_xlpm.x,VLOOKUP($C66,[1]Summary!$A$2:$J$118,10,0),IF(_xlpm.x=0,"",_xlpm.x)),"")</f>
        <v/>
      </c>
    </row>
    <row r="67" spans="1:26" x14ac:dyDescent="0.25">
      <c r="A67" s="2">
        <v>1000000000176</v>
      </c>
      <c r="B67" s="5" t="s">
        <v>117</v>
      </c>
      <c r="C67" s="2">
        <v>3000000000830</v>
      </c>
      <c r="D67" s="5" t="s">
        <v>118</v>
      </c>
      <c r="E67" s="1">
        <v>4</v>
      </c>
      <c r="F67" s="1" t="s">
        <v>47</v>
      </c>
      <c r="G67" s="1">
        <v>4</v>
      </c>
      <c r="H67" s="1">
        <v>2</v>
      </c>
      <c r="I67" s="1">
        <v>2</v>
      </c>
      <c r="J67" s="1"/>
      <c r="K67" s="1">
        <v>50</v>
      </c>
      <c r="L67" s="1" t="str">
        <f>IFERROR(_xlfn.LET(_xlpm.x,VLOOKUP($A67,'[1]Markings Threadings'!$B$3:$L$245,3,0),IF(_xlpm.x=0,"",_xlpm.x)),"")</f>
        <v>White</v>
      </c>
      <c r="M67" s="2">
        <f>IFERROR(_xlfn.LET(_xlpm.x,VLOOKUP($A67,'[1]Markings Threadings'!$B$3:$L$245,7,0),IF(_xlpm.x=0,"",_xlpm.x)),"")</f>
        <v>5000000000573</v>
      </c>
      <c r="N67" s="5" t="str">
        <f>IFERROR(_xlfn.LET(_xlpm.x,VLOOKUP($A67,'[1]Markings Threadings'!$B$3:$L$245,8,0),IF(_xlpm.x=0,"",_xlpm.x)),"")</f>
        <v>v2 - Basic Chick Boostex, 50 Kg</v>
      </c>
      <c r="O67" s="2">
        <f>IFERROR(_xlfn.LET(_xlpm.x,VLOOKUP($A67,'[1]Markings Threadings'!$B$3:$L$245,10,0),IF(_xlpm.x=0,"",_xlpm.x)),"")</f>
        <v>5000000001531</v>
      </c>
      <c r="P67" s="5" t="str">
        <f>IFERROR(_xlfn.LET(_xlpm.x,VLOOKUP($A67,'[1]Markings Threadings'!$B$3:$L$245,11,0),IF(_xlpm.x=0,"",_xlpm.x)),"")</f>
        <v>Tag Basic Chick Boostex Crumble, 50kg</v>
      </c>
      <c r="Q67" s="1" t="str">
        <f>IFERROR(_xlfn.LET(_xlpm.x,VLOOKUP($A67,'[1]Markings Threadings'!$B$3:$L$245,4,0),IF(_xlpm.x=0,"",_xlpm.x)),"")</f>
        <v/>
      </c>
      <c r="R67" s="1" t="str">
        <f>IFERROR(_xlfn.LET(_xlpm.x,VLOOKUP($A67,'[1]Markings Threadings'!$B$3:$L$245,5,0),IF(_xlpm.x=0,"",_xlpm.x)),"")</f>
        <v/>
      </c>
      <c r="S67" s="1">
        <f>IFERROR(_xlfn.LET(_xlpm.x,VLOOKUP($A67,'[1]Markings Threadings'!$B$3:$L$245,6,0),IF(_xlpm.x=0,"",_xlpm.x)),"")</f>
        <v>1</v>
      </c>
      <c r="T67" s="6" t="str">
        <f>IFERROR(_xlfn.LET(_xlpm.x,VLOOKUP($C67,[1]Summary!$A$2:$J$118,4,0),IF(_xlpm.x=0,"",_xlpm.x)),"")</f>
        <v/>
      </c>
      <c r="U67" s="6" t="str">
        <f>IFERROR(_xlfn.LET(_xlpm.x,VLOOKUP($C67,[1]Summary!$A$2:$J$118,5,0),IF(_xlpm.x=0,"",_xlpm.x)),"")</f>
        <v/>
      </c>
      <c r="V67" s="6" t="str">
        <f>IFERROR(_xlfn.LET(_xlpm.x,VLOOKUP($C67,[1]Summary!$A$2:$J$118,6,0),IF(_xlpm.x=0,"",_xlpm.x)),"")</f>
        <v/>
      </c>
      <c r="W67" s="6">
        <f>IFERROR(_xlfn.LET(_xlpm.x,VLOOKUP($C67,[1]Summary!$A$2:$J$118,7,0),IF(_xlpm.x=0,"",_xlpm.x)),"")</f>
        <v>7.993105429787235</v>
      </c>
      <c r="X67" s="6" t="str">
        <f>IFERROR(_xlfn.LET(_xlpm.x,VLOOKUP($C67,[1]Summary!$A$2:$J$118,8,0),IF(_xlpm.x=0,"",_xlpm.x)),"")</f>
        <v/>
      </c>
      <c r="Y67" s="6" t="str">
        <f>IFERROR(_xlfn.LET(_xlpm.x,VLOOKUP($C67,[1]Summary!$A$2:$J$118,9,0),IF(_xlpm.x=0,"",_xlpm.x)),"")</f>
        <v/>
      </c>
      <c r="Z67" s="6" t="str">
        <f>IFERROR(_xlfn.LET(_xlpm.x,VLOOKUP($C67,[1]Summary!$A$2:$J$118,10,0),IF(_xlpm.x=0,"",_xlpm.x)),"")</f>
        <v/>
      </c>
    </row>
    <row r="68" spans="1:26" x14ac:dyDescent="0.25">
      <c r="A68" s="2">
        <v>1000000001494</v>
      </c>
      <c r="B68" s="5" t="s">
        <v>45</v>
      </c>
      <c r="C68" s="2">
        <v>3000000000393</v>
      </c>
      <c r="D68" s="5" t="s">
        <v>46</v>
      </c>
      <c r="E68" s="1">
        <v>4</v>
      </c>
      <c r="F68" s="1" t="s">
        <v>47</v>
      </c>
      <c r="G68" s="1">
        <v>4</v>
      </c>
      <c r="H68" s="1">
        <v>2</v>
      </c>
      <c r="I68" s="1">
        <v>2</v>
      </c>
      <c r="J68" s="1"/>
      <c r="K68" s="1">
        <v>50</v>
      </c>
      <c r="L68" s="1" t="str">
        <f>IFERROR(_xlfn.LET(_xlpm.x,VLOOKUP($A68,'[1]Markings Threadings'!$B$3:$L$245,3,0),IF(_xlpm.x=0,"",_xlpm.x)),"")</f>
        <v>White</v>
      </c>
      <c r="M68" s="2">
        <f>IFERROR(_xlfn.LET(_xlpm.x,VLOOKUP($A68,'[1]Markings Threadings'!$B$3:$L$245,7,0),IF(_xlpm.x=0,"",_xlpm.x)),"")</f>
        <v>5000000000008</v>
      </c>
      <c r="N68" s="5" t="str">
        <f>IFERROR(_xlfn.LET(_xlpm.x,VLOOKUP($A68,'[1]Markings Threadings'!$B$3:$L$245,8,0),IF(_xlpm.x=0,"",_xlpm.x)),"")</f>
        <v>v2 - Poultry Express Chick Boostex, 50 kg</v>
      </c>
      <c r="O68" s="2">
        <f>IFERROR(_xlfn.LET(_xlpm.x,VLOOKUP($A68,'[1]Markings Threadings'!$B$3:$L$245,10,0),IF(_xlpm.x=0,"",_xlpm.x)),"")</f>
        <v>5000000000674</v>
      </c>
      <c r="P68" s="5" t="str">
        <f>IFERROR(_xlfn.LET(_xlpm.x,VLOOKUP($A68,'[1]Markings Threadings'!$B$3:$L$245,11,0),IF(_xlpm.x=0,"",_xlpm.x)),"")</f>
        <v>Tag P/E Chick Boostex Crumble</v>
      </c>
      <c r="Q68" s="1" t="str">
        <f>IFERROR(_xlfn.LET(_xlpm.x,VLOOKUP($A68,'[1]Markings Threadings'!$B$3:$L$245,4,0),IF(_xlpm.x=0,"",_xlpm.x)),"")</f>
        <v/>
      </c>
      <c r="R68" s="1" t="str">
        <f>IFERROR(_xlfn.LET(_xlpm.x,VLOOKUP($A68,'[1]Markings Threadings'!$B$3:$L$245,5,0),IF(_xlpm.x=0,"",_xlpm.x)),"")</f>
        <v/>
      </c>
      <c r="S68" s="1">
        <f>IFERROR(_xlfn.LET(_xlpm.x,VLOOKUP($A68,'[1]Markings Threadings'!$B$3:$L$245,6,0),IF(_xlpm.x=0,"",_xlpm.x)),"")</f>
        <v>1</v>
      </c>
      <c r="T68" s="6" t="str">
        <f>IFERROR(_xlfn.LET(_xlpm.x,VLOOKUP($C68,[1]Summary!$A$2:$J$118,4,0),IF(_xlpm.x=0,"",_xlpm.x)),"")</f>
        <v/>
      </c>
      <c r="U68" s="6" t="str">
        <f>IFERROR(_xlfn.LET(_xlpm.x,VLOOKUP($C68,[1]Summary!$A$2:$J$118,5,0),IF(_xlpm.x=0,"",_xlpm.x)),"")</f>
        <v/>
      </c>
      <c r="V68" s="6" t="str">
        <f>IFERROR(_xlfn.LET(_xlpm.x,VLOOKUP($C68,[1]Summary!$A$2:$J$118,6,0),IF(_xlpm.x=0,"",_xlpm.x)),"")</f>
        <v/>
      </c>
      <c r="W68" s="6">
        <f>IFERROR(_xlfn.LET(_xlpm.x,VLOOKUP($C68,[1]Summary!$A$2:$J$118,7,0),IF(_xlpm.x=0,"",_xlpm.x)),"")</f>
        <v>8.3128253458483758</v>
      </c>
      <c r="X68" s="6" t="str">
        <f>IFERROR(_xlfn.LET(_xlpm.x,VLOOKUP($C68,[1]Summary!$A$2:$J$118,8,0),IF(_xlpm.x=0,"",_xlpm.x)),"")</f>
        <v/>
      </c>
      <c r="Y68" s="6" t="str">
        <f>IFERROR(_xlfn.LET(_xlpm.x,VLOOKUP($C68,[1]Summary!$A$2:$J$118,9,0),IF(_xlpm.x=0,"",_xlpm.x)),"")</f>
        <v/>
      </c>
      <c r="Z68" s="6" t="str">
        <f>IFERROR(_xlfn.LET(_xlpm.x,VLOOKUP($C68,[1]Summary!$A$2:$J$118,10,0),IF(_xlpm.x=0,"",_xlpm.x)),"")</f>
        <v/>
      </c>
    </row>
    <row r="69" spans="1:26" x14ac:dyDescent="0.25">
      <c r="A69" s="2">
        <v>1000000001446</v>
      </c>
      <c r="B69" s="5" t="s">
        <v>153</v>
      </c>
      <c r="C69" s="2">
        <v>3000000000252</v>
      </c>
      <c r="D69" s="5" t="s">
        <v>154</v>
      </c>
      <c r="E69" s="1">
        <v>3</v>
      </c>
      <c r="F69" s="1" t="s">
        <v>86</v>
      </c>
      <c r="G69" s="1">
        <v>4</v>
      </c>
      <c r="H69" s="1">
        <v>2</v>
      </c>
      <c r="I69" s="1">
        <v>2</v>
      </c>
      <c r="J69" s="1"/>
      <c r="K69" s="1">
        <v>50</v>
      </c>
      <c r="L69" s="1" t="str">
        <f>IFERROR(_xlfn.LET(_xlpm.x,VLOOKUP($A69,'[1]Markings Threadings'!$B$3:$L$245,3,0),IF(_xlpm.x=0,"",_xlpm.x)),"")</f>
        <v/>
      </c>
      <c r="M69" s="2" t="str">
        <f>IFERROR(_xlfn.LET(_xlpm.x,VLOOKUP($A69,'[1]Markings Threadings'!$B$3:$L$245,7,0),IF(_xlpm.x=0,"",_xlpm.x)),"")</f>
        <v/>
      </c>
      <c r="N69" s="5" t="str">
        <f>IFERROR(_xlfn.LET(_xlpm.x,VLOOKUP($A69,'[1]Markings Threadings'!$B$3:$L$245,8,0),IF(_xlpm.x=0,"",_xlpm.x)),"")</f>
        <v/>
      </c>
      <c r="O69" s="2" t="str">
        <f>IFERROR(_xlfn.LET(_xlpm.x,VLOOKUP($A69,'[1]Markings Threadings'!$B$3:$L$245,10,0),IF(_xlpm.x=0,"",_xlpm.x)),"")</f>
        <v/>
      </c>
      <c r="P69" s="5" t="str">
        <f>IFERROR(_xlfn.LET(_xlpm.x,VLOOKUP($A69,'[1]Markings Threadings'!$B$3:$L$245,11,0),IF(_xlpm.x=0,"",_xlpm.x)),"")</f>
        <v/>
      </c>
      <c r="Q69" s="1" t="str">
        <f>IFERROR(_xlfn.LET(_xlpm.x,VLOOKUP($A69,'[1]Markings Threadings'!$B$3:$L$245,4,0),IF(_xlpm.x=0,"",_xlpm.x)),"")</f>
        <v/>
      </c>
      <c r="R69" s="1" t="str">
        <f>IFERROR(_xlfn.LET(_xlpm.x,VLOOKUP($A69,'[1]Markings Threadings'!$B$3:$L$245,5,0),IF(_xlpm.x=0,"",_xlpm.x)),"")</f>
        <v/>
      </c>
      <c r="S69" s="1" t="str">
        <f>IFERROR(_xlfn.LET(_xlpm.x,VLOOKUP($A69,'[1]Markings Threadings'!$B$3:$L$245,6,0),IF(_xlpm.x=0,"",_xlpm.x)),"")</f>
        <v/>
      </c>
      <c r="T69" s="6" t="str">
        <f>IFERROR(_xlfn.LET(_xlpm.x,VLOOKUP($C69,[1]Summary!$A$2:$J$118,4,0),IF(_xlpm.x=0,"",_xlpm.x)),"")</f>
        <v/>
      </c>
      <c r="U69" s="6" t="str">
        <f>IFERROR(_xlfn.LET(_xlpm.x,VLOOKUP($C69,[1]Summary!$A$2:$J$118,5,0),IF(_xlpm.x=0,"",_xlpm.x)),"")</f>
        <v/>
      </c>
      <c r="V69" s="6" t="str">
        <f>IFERROR(_xlfn.LET(_xlpm.x,VLOOKUP($C69,[1]Summary!$A$2:$J$118,6,0),IF(_xlpm.x=0,"",_xlpm.x)),"")</f>
        <v/>
      </c>
      <c r="W69" s="6" t="str">
        <f>IFERROR(_xlfn.LET(_xlpm.x,VLOOKUP($C69,[1]Summary!$A$2:$J$118,7,0),IF(_xlpm.x=0,"",_xlpm.x)),"")</f>
        <v/>
      </c>
      <c r="X69" s="6" t="str">
        <f>IFERROR(_xlfn.LET(_xlpm.x,VLOOKUP($C69,[1]Summary!$A$2:$J$118,8,0),IF(_xlpm.x=0,"",_xlpm.x)),"")</f>
        <v/>
      </c>
      <c r="Y69" s="6" t="str">
        <f>IFERROR(_xlfn.LET(_xlpm.x,VLOOKUP($C69,[1]Summary!$A$2:$J$118,9,0),IF(_xlpm.x=0,"",_xlpm.x)),"")</f>
        <v/>
      </c>
      <c r="Z69" s="6" t="str">
        <f>IFERROR(_xlfn.LET(_xlpm.x,VLOOKUP($C69,[1]Summary!$A$2:$J$118,10,0),IF(_xlpm.x=0,"",_xlpm.x)),"")</f>
        <v/>
      </c>
    </row>
    <row r="70" spans="1:26" x14ac:dyDescent="0.25">
      <c r="A70" s="2">
        <v>1000000001474</v>
      </c>
      <c r="B70" s="5" t="s">
        <v>155</v>
      </c>
      <c r="C70" s="2">
        <v>3000000000065</v>
      </c>
      <c r="D70" s="5" t="s">
        <v>156</v>
      </c>
      <c r="E70" s="1">
        <v>3</v>
      </c>
      <c r="F70" s="1" t="s">
        <v>86</v>
      </c>
      <c r="G70" s="1">
        <v>3</v>
      </c>
      <c r="H70" s="1">
        <v>2</v>
      </c>
      <c r="I70" s="1">
        <v>2</v>
      </c>
      <c r="J70" s="1"/>
      <c r="K70" s="1">
        <v>25</v>
      </c>
      <c r="L70" s="1" t="str">
        <f>IFERROR(_xlfn.LET(_xlpm.x,VLOOKUP($A70,'[1]Markings Threadings'!$B$3:$L$245,3,0),IF(_xlpm.x=0,"",_xlpm.x)),"")</f>
        <v>White</v>
      </c>
      <c r="M70" s="2">
        <f>IFERROR(_xlfn.LET(_xlpm.x,VLOOKUP($A70,'[1]Markings Threadings'!$B$3:$L$245,7,0),IF(_xlpm.x=0,"",_xlpm.x)),"")</f>
        <v>5000000000665</v>
      </c>
      <c r="N70" s="5" t="str">
        <f>IFERROR(_xlfn.LET(_xlpm.x,VLOOKUP($A70,'[1]Markings Threadings'!$B$3:$L$245,8,0),IF(_xlpm.x=0,"",_xlpm.x)),"")</f>
        <v>Empty Sack - Salto Stag Conditioner 1kg Packaging</v>
      </c>
      <c r="O70" s="2">
        <f>IFERROR(_xlfn.LET(_xlpm.x,VLOOKUP($A70,'[1]Markings Threadings'!$B$3:$L$245,10,0),IF(_xlpm.x=0,"",_xlpm.x)),"")</f>
        <v>5000000000130</v>
      </c>
      <c r="P70" s="5" t="str">
        <f>IFERROR(_xlfn.LET(_xlpm.x,VLOOKUP($A70,'[1]Markings Threadings'!$B$3:$L$245,11,0),IF(_xlpm.x=0,"",_xlpm.x)),"")</f>
        <v>Tag - Salto Bundle Pack</v>
      </c>
      <c r="Q70" s="1" t="str">
        <f>IFERROR(_xlfn.LET(_xlpm.x,VLOOKUP($A70,'[1]Markings Threadings'!$B$3:$L$245,4,0),IF(_xlpm.x=0,"",_xlpm.x)),"")</f>
        <v/>
      </c>
      <c r="R70" s="1" t="str">
        <f>IFERROR(_xlfn.LET(_xlpm.x,VLOOKUP($A70,'[1]Markings Threadings'!$B$3:$L$245,5,0),IF(_xlpm.x=0,"",_xlpm.x)),"")</f>
        <v/>
      </c>
      <c r="S70" s="1">
        <f>IFERROR(_xlfn.LET(_xlpm.x,VLOOKUP($A70,'[1]Markings Threadings'!$B$3:$L$245,6,0),IF(_xlpm.x=0,"",_xlpm.x)),"")</f>
        <v>1</v>
      </c>
      <c r="T70" s="6">
        <f>IFERROR(_xlfn.LET(_xlpm.x,VLOOKUP($C70,[1]Summary!$A$2:$J$118,4,0),IF(_xlpm.x=0,"",_xlpm.x)),"")</f>
        <v>18.839799390629491</v>
      </c>
      <c r="U70" s="6" t="str">
        <f>IFERROR(_xlfn.LET(_xlpm.x,VLOOKUP($C70,[1]Summary!$A$2:$J$118,5,0),IF(_xlpm.x=0,"",_xlpm.x)),"")</f>
        <v/>
      </c>
      <c r="V70" s="6" t="str">
        <f>IFERROR(_xlfn.LET(_xlpm.x,VLOOKUP($C70,[1]Summary!$A$2:$J$118,6,0),IF(_xlpm.x=0,"",_xlpm.x)),"")</f>
        <v/>
      </c>
      <c r="W70" s="6" t="str">
        <f>IFERROR(_xlfn.LET(_xlpm.x,VLOOKUP($C70,[1]Summary!$A$2:$J$118,7,0),IF(_xlpm.x=0,"",_xlpm.x)),"")</f>
        <v/>
      </c>
      <c r="X70" s="6" t="str">
        <f>IFERROR(_xlfn.LET(_xlpm.x,VLOOKUP($C70,[1]Summary!$A$2:$J$118,8,0),IF(_xlpm.x=0,"",_xlpm.x)),"")</f>
        <v/>
      </c>
      <c r="Y70" s="6" t="str">
        <f>IFERROR(_xlfn.LET(_xlpm.x,VLOOKUP($C70,[1]Summary!$A$2:$J$118,9,0),IF(_xlpm.x=0,"",_xlpm.x)),"")</f>
        <v/>
      </c>
      <c r="Z70" s="6" t="str">
        <f>IFERROR(_xlfn.LET(_xlpm.x,VLOOKUP($C70,[1]Summary!$A$2:$J$118,10,0),IF(_xlpm.x=0,"",_xlpm.x)),"")</f>
        <v/>
      </c>
    </row>
    <row r="71" spans="1:26" x14ac:dyDescent="0.25">
      <c r="A71" s="2">
        <v>1000000001413</v>
      </c>
      <c r="B71" s="5" t="s">
        <v>157</v>
      </c>
      <c r="C71" s="2">
        <v>3000000000065</v>
      </c>
      <c r="D71" s="5" t="s">
        <v>156</v>
      </c>
      <c r="E71" s="1">
        <v>3</v>
      </c>
      <c r="F71" s="1" t="s">
        <v>86</v>
      </c>
      <c r="G71" s="1">
        <v>3</v>
      </c>
      <c r="H71" s="1">
        <v>2</v>
      </c>
      <c r="I71" s="1">
        <v>2</v>
      </c>
      <c r="J71" s="1"/>
      <c r="K71" s="1">
        <v>50</v>
      </c>
      <c r="L71" s="1" t="str">
        <f>IFERROR(_xlfn.LET(_xlpm.x,VLOOKUP($A71,'[1]Markings Threadings'!$B$3:$L$245,3,0),IF(_xlpm.x=0,"",_xlpm.x)),"")</f>
        <v/>
      </c>
      <c r="M71" s="2" t="str">
        <f>IFERROR(_xlfn.LET(_xlpm.x,VLOOKUP($A71,'[1]Markings Threadings'!$B$3:$L$245,7,0),IF(_xlpm.x=0,"",_xlpm.x)),"")</f>
        <v/>
      </c>
      <c r="N71" s="5" t="str">
        <f>IFERROR(_xlfn.LET(_xlpm.x,VLOOKUP($A71,'[1]Markings Threadings'!$B$3:$L$245,8,0),IF(_xlpm.x=0,"",_xlpm.x)),"")</f>
        <v/>
      </c>
      <c r="O71" s="2" t="str">
        <f>IFERROR(_xlfn.LET(_xlpm.x,VLOOKUP($A71,'[1]Markings Threadings'!$B$3:$L$245,10,0),IF(_xlpm.x=0,"",_xlpm.x)),"")</f>
        <v/>
      </c>
      <c r="P71" s="5" t="str">
        <f>IFERROR(_xlfn.LET(_xlpm.x,VLOOKUP($A71,'[1]Markings Threadings'!$B$3:$L$245,11,0),IF(_xlpm.x=0,"",_xlpm.x)),"")</f>
        <v/>
      </c>
      <c r="Q71" s="1" t="str">
        <f>IFERROR(_xlfn.LET(_xlpm.x,VLOOKUP($A71,'[1]Markings Threadings'!$B$3:$L$245,4,0),IF(_xlpm.x=0,"",_xlpm.x)),"")</f>
        <v/>
      </c>
      <c r="R71" s="1" t="str">
        <f>IFERROR(_xlfn.LET(_xlpm.x,VLOOKUP($A71,'[1]Markings Threadings'!$B$3:$L$245,5,0),IF(_xlpm.x=0,"",_xlpm.x)),"")</f>
        <v/>
      </c>
      <c r="S71" s="1" t="str">
        <f>IFERROR(_xlfn.LET(_xlpm.x,VLOOKUP($A71,'[1]Markings Threadings'!$B$3:$L$245,6,0),IF(_xlpm.x=0,"",_xlpm.x)),"")</f>
        <v/>
      </c>
      <c r="T71" s="6">
        <f>IFERROR(_xlfn.LET(_xlpm.x,VLOOKUP($C71,[1]Summary!$A$2:$J$118,4,0),IF(_xlpm.x=0,"",_xlpm.x)),"")</f>
        <v>18.839799390629491</v>
      </c>
      <c r="U71" s="6" t="str">
        <f>IFERROR(_xlfn.LET(_xlpm.x,VLOOKUP($C71,[1]Summary!$A$2:$J$118,5,0),IF(_xlpm.x=0,"",_xlpm.x)),"")</f>
        <v/>
      </c>
      <c r="V71" s="6" t="str">
        <f>IFERROR(_xlfn.LET(_xlpm.x,VLOOKUP($C71,[1]Summary!$A$2:$J$118,6,0),IF(_xlpm.x=0,"",_xlpm.x)),"")</f>
        <v/>
      </c>
      <c r="W71" s="6" t="str">
        <f>IFERROR(_xlfn.LET(_xlpm.x,VLOOKUP($C71,[1]Summary!$A$2:$J$118,7,0),IF(_xlpm.x=0,"",_xlpm.x)),"")</f>
        <v/>
      </c>
      <c r="X71" s="6" t="str">
        <f>IFERROR(_xlfn.LET(_xlpm.x,VLOOKUP($C71,[1]Summary!$A$2:$J$118,8,0),IF(_xlpm.x=0,"",_xlpm.x)),"")</f>
        <v/>
      </c>
      <c r="Y71" s="6" t="str">
        <f>IFERROR(_xlfn.LET(_xlpm.x,VLOOKUP($C71,[1]Summary!$A$2:$J$118,9,0),IF(_xlpm.x=0,"",_xlpm.x)),"")</f>
        <v/>
      </c>
      <c r="Z71" s="6" t="str">
        <f>IFERROR(_xlfn.LET(_xlpm.x,VLOOKUP($C71,[1]Summary!$A$2:$J$118,10,0),IF(_xlpm.x=0,"",_xlpm.x)),"")</f>
        <v/>
      </c>
    </row>
    <row r="72" spans="1:26" x14ac:dyDescent="0.25">
      <c r="A72" s="2">
        <v>1000000001414</v>
      </c>
      <c r="B72" s="5" t="s">
        <v>158</v>
      </c>
      <c r="C72" s="2">
        <v>3000000000067</v>
      </c>
      <c r="D72" s="5" t="s">
        <v>159</v>
      </c>
      <c r="E72" s="1">
        <v>3</v>
      </c>
      <c r="F72" s="1" t="s">
        <v>86</v>
      </c>
      <c r="G72" s="1">
        <v>4</v>
      </c>
      <c r="H72" s="1">
        <v>2</v>
      </c>
      <c r="I72" s="1">
        <v>2</v>
      </c>
      <c r="J72" s="1"/>
      <c r="K72" s="1">
        <v>50</v>
      </c>
      <c r="L72" s="1" t="str">
        <f>IFERROR(_xlfn.LET(_xlpm.x,VLOOKUP($A72,'[1]Markings Threadings'!$B$3:$L$245,3,0),IF(_xlpm.x=0,"",_xlpm.x)),"")</f>
        <v/>
      </c>
      <c r="M72" s="2" t="str">
        <f>IFERROR(_xlfn.LET(_xlpm.x,VLOOKUP($A72,'[1]Markings Threadings'!$B$3:$L$245,7,0),IF(_xlpm.x=0,"",_xlpm.x)),"")</f>
        <v/>
      </c>
      <c r="N72" s="5" t="str">
        <f>IFERROR(_xlfn.LET(_xlpm.x,VLOOKUP($A72,'[1]Markings Threadings'!$B$3:$L$245,8,0),IF(_xlpm.x=0,"",_xlpm.x)),"")</f>
        <v/>
      </c>
      <c r="O72" s="2" t="str">
        <f>IFERROR(_xlfn.LET(_xlpm.x,VLOOKUP($A72,'[1]Markings Threadings'!$B$3:$L$245,10,0),IF(_xlpm.x=0,"",_xlpm.x)),"")</f>
        <v/>
      </c>
      <c r="P72" s="5" t="str">
        <f>IFERROR(_xlfn.LET(_xlpm.x,VLOOKUP($A72,'[1]Markings Threadings'!$B$3:$L$245,11,0),IF(_xlpm.x=0,"",_xlpm.x)),"")</f>
        <v/>
      </c>
      <c r="Q72" s="1" t="str">
        <f>IFERROR(_xlfn.LET(_xlpm.x,VLOOKUP($A72,'[1]Markings Threadings'!$B$3:$L$245,4,0),IF(_xlpm.x=0,"",_xlpm.x)),"")</f>
        <v/>
      </c>
      <c r="R72" s="1" t="str">
        <f>IFERROR(_xlfn.LET(_xlpm.x,VLOOKUP($A72,'[1]Markings Threadings'!$B$3:$L$245,5,0),IF(_xlpm.x=0,"",_xlpm.x)),"")</f>
        <v/>
      </c>
      <c r="S72" s="1" t="str">
        <f>IFERROR(_xlfn.LET(_xlpm.x,VLOOKUP($A72,'[1]Markings Threadings'!$B$3:$L$245,6,0),IF(_xlpm.x=0,"",_xlpm.x)),"")</f>
        <v/>
      </c>
      <c r="T72" s="6">
        <f>IFERROR(_xlfn.LET(_xlpm.x,VLOOKUP($C72,[1]Summary!$A$2:$J$118,4,0),IF(_xlpm.x=0,"",_xlpm.x)),"")</f>
        <v>18.195462301761221</v>
      </c>
      <c r="U72" s="6" t="str">
        <f>IFERROR(_xlfn.LET(_xlpm.x,VLOOKUP($C72,[1]Summary!$A$2:$J$118,5,0),IF(_xlpm.x=0,"",_xlpm.x)),"")</f>
        <v/>
      </c>
      <c r="V72" s="6" t="str">
        <f>IFERROR(_xlfn.LET(_xlpm.x,VLOOKUP($C72,[1]Summary!$A$2:$J$118,6,0),IF(_xlpm.x=0,"",_xlpm.x)),"")</f>
        <v/>
      </c>
      <c r="W72" s="6" t="str">
        <f>IFERROR(_xlfn.LET(_xlpm.x,VLOOKUP($C72,[1]Summary!$A$2:$J$118,7,0),IF(_xlpm.x=0,"",_xlpm.x)),"")</f>
        <v/>
      </c>
      <c r="X72" s="6" t="str">
        <f>IFERROR(_xlfn.LET(_xlpm.x,VLOOKUP($C72,[1]Summary!$A$2:$J$118,8,0),IF(_xlpm.x=0,"",_xlpm.x)),"")</f>
        <v/>
      </c>
      <c r="Y72" s="6" t="str">
        <f>IFERROR(_xlfn.LET(_xlpm.x,VLOOKUP($C72,[1]Summary!$A$2:$J$118,9,0),IF(_xlpm.x=0,"",_xlpm.x)),"")</f>
        <v/>
      </c>
      <c r="Z72" s="6" t="str">
        <f>IFERROR(_xlfn.LET(_xlpm.x,VLOOKUP($C72,[1]Summary!$A$2:$J$118,10,0),IF(_xlpm.x=0,"",_xlpm.x)),"")</f>
        <v/>
      </c>
    </row>
    <row r="73" spans="1:26" x14ac:dyDescent="0.25">
      <c r="A73" s="2">
        <v>1000000001494</v>
      </c>
      <c r="B73" s="5" t="s">
        <v>45</v>
      </c>
      <c r="C73" s="2">
        <v>3000000000393</v>
      </c>
      <c r="D73" s="5" t="s">
        <v>46</v>
      </c>
      <c r="E73" s="1">
        <v>4</v>
      </c>
      <c r="F73" s="1" t="s">
        <v>47</v>
      </c>
      <c r="G73" s="1">
        <v>4</v>
      </c>
      <c r="H73" s="1">
        <v>2</v>
      </c>
      <c r="I73" s="1">
        <v>2</v>
      </c>
      <c r="J73" s="1"/>
      <c r="K73" s="1">
        <v>50</v>
      </c>
      <c r="L73" s="1" t="str">
        <f>IFERROR(_xlfn.LET(_xlpm.x,VLOOKUP($A73,'[1]Markings Threadings'!$B$3:$L$245,3,0),IF(_xlpm.x=0,"",_xlpm.x)),"")</f>
        <v>White</v>
      </c>
      <c r="M73" s="2">
        <f>IFERROR(_xlfn.LET(_xlpm.x,VLOOKUP($A73,'[1]Markings Threadings'!$B$3:$L$245,7,0),IF(_xlpm.x=0,"",_xlpm.x)),"")</f>
        <v>5000000000008</v>
      </c>
      <c r="N73" s="5" t="str">
        <f>IFERROR(_xlfn.LET(_xlpm.x,VLOOKUP($A73,'[1]Markings Threadings'!$B$3:$L$245,8,0),IF(_xlpm.x=0,"",_xlpm.x)),"")</f>
        <v>v2 - Poultry Express Chick Boostex, 50 kg</v>
      </c>
      <c r="O73" s="2">
        <f>IFERROR(_xlfn.LET(_xlpm.x,VLOOKUP($A73,'[1]Markings Threadings'!$B$3:$L$245,10,0),IF(_xlpm.x=0,"",_xlpm.x)),"")</f>
        <v>5000000000674</v>
      </c>
      <c r="P73" s="5" t="str">
        <f>IFERROR(_xlfn.LET(_xlpm.x,VLOOKUP($A73,'[1]Markings Threadings'!$B$3:$L$245,11,0),IF(_xlpm.x=0,"",_xlpm.x)),"")</f>
        <v>Tag P/E Chick Boostex Crumble</v>
      </c>
      <c r="Q73" s="1" t="str">
        <f>IFERROR(_xlfn.LET(_xlpm.x,VLOOKUP($A73,'[1]Markings Threadings'!$B$3:$L$245,4,0),IF(_xlpm.x=0,"",_xlpm.x)),"")</f>
        <v/>
      </c>
      <c r="R73" s="1" t="str">
        <f>IFERROR(_xlfn.LET(_xlpm.x,VLOOKUP($A73,'[1]Markings Threadings'!$B$3:$L$245,5,0),IF(_xlpm.x=0,"",_xlpm.x)),"")</f>
        <v/>
      </c>
      <c r="S73" s="1">
        <f>IFERROR(_xlfn.LET(_xlpm.x,VLOOKUP($A73,'[1]Markings Threadings'!$B$3:$L$245,6,0),IF(_xlpm.x=0,"",_xlpm.x)),"")</f>
        <v>1</v>
      </c>
      <c r="T73" s="6" t="str">
        <f>IFERROR(_xlfn.LET(_xlpm.x,VLOOKUP($C73,[1]Summary!$A$2:$J$118,4,0),IF(_xlpm.x=0,"",_xlpm.x)),"")</f>
        <v/>
      </c>
      <c r="U73" s="6" t="str">
        <f>IFERROR(_xlfn.LET(_xlpm.x,VLOOKUP($C73,[1]Summary!$A$2:$J$118,5,0),IF(_xlpm.x=0,"",_xlpm.x)),"")</f>
        <v/>
      </c>
      <c r="V73" s="6" t="str">
        <f>IFERROR(_xlfn.LET(_xlpm.x,VLOOKUP($C73,[1]Summary!$A$2:$J$118,6,0),IF(_xlpm.x=0,"",_xlpm.x)),"")</f>
        <v/>
      </c>
      <c r="W73" s="6">
        <f>IFERROR(_xlfn.LET(_xlpm.x,VLOOKUP($C73,[1]Summary!$A$2:$J$118,7,0),IF(_xlpm.x=0,"",_xlpm.x)),"")</f>
        <v>8.3128253458483758</v>
      </c>
      <c r="X73" s="6" t="str">
        <f>IFERROR(_xlfn.LET(_xlpm.x,VLOOKUP($C73,[1]Summary!$A$2:$J$118,8,0),IF(_xlpm.x=0,"",_xlpm.x)),"")</f>
        <v/>
      </c>
      <c r="Y73" s="6" t="str">
        <f>IFERROR(_xlfn.LET(_xlpm.x,VLOOKUP($C73,[1]Summary!$A$2:$J$118,9,0),IF(_xlpm.x=0,"",_xlpm.x)),"")</f>
        <v/>
      </c>
      <c r="Z73" s="6" t="str">
        <f>IFERROR(_xlfn.LET(_xlpm.x,VLOOKUP($C73,[1]Summary!$A$2:$J$118,10,0),IF(_xlpm.x=0,"",_xlpm.x)),"")</f>
        <v/>
      </c>
    </row>
    <row r="74" spans="1:26" x14ac:dyDescent="0.25">
      <c r="A74" s="2">
        <v>1000000001497</v>
      </c>
      <c r="B74" s="5" t="s">
        <v>160</v>
      </c>
      <c r="C74" s="2">
        <v>3000000000399</v>
      </c>
      <c r="D74" s="5" t="s">
        <v>161</v>
      </c>
      <c r="E74" s="1">
        <v>4</v>
      </c>
      <c r="F74" s="1" t="s">
        <v>54</v>
      </c>
      <c r="G74" s="1">
        <v>4</v>
      </c>
      <c r="H74" s="1">
        <v>2</v>
      </c>
      <c r="I74" s="1">
        <v>2</v>
      </c>
      <c r="J74" s="1"/>
      <c r="K74" s="1">
        <v>50</v>
      </c>
      <c r="L74" s="1" t="str">
        <f>IFERROR(_xlfn.LET(_xlpm.x,VLOOKUP($A74,'[1]Markings Threadings'!$B$3:$L$245,3,0),IF(_xlpm.x=0,"",_xlpm.x)),"")</f>
        <v>White</v>
      </c>
      <c r="M74" s="2">
        <f>IFERROR(_xlfn.LET(_xlpm.x,VLOOKUP($A74,'[1]Markings Threadings'!$B$3:$L$245,7,0),IF(_xlpm.x=0,"",_xlpm.x)),"")</f>
        <v>5000000000548</v>
      </c>
      <c r="N74" s="5" t="str">
        <f>IFERROR(_xlfn.LET(_xlpm.x,VLOOKUP($A74,'[1]Markings Threadings'!$B$3:$L$245,8,0),IF(_xlpm.x=0,"",_xlpm.x)),"")</f>
        <v>v2 - Poultry Express Chicken Layer, 50 kg</v>
      </c>
      <c r="O74" s="2">
        <f>IFERROR(_xlfn.LET(_xlpm.x,VLOOKUP($A74,'[1]Markings Threadings'!$B$3:$L$245,10,0),IF(_xlpm.x=0,"",_xlpm.x)),"")</f>
        <v>5000000000676</v>
      </c>
      <c r="P74" s="5" t="str">
        <f>IFERROR(_xlfn.LET(_xlpm.x,VLOOKUP($A74,'[1]Markings Threadings'!$B$3:$L$245,11,0),IF(_xlpm.x=0,"",_xlpm.x)),"")</f>
        <v>Tag - P/E Chicken Layex Crumble</v>
      </c>
      <c r="Q74" s="1" t="str">
        <f>IFERROR(_xlfn.LET(_xlpm.x,VLOOKUP($A74,'[1]Markings Threadings'!$B$3:$L$245,4,0),IF(_xlpm.x=0,"",_xlpm.x)),"")</f>
        <v/>
      </c>
      <c r="R74" s="1" t="str">
        <f>IFERROR(_xlfn.LET(_xlpm.x,VLOOKUP($A74,'[1]Markings Threadings'!$B$3:$L$245,5,0),IF(_xlpm.x=0,"",_xlpm.x)),"")</f>
        <v/>
      </c>
      <c r="S74" s="1">
        <f>IFERROR(_xlfn.LET(_xlpm.x,VLOOKUP($A74,'[1]Markings Threadings'!$B$3:$L$245,6,0),IF(_xlpm.x=0,"",_xlpm.x)),"")</f>
        <v>1</v>
      </c>
      <c r="T74" s="6" t="str">
        <f>IFERROR(_xlfn.LET(_xlpm.x,VLOOKUP($C74,[1]Summary!$A$2:$J$118,4,0),IF(_xlpm.x=0,"",_xlpm.x)),"")</f>
        <v/>
      </c>
      <c r="U74" s="6" t="str">
        <f>IFERROR(_xlfn.LET(_xlpm.x,VLOOKUP($C74,[1]Summary!$A$2:$J$118,5,0),IF(_xlpm.x=0,"",_xlpm.x)),"")</f>
        <v/>
      </c>
      <c r="V74" s="6">
        <f>IFERROR(_xlfn.LET(_xlpm.x,VLOOKUP($C74,[1]Summary!$A$2:$J$118,6,0),IF(_xlpm.x=0,"",_xlpm.x)),"")</f>
        <v>7.7236435862068973</v>
      </c>
      <c r="W74" s="6">
        <f>IFERROR(_xlfn.LET(_xlpm.x,VLOOKUP($C74,[1]Summary!$A$2:$J$118,7,0),IF(_xlpm.x=0,"",_xlpm.x)),"")</f>
        <v>8.6042009157667394</v>
      </c>
      <c r="X74" s="6" t="str">
        <f>IFERROR(_xlfn.LET(_xlpm.x,VLOOKUP($C74,[1]Summary!$A$2:$J$118,8,0),IF(_xlpm.x=0,"",_xlpm.x)),"")</f>
        <v/>
      </c>
      <c r="Y74" s="6">
        <f>IFERROR(_xlfn.LET(_xlpm.x,VLOOKUP($C74,[1]Summary!$A$2:$J$118,9,0),IF(_xlpm.x=0,"",_xlpm.x)),"")</f>
        <v>8.0800880784242182</v>
      </c>
      <c r="Z74" s="6" t="str">
        <f>IFERROR(_xlfn.LET(_xlpm.x,VLOOKUP($C74,[1]Summary!$A$2:$J$118,10,0),IF(_xlpm.x=0,"",_xlpm.x)),"")</f>
        <v/>
      </c>
    </row>
    <row r="75" spans="1:26" x14ac:dyDescent="0.25">
      <c r="A75" s="2">
        <v>1000000000011</v>
      </c>
      <c r="B75" s="5" t="s">
        <v>162</v>
      </c>
      <c r="C75" s="2">
        <v>3000000000330</v>
      </c>
      <c r="D75" s="5" t="s">
        <v>163</v>
      </c>
      <c r="E75" s="1">
        <v>4</v>
      </c>
      <c r="F75" s="1" t="s">
        <v>47</v>
      </c>
      <c r="G75" s="1">
        <v>4</v>
      </c>
      <c r="H75" s="1">
        <v>2</v>
      </c>
      <c r="I75" s="1">
        <v>2</v>
      </c>
      <c r="J75" s="1"/>
      <c r="K75" s="1">
        <v>50</v>
      </c>
      <c r="L75" s="1" t="str">
        <f>IFERROR(_xlfn.LET(_xlpm.x,VLOOKUP($A75,'[1]Markings Threadings'!$B$3:$L$245,3,0),IF(_xlpm.x=0,"",_xlpm.x)),"")</f>
        <v>White Yellow</v>
      </c>
      <c r="M75" s="2">
        <f>IFERROR(_xlfn.LET(_xlpm.x,VLOOKUP($A75,'[1]Markings Threadings'!$B$3:$L$245,7,0),IF(_xlpm.x=0,"",_xlpm.x)),"")</f>
        <v>5000000000557</v>
      </c>
      <c r="N75" s="5" t="str">
        <f>IFERROR(_xlfn.LET(_xlpm.x,VLOOKUP($A75,'[1]Markings Threadings'!$B$3:$L$245,8,0),IF(_xlpm.x=0,"",_xlpm.x)),"")</f>
        <v>v2 - Poultry Solutions Broiler Booster, 50kg</v>
      </c>
      <c r="O75" s="2">
        <f>IFERROR(_xlfn.LET(_xlpm.x,VLOOKUP($A75,'[1]Markings Threadings'!$B$3:$L$245,10,0),IF(_xlpm.x=0,"",_xlpm.x)),"")</f>
        <v>5000000000154</v>
      </c>
      <c r="P75" s="5" t="str">
        <f>IFERROR(_xlfn.LET(_xlpm.x,VLOOKUP($A75,'[1]Markings Threadings'!$B$3:$L$245,11,0),IF(_xlpm.x=0,"",_xlpm.x)),"")</f>
        <v>Tag - Poultry Solutions Broiler Booster, 50kg</v>
      </c>
      <c r="Q75" s="1" t="str">
        <f>IFERROR(_xlfn.LET(_xlpm.x,VLOOKUP($A75,'[1]Markings Threadings'!$B$3:$L$245,4,0),IF(_xlpm.x=0,"",_xlpm.x)),"")</f>
        <v>011 MD</v>
      </c>
      <c r="R75" s="1" t="str">
        <f>IFERROR(_xlfn.LET(_xlpm.x,VLOOKUP($A75,'[1]Markings Threadings'!$B$3:$L$245,5,0),IF(_xlpm.x=0,"",_xlpm.x)),"")</f>
        <v/>
      </c>
      <c r="S75" s="1">
        <f>IFERROR(_xlfn.LET(_xlpm.x,VLOOKUP($A75,'[1]Markings Threadings'!$B$3:$L$245,6,0),IF(_xlpm.x=0,"",_xlpm.x)),"")</f>
        <v>6</v>
      </c>
      <c r="T75" s="6" t="str">
        <f>IFERROR(_xlfn.LET(_xlpm.x,VLOOKUP($C75,[1]Summary!$A$2:$J$118,4,0),IF(_xlpm.x=0,"",_xlpm.x)),"")</f>
        <v/>
      </c>
      <c r="U75" s="6" t="str">
        <f>IFERROR(_xlfn.LET(_xlpm.x,VLOOKUP($C75,[1]Summary!$A$2:$J$118,5,0),IF(_xlpm.x=0,"",_xlpm.x)),"")</f>
        <v/>
      </c>
      <c r="V75" s="6" t="str">
        <f>IFERROR(_xlfn.LET(_xlpm.x,VLOOKUP($C75,[1]Summary!$A$2:$J$118,6,0),IF(_xlpm.x=0,"",_xlpm.x)),"")</f>
        <v/>
      </c>
      <c r="W75" s="6">
        <f>IFERROR(_xlfn.LET(_xlpm.x,VLOOKUP($C75,[1]Summary!$A$2:$J$118,7,0),IF(_xlpm.x=0,"",_xlpm.x)),"")</f>
        <v>8.3932654179324739</v>
      </c>
      <c r="X75" s="6" t="str">
        <f>IFERROR(_xlfn.LET(_xlpm.x,VLOOKUP($C75,[1]Summary!$A$2:$J$118,8,0),IF(_xlpm.x=0,"",_xlpm.x)),"")</f>
        <v/>
      </c>
      <c r="Y75" s="6" t="str">
        <f>IFERROR(_xlfn.LET(_xlpm.x,VLOOKUP($C75,[1]Summary!$A$2:$J$118,9,0),IF(_xlpm.x=0,"",_xlpm.x)),"")</f>
        <v/>
      </c>
      <c r="Z75" s="6" t="str">
        <f>IFERROR(_xlfn.LET(_xlpm.x,VLOOKUP($C75,[1]Summary!$A$2:$J$118,10,0),IF(_xlpm.x=0,"",_xlpm.x)),"")</f>
        <v/>
      </c>
    </row>
    <row r="76" spans="1:26" x14ac:dyDescent="0.25">
      <c r="A76" s="2">
        <v>1000000000934</v>
      </c>
      <c r="B76" s="5" t="s">
        <v>164</v>
      </c>
      <c r="C76" s="2">
        <v>3000000000080</v>
      </c>
      <c r="D76" s="5" t="s">
        <v>165</v>
      </c>
      <c r="E76" s="1">
        <v>3</v>
      </c>
      <c r="F76" s="1" t="s">
        <v>86</v>
      </c>
      <c r="G76" s="1">
        <v>4</v>
      </c>
      <c r="H76" s="1">
        <v>2</v>
      </c>
      <c r="I76" s="1">
        <v>2</v>
      </c>
      <c r="J76" s="1"/>
      <c r="K76" s="1">
        <v>50</v>
      </c>
      <c r="L76" s="1" t="str">
        <f>IFERROR(_xlfn.LET(_xlpm.x,VLOOKUP($A76,'[1]Markings Threadings'!$B$3:$L$245,3,0),IF(_xlpm.x=0,"",_xlpm.x)),"")</f>
        <v>White</v>
      </c>
      <c r="M76" s="2">
        <f>IFERROR(_xlfn.LET(_xlpm.x,VLOOKUP($A76,'[1]Markings Threadings'!$B$3:$L$245,7,0),IF(_xlpm.x=0,"",_xlpm.x)),"")</f>
        <v>5000000000669</v>
      </c>
      <c r="N76" s="5" t="str">
        <f>IFERROR(_xlfn.LET(_xlpm.x,VLOOKUP($A76,'[1]Markings Threadings'!$B$3:$L$245,8,0),IF(_xlpm.x=0,"",_xlpm.x)),"")</f>
        <v>Empty Sacks - Gallimax Pigeon Pellet</v>
      </c>
      <c r="O76" s="2">
        <f>IFERROR(_xlfn.LET(_xlpm.x,VLOOKUP($A76,'[1]Markings Threadings'!$B$3:$L$245,10,0),IF(_xlpm.x=0,"",_xlpm.x)),"")</f>
        <v>5000000000668</v>
      </c>
      <c r="P76" s="5" t="str">
        <f>IFERROR(_xlfn.LET(_xlpm.x,VLOOKUP($A76,'[1]Markings Threadings'!$B$3:$L$245,11,0),IF(_xlpm.x=0,"",_xlpm.x)),"")</f>
        <v>Tag - Gallimax Pigeon Pellet</v>
      </c>
      <c r="Q76" s="1" t="str">
        <f>IFERROR(_xlfn.LET(_xlpm.x,VLOOKUP($A76,'[1]Markings Threadings'!$B$3:$L$245,4,0),IF(_xlpm.x=0,"",_xlpm.x)),"")</f>
        <v/>
      </c>
      <c r="R76" s="1" t="str">
        <f>IFERROR(_xlfn.LET(_xlpm.x,VLOOKUP($A76,'[1]Markings Threadings'!$B$3:$L$245,5,0),IF(_xlpm.x=0,"",_xlpm.x)),"")</f>
        <v/>
      </c>
      <c r="S76" s="1">
        <f>IFERROR(_xlfn.LET(_xlpm.x,VLOOKUP($A76,'[1]Markings Threadings'!$B$3:$L$245,6,0),IF(_xlpm.x=0,"",_xlpm.x)),"")</f>
        <v>1</v>
      </c>
      <c r="T76" s="6">
        <f>IFERROR(_xlfn.LET(_xlpm.x,VLOOKUP($C76,[1]Summary!$A$2:$J$118,4,0),IF(_xlpm.x=0,"",_xlpm.x)),"")</f>
        <v>19.397075706027227</v>
      </c>
      <c r="U76" s="6" t="str">
        <f>IFERROR(_xlfn.LET(_xlpm.x,VLOOKUP($C76,[1]Summary!$A$2:$J$118,5,0),IF(_xlpm.x=0,"",_xlpm.x)),"")</f>
        <v/>
      </c>
      <c r="V76" s="6" t="str">
        <f>IFERROR(_xlfn.LET(_xlpm.x,VLOOKUP($C76,[1]Summary!$A$2:$J$118,6,0),IF(_xlpm.x=0,"",_xlpm.x)),"")</f>
        <v/>
      </c>
      <c r="W76" s="6" t="str">
        <f>IFERROR(_xlfn.LET(_xlpm.x,VLOOKUP($C76,[1]Summary!$A$2:$J$118,7,0),IF(_xlpm.x=0,"",_xlpm.x)),"")</f>
        <v/>
      </c>
      <c r="X76" s="6" t="str">
        <f>IFERROR(_xlfn.LET(_xlpm.x,VLOOKUP($C76,[1]Summary!$A$2:$J$118,8,0),IF(_xlpm.x=0,"",_xlpm.x)),"")</f>
        <v/>
      </c>
      <c r="Y76" s="6" t="str">
        <f>IFERROR(_xlfn.LET(_xlpm.x,VLOOKUP($C76,[1]Summary!$A$2:$J$118,9,0),IF(_xlpm.x=0,"",_xlpm.x)),"")</f>
        <v/>
      </c>
      <c r="Z76" s="6" t="str">
        <f>IFERROR(_xlfn.LET(_xlpm.x,VLOOKUP($C76,[1]Summary!$A$2:$J$118,10,0),IF(_xlpm.x=0,"",_xlpm.x)),"")</f>
        <v/>
      </c>
    </row>
    <row r="77" spans="1:26" x14ac:dyDescent="0.25">
      <c r="A77" s="2">
        <v>1000000001495</v>
      </c>
      <c r="B77" s="5" t="s">
        <v>166</v>
      </c>
      <c r="C77" s="2">
        <v>3000000000395</v>
      </c>
      <c r="D77" s="5" t="s">
        <v>167</v>
      </c>
      <c r="E77" s="1">
        <v>4</v>
      </c>
      <c r="F77" s="1" t="s">
        <v>54</v>
      </c>
      <c r="G77" s="1">
        <v>4</v>
      </c>
      <c r="H77" s="1">
        <v>2</v>
      </c>
      <c r="I77" s="1">
        <v>2</v>
      </c>
      <c r="J77" s="1"/>
      <c r="K77" s="1">
        <v>50</v>
      </c>
      <c r="L77" s="1" t="str">
        <f>IFERROR(_xlfn.LET(_xlpm.x,VLOOKUP($A77,'[1]Markings Threadings'!$B$3:$L$245,3,0),IF(_xlpm.x=0,"",_xlpm.x)),"")</f>
        <v>Red</v>
      </c>
      <c r="M77" s="2">
        <f>IFERROR(_xlfn.LET(_xlpm.x,VLOOKUP($A77,'[1]Markings Threadings'!$B$3:$L$245,7,0),IF(_xlpm.x=0,"",_xlpm.x)),"")</f>
        <v>5000000000545</v>
      </c>
      <c r="N77" s="5" t="str">
        <f>IFERROR(_xlfn.LET(_xlpm.x,VLOOKUP($A77,'[1]Markings Threadings'!$B$3:$L$245,8,0),IF(_xlpm.x=0,"",_xlpm.x)),"")</f>
        <v>v2 - Poultry Express Broiler Finex, 50 kg</v>
      </c>
      <c r="O77" s="2">
        <f>IFERROR(_xlfn.LET(_xlpm.x,VLOOKUP($A77,'[1]Markings Threadings'!$B$3:$L$245,10,0),IF(_xlpm.x=0,"",_xlpm.x)),"")</f>
        <v>5000000000094</v>
      </c>
      <c r="P77" s="5" t="str">
        <f>IFERROR(_xlfn.LET(_xlpm.x,VLOOKUP($A77,'[1]Markings Threadings'!$B$3:$L$245,11,0),IF(_xlpm.x=0,"",_xlpm.x)),"")</f>
        <v>Tag - P/E Broiler Finex Crumble</v>
      </c>
      <c r="Q77" s="1" t="str">
        <f>IFERROR(_xlfn.LET(_xlpm.x,VLOOKUP($A77,'[1]Markings Threadings'!$B$3:$L$245,4,0),IF(_xlpm.x=0,"",_xlpm.x)),"")</f>
        <v/>
      </c>
      <c r="R77" s="1" t="str">
        <f>IFERROR(_xlfn.LET(_xlpm.x,VLOOKUP($A77,'[1]Markings Threadings'!$B$3:$L$245,5,0),IF(_xlpm.x=0,"",_xlpm.x)),"")</f>
        <v/>
      </c>
      <c r="S77" s="1">
        <f>IFERROR(_xlfn.LET(_xlpm.x,VLOOKUP($A77,'[1]Markings Threadings'!$B$3:$L$245,6,0),IF(_xlpm.x=0,"",_xlpm.x)),"")</f>
        <v>2</v>
      </c>
      <c r="T77" s="6" t="str">
        <f>IFERROR(_xlfn.LET(_xlpm.x,VLOOKUP($C77,[1]Summary!$A$2:$J$118,4,0),IF(_xlpm.x=0,"",_xlpm.x)),"")</f>
        <v/>
      </c>
      <c r="U77" s="6" t="str">
        <f>IFERROR(_xlfn.LET(_xlpm.x,VLOOKUP($C77,[1]Summary!$A$2:$J$118,5,0),IF(_xlpm.x=0,"",_xlpm.x)),"")</f>
        <v/>
      </c>
      <c r="V77" s="6">
        <f>IFERROR(_xlfn.LET(_xlpm.x,VLOOKUP($C77,[1]Summary!$A$2:$J$118,6,0),IF(_xlpm.x=0,"",_xlpm.x)),"")</f>
        <v>8.2126480095808372</v>
      </c>
      <c r="W77" s="6" t="str">
        <f>IFERROR(_xlfn.LET(_xlpm.x,VLOOKUP($C77,[1]Summary!$A$2:$J$118,7,0),IF(_xlpm.x=0,"",_xlpm.x)),"")</f>
        <v/>
      </c>
      <c r="X77" s="6" t="str">
        <f>IFERROR(_xlfn.LET(_xlpm.x,VLOOKUP($C77,[1]Summary!$A$2:$J$118,8,0),IF(_xlpm.x=0,"",_xlpm.x)),"")</f>
        <v/>
      </c>
      <c r="Y77" s="6" t="str">
        <f>IFERROR(_xlfn.LET(_xlpm.x,VLOOKUP($C77,[1]Summary!$A$2:$J$118,9,0),IF(_xlpm.x=0,"",_xlpm.x)),"")</f>
        <v/>
      </c>
      <c r="Z77" s="6">
        <f>IFERROR(_xlfn.LET(_xlpm.x,VLOOKUP($C77,[1]Summary!$A$2:$J$118,10,0),IF(_xlpm.x=0,"",_xlpm.x)),"")</f>
        <v>8.1853528811374403</v>
      </c>
    </row>
    <row r="78" spans="1:26" x14ac:dyDescent="0.25">
      <c r="A78" s="2">
        <v>1000000001496</v>
      </c>
      <c r="B78" s="5" t="s">
        <v>168</v>
      </c>
      <c r="C78" s="2">
        <v>3000000000397</v>
      </c>
      <c r="D78" s="5" t="s">
        <v>169</v>
      </c>
      <c r="E78" s="1">
        <v>4</v>
      </c>
      <c r="F78" s="1" t="s">
        <v>67</v>
      </c>
      <c r="G78" s="1">
        <v>4</v>
      </c>
      <c r="H78" s="1">
        <v>2</v>
      </c>
      <c r="I78" s="1">
        <v>2</v>
      </c>
      <c r="J78" s="1"/>
      <c r="K78" s="1">
        <v>50</v>
      </c>
      <c r="L78" s="1" t="str">
        <f>IFERROR(_xlfn.LET(_xlpm.x,VLOOKUP($A78,'[1]Markings Threadings'!$B$3:$L$245,3,0),IF(_xlpm.x=0,"",_xlpm.x)),"")</f>
        <v>White</v>
      </c>
      <c r="M78" s="2">
        <f>IFERROR(_xlfn.LET(_xlpm.x,VLOOKUP($A78,'[1]Markings Threadings'!$B$3:$L$245,7,0),IF(_xlpm.x=0,"",_xlpm.x)),"")</f>
        <v>5000000000546</v>
      </c>
      <c r="N78" s="5" t="str">
        <f>IFERROR(_xlfn.LET(_xlpm.x,VLOOKUP($A78,'[1]Markings Threadings'!$B$3:$L$245,8,0),IF(_xlpm.x=0,"",_xlpm.x)),"")</f>
        <v>v2 - Poultry Express Chick Growex, 50 kg</v>
      </c>
      <c r="O78" s="2">
        <f>IFERROR(_xlfn.LET(_xlpm.x,VLOOKUP($A78,'[1]Markings Threadings'!$B$3:$L$245,10,0),IF(_xlpm.x=0,"",_xlpm.x)),"")</f>
        <v>5000000000675</v>
      </c>
      <c r="P78" s="5" t="str">
        <f>IFERROR(_xlfn.LET(_xlpm.x,VLOOKUP($A78,'[1]Markings Threadings'!$B$3:$L$245,11,0),IF(_xlpm.x=0,"",_xlpm.x)),"")</f>
        <v>Tag - P/E Chick Growex Crumble</v>
      </c>
      <c r="Q78" s="1" t="str">
        <f>IFERROR(_xlfn.LET(_xlpm.x,VLOOKUP($A78,'[1]Markings Threadings'!$B$3:$L$245,4,0),IF(_xlpm.x=0,"",_xlpm.x)),"")</f>
        <v/>
      </c>
      <c r="R78" s="1" t="str">
        <f>IFERROR(_xlfn.LET(_xlpm.x,VLOOKUP($A78,'[1]Markings Threadings'!$B$3:$L$245,5,0),IF(_xlpm.x=0,"",_xlpm.x)),"")</f>
        <v/>
      </c>
      <c r="S78" s="1">
        <f>IFERROR(_xlfn.LET(_xlpm.x,VLOOKUP($A78,'[1]Markings Threadings'!$B$3:$L$245,6,0),IF(_xlpm.x=0,"",_xlpm.x)),"")</f>
        <v>1</v>
      </c>
      <c r="T78" s="6" t="str">
        <f>IFERROR(_xlfn.LET(_xlpm.x,VLOOKUP($C78,[1]Summary!$A$2:$J$118,4,0),IF(_xlpm.x=0,"",_xlpm.x)),"")</f>
        <v/>
      </c>
      <c r="U78" s="6" t="str">
        <f>IFERROR(_xlfn.LET(_xlpm.x,VLOOKUP($C78,[1]Summary!$A$2:$J$118,5,0),IF(_xlpm.x=0,"",_xlpm.x)),"")</f>
        <v/>
      </c>
      <c r="V78" s="6">
        <f>IFERROR(_xlfn.LET(_xlpm.x,VLOOKUP($C78,[1]Summary!$A$2:$J$118,6,0),IF(_xlpm.x=0,"",_xlpm.x)),"")</f>
        <v>7.1647390389536545</v>
      </c>
      <c r="W78" s="6">
        <f>IFERROR(_xlfn.LET(_xlpm.x,VLOOKUP($C78,[1]Summary!$A$2:$J$118,7,0),IF(_xlpm.x=0,"",_xlpm.x)),"")</f>
        <v>7.8445342372881344</v>
      </c>
      <c r="X78" s="6" t="str">
        <f>IFERROR(_xlfn.LET(_xlpm.x,VLOOKUP($C78,[1]Summary!$A$2:$J$118,8,0),IF(_xlpm.x=0,"",_xlpm.x)),"")</f>
        <v/>
      </c>
      <c r="Y78" s="6">
        <f>IFERROR(_xlfn.LET(_xlpm.x,VLOOKUP($C78,[1]Summary!$A$2:$J$118,9,0),IF(_xlpm.x=0,"",_xlpm.x)),"")</f>
        <v>6.9909565616045821</v>
      </c>
      <c r="Z78" s="6" t="str">
        <f>IFERROR(_xlfn.LET(_xlpm.x,VLOOKUP($C78,[1]Summary!$A$2:$J$118,10,0),IF(_xlpm.x=0,"",_xlpm.x)),"")</f>
        <v/>
      </c>
    </row>
    <row r="79" spans="1:26" x14ac:dyDescent="0.25">
      <c r="A79" s="2">
        <v>1000000001664</v>
      </c>
      <c r="B79" s="5" t="s">
        <v>170</v>
      </c>
      <c r="C79" s="2">
        <v>3000000000224</v>
      </c>
      <c r="D79" s="5" t="s">
        <v>171</v>
      </c>
      <c r="E79" s="1"/>
      <c r="F79" s="1" t="s">
        <v>44</v>
      </c>
      <c r="G79" s="1">
        <v>2</v>
      </c>
      <c r="H79" s="1">
        <v>2</v>
      </c>
      <c r="I79" s="1">
        <v>2</v>
      </c>
      <c r="J79" s="1"/>
      <c r="K79" s="1">
        <v>25</v>
      </c>
      <c r="L79" s="1" t="str">
        <f>IFERROR(_xlfn.LET(_xlpm.x,VLOOKUP($A79,'[1]Markings Threadings'!$B$3:$L$245,3,0),IF(_xlpm.x=0,"",_xlpm.x)),"")</f>
        <v>Orange</v>
      </c>
      <c r="M79" s="2">
        <f>IFERROR(_xlfn.LET(_xlpm.x,VLOOKUP($A79,'[1]Markings Threadings'!$B$3:$L$245,7,0),IF(_xlpm.x=0,"",_xlpm.x)),"")</f>
        <v>5000000000055</v>
      </c>
      <c r="N79" s="5" t="str">
        <f>IFERROR(_xlfn.LET(_xlpm.x,VLOOKUP($A79,'[1]Markings Threadings'!$B$3:$L$245,8,0),IF(_xlpm.x=0,"",_xlpm.x)),"")</f>
        <v>Pork Solution Hog Booster 25kg</v>
      </c>
      <c r="O79" s="2">
        <f>IFERROR(_xlfn.LET(_xlpm.x,VLOOKUP($A79,'[1]Markings Threadings'!$B$3:$L$245,10,0),IF(_xlpm.x=0,"",_xlpm.x)),"")</f>
        <v>5000000000109</v>
      </c>
      <c r="P79" s="5" t="str">
        <f>IFERROR(_xlfn.LET(_xlpm.x,VLOOKUP($A79,'[1]Markings Threadings'!$B$3:$L$245,11,0),IF(_xlpm.x=0,"",_xlpm.x)),"")</f>
        <v>Pork Solutions Hog Booster Mash</v>
      </c>
      <c r="Q79" s="1">
        <f>IFERROR(_xlfn.LET(_xlpm.x,VLOOKUP($A79,'[1]Markings Threadings'!$B$3:$L$245,4,0),IF(_xlpm.x=0,"",_xlpm.x)),"")</f>
        <v>1664</v>
      </c>
      <c r="R79" s="1" t="str">
        <f>IFERROR(_xlfn.LET(_xlpm.x,VLOOKUP($A79,'[1]Markings Threadings'!$B$3:$L$245,5,0),IF(_xlpm.x=0,"",_xlpm.x)),"")</f>
        <v/>
      </c>
      <c r="S79" s="1">
        <f>IFERROR(_xlfn.LET(_xlpm.x,VLOOKUP($A79,'[1]Markings Threadings'!$B$3:$L$245,6,0),IF(_xlpm.x=0,"",_xlpm.x)),"")</f>
        <v>5</v>
      </c>
      <c r="T79" s="6" t="str">
        <f>IFERROR(_xlfn.LET(_xlpm.x,VLOOKUP($C79,[1]Summary!$A$2:$J$118,4,0),IF(_xlpm.x=0,"",_xlpm.x)),"")</f>
        <v/>
      </c>
      <c r="U79" s="6" t="str">
        <f>IFERROR(_xlfn.LET(_xlpm.x,VLOOKUP($C79,[1]Summary!$A$2:$J$118,5,0),IF(_xlpm.x=0,"",_xlpm.x)),"")</f>
        <v/>
      </c>
      <c r="V79" s="6" t="str">
        <f>IFERROR(_xlfn.LET(_xlpm.x,VLOOKUP($C79,[1]Summary!$A$2:$J$118,6,0),IF(_xlpm.x=0,"",_xlpm.x)),"")</f>
        <v/>
      </c>
      <c r="W79" s="6" t="str">
        <f>IFERROR(_xlfn.LET(_xlpm.x,VLOOKUP($C79,[1]Summary!$A$2:$J$118,7,0),IF(_xlpm.x=0,"",_xlpm.x)),"")</f>
        <v/>
      </c>
      <c r="X79" s="6" t="str">
        <f>IFERROR(_xlfn.LET(_xlpm.x,VLOOKUP($C79,[1]Summary!$A$2:$J$118,8,0),IF(_xlpm.x=0,"",_xlpm.x)),"")</f>
        <v/>
      </c>
      <c r="Y79" s="6" t="str">
        <f>IFERROR(_xlfn.LET(_xlpm.x,VLOOKUP($C79,[1]Summary!$A$2:$J$118,9,0),IF(_xlpm.x=0,"",_xlpm.x)),"")</f>
        <v/>
      </c>
      <c r="Z79" s="6" t="str">
        <f>IFERROR(_xlfn.LET(_xlpm.x,VLOOKUP($C79,[1]Summary!$A$2:$J$118,10,0),IF(_xlpm.x=0,"",_xlpm.x)),"")</f>
        <v/>
      </c>
    </row>
    <row r="80" spans="1:26" x14ac:dyDescent="0.25">
      <c r="A80" s="2">
        <v>1000000001260</v>
      </c>
      <c r="B80" s="5" t="s">
        <v>172</v>
      </c>
      <c r="C80" s="2">
        <v>3000000000228</v>
      </c>
      <c r="D80" s="5" t="s">
        <v>173</v>
      </c>
      <c r="E80" s="1">
        <v>4</v>
      </c>
      <c r="F80" s="1" t="s">
        <v>28</v>
      </c>
      <c r="G80" s="1">
        <v>4</v>
      </c>
      <c r="H80" s="1">
        <v>2</v>
      </c>
      <c r="I80" s="1">
        <v>2</v>
      </c>
      <c r="J80" s="1"/>
      <c r="K80" s="1">
        <v>50</v>
      </c>
      <c r="L80" s="1" t="str">
        <f>IFERROR(_xlfn.LET(_xlpm.x,VLOOKUP($A80,'[1]Markings Threadings'!$B$3:$L$245,3,0),IF(_xlpm.x=0,"",_xlpm.x)),"")</f>
        <v/>
      </c>
      <c r="M80" s="2" t="str">
        <f>IFERROR(_xlfn.LET(_xlpm.x,VLOOKUP($A80,'[1]Markings Threadings'!$B$3:$L$245,7,0),IF(_xlpm.x=0,"",_xlpm.x)),"")</f>
        <v/>
      </c>
      <c r="N80" s="5" t="str">
        <f>IFERROR(_xlfn.LET(_xlpm.x,VLOOKUP($A80,'[1]Markings Threadings'!$B$3:$L$245,8,0),IF(_xlpm.x=0,"",_xlpm.x)),"")</f>
        <v/>
      </c>
      <c r="O80" s="2" t="str">
        <f>IFERROR(_xlfn.LET(_xlpm.x,VLOOKUP($A80,'[1]Markings Threadings'!$B$3:$L$245,10,0),IF(_xlpm.x=0,"",_xlpm.x)),"")</f>
        <v/>
      </c>
      <c r="P80" s="5" t="str">
        <f>IFERROR(_xlfn.LET(_xlpm.x,VLOOKUP($A80,'[1]Markings Threadings'!$B$3:$L$245,11,0),IF(_xlpm.x=0,"",_xlpm.x)),"")</f>
        <v/>
      </c>
      <c r="Q80" s="1" t="str">
        <f>IFERROR(_xlfn.LET(_xlpm.x,VLOOKUP($A80,'[1]Markings Threadings'!$B$3:$L$245,4,0),IF(_xlpm.x=0,"",_xlpm.x)),"")</f>
        <v/>
      </c>
      <c r="R80" s="1" t="str">
        <f>IFERROR(_xlfn.LET(_xlpm.x,VLOOKUP($A80,'[1]Markings Threadings'!$B$3:$L$245,5,0),IF(_xlpm.x=0,"",_xlpm.x)),"")</f>
        <v/>
      </c>
      <c r="S80" s="1" t="str">
        <f>IFERROR(_xlfn.LET(_xlpm.x,VLOOKUP($A80,'[1]Markings Threadings'!$B$3:$L$245,6,0),IF(_xlpm.x=0,"",_xlpm.x)),"")</f>
        <v/>
      </c>
      <c r="T80" s="6" t="str">
        <f>IFERROR(_xlfn.LET(_xlpm.x,VLOOKUP($C80,[1]Summary!$A$2:$J$118,4,0),IF(_xlpm.x=0,"",_xlpm.x)),"")</f>
        <v/>
      </c>
      <c r="U80" s="6" t="str">
        <f>IFERROR(_xlfn.LET(_xlpm.x,VLOOKUP($C80,[1]Summary!$A$2:$J$118,5,0),IF(_xlpm.x=0,"",_xlpm.x)),"")</f>
        <v/>
      </c>
      <c r="V80" s="6" t="str">
        <f>IFERROR(_xlfn.LET(_xlpm.x,VLOOKUP($C80,[1]Summary!$A$2:$J$118,6,0),IF(_xlpm.x=0,"",_xlpm.x)),"")</f>
        <v/>
      </c>
      <c r="W80" s="6" t="str">
        <f>IFERROR(_xlfn.LET(_xlpm.x,VLOOKUP($C80,[1]Summary!$A$2:$J$118,7,0),IF(_xlpm.x=0,"",_xlpm.x)),"")</f>
        <v/>
      </c>
      <c r="X80" s="6" t="str">
        <f>IFERROR(_xlfn.LET(_xlpm.x,VLOOKUP($C80,[1]Summary!$A$2:$J$118,8,0),IF(_xlpm.x=0,"",_xlpm.x)),"")</f>
        <v/>
      </c>
      <c r="Y80" s="6" t="str">
        <f>IFERROR(_xlfn.LET(_xlpm.x,VLOOKUP($C80,[1]Summary!$A$2:$J$118,9,0),IF(_xlpm.x=0,"",_xlpm.x)),"")</f>
        <v/>
      </c>
      <c r="Z80" s="6" t="str">
        <f>IFERROR(_xlfn.LET(_xlpm.x,VLOOKUP($C80,[1]Summary!$A$2:$J$118,10,0),IF(_xlpm.x=0,"",_xlpm.x)),"")</f>
        <v/>
      </c>
    </row>
    <row r="81" spans="1:26" x14ac:dyDescent="0.25">
      <c r="A81" s="2">
        <v>1000000000958</v>
      </c>
      <c r="B81" s="5" t="s">
        <v>174</v>
      </c>
      <c r="C81" s="2">
        <v>3000000000595</v>
      </c>
      <c r="D81" s="5" t="s">
        <v>175</v>
      </c>
      <c r="E81" s="1">
        <v>4</v>
      </c>
      <c r="F81" s="1" t="s">
        <v>28</v>
      </c>
      <c r="G81" s="1">
        <v>4</v>
      </c>
      <c r="H81" s="1">
        <v>2</v>
      </c>
      <c r="I81" s="1">
        <v>2</v>
      </c>
      <c r="J81" s="1"/>
      <c r="K81" s="1">
        <v>50</v>
      </c>
      <c r="L81" s="1" t="str">
        <f>IFERROR(_xlfn.LET(_xlpm.x,VLOOKUP($A81,'[1]Markings Threadings'!$B$3:$L$245,3,0),IF(_xlpm.x=0,"",_xlpm.x)),"")</f>
        <v/>
      </c>
      <c r="M81" s="2" t="str">
        <f>IFERROR(_xlfn.LET(_xlpm.x,VLOOKUP($A81,'[1]Markings Threadings'!$B$3:$L$245,7,0),IF(_xlpm.x=0,"",_xlpm.x)),"")</f>
        <v/>
      </c>
      <c r="N81" s="5" t="str">
        <f>IFERROR(_xlfn.LET(_xlpm.x,VLOOKUP($A81,'[1]Markings Threadings'!$B$3:$L$245,8,0),IF(_xlpm.x=0,"",_xlpm.x)),"")</f>
        <v/>
      </c>
      <c r="O81" s="2" t="str">
        <f>IFERROR(_xlfn.LET(_xlpm.x,VLOOKUP($A81,'[1]Markings Threadings'!$B$3:$L$245,10,0),IF(_xlpm.x=0,"",_xlpm.x)),"")</f>
        <v/>
      </c>
      <c r="P81" s="5" t="str">
        <f>IFERROR(_xlfn.LET(_xlpm.x,VLOOKUP($A81,'[1]Markings Threadings'!$B$3:$L$245,11,0),IF(_xlpm.x=0,"",_xlpm.x)),"")</f>
        <v/>
      </c>
      <c r="Q81" s="1" t="str">
        <f>IFERROR(_xlfn.LET(_xlpm.x,VLOOKUP($A81,'[1]Markings Threadings'!$B$3:$L$245,4,0),IF(_xlpm.x=0,"",_xlpm.x)),"")</f>
        <v/>
      </c>
      <c r="R81" s="1" t="str">
        <f>IFERROR(_xlfn.LET(_xlpm.x,VLOOKUP($A81,'[1]Markings Threadings'!$B$3:$L$245,5,0),IF(_xlpm.x=0,"",_xlpm.x)),"")</f>
        <v/>
      </c>
      <c r="S81" s="1" t="str">
        <f>IFERROR(_xlfn.LET(_xlpm.x,VLOOKUP($A81,'[1]Markings Threadings'!$B$3:$L$245,6,0),IF(_xlpm.x=0,"",_xlpm.x)),"")</f>
        <v/>
      </c>
      <c r="T81" s="6" t="str">
        <f>IFERROR(_xlfn.LET(_xlpm.x,VLOOKUP($C81,[1]Summary!$A$2:$J$118,4,0),IF(_xlpm.x=0,"",_xlpm.x)),"")</f>
        <v/>
      </c>
      <c r="U81" s="6" t="str">
        <f>IFERROR(_xlfn.LET(_xlpm.x,VLOOKUP($C81,[1]Summary!$A$2:$J$118,5,0),IF(_xlpm.x=0,"",_xlpm.x)),"")</f>
        <v/>
      </c>
      <c r="V81" s="6" t="str">
        <f>IFERROR(_xlfn.LET(_xlpm.x,VLOOKUP($C81,[1]Summary!$A$2:$J$118,6,0),IF(_xlpm.x=0,"",_xlpm.x)),"")</f>
        <v/>
      </c>
      <c r="W81" s="6" t="str">
        <f>IFERROR(_xlfn.LET(_xlpm.x,VLOOKUP($C81,[1]Summary!$A$2:$J$118,7,0),IF(_xlpm.x=0,"",_xlpm.x)),"")</f>
        <v/>
      </c>
      <c r="X81" s="6" t="str">
        <f>IFERROR(_xlfn.LET(_xlpm.x,VLOOKUP($C81,[1]Summary!$A$2:$J$118,8,0),IF(_xlpm.x=0,"",_xlpm.x)),"")</f>
        <v/>
      </c>
      <c r="Y81" s="6" t="str">
        <f>IFERROR(_xlfn.LET(_xlpm.x,VLOOKUP($C81,[1]Summary!$A$2:$J$118,9,0),IF(_xlpm.x=0,"",_xlpm.x)),"")</f>
        <v/>
      </c>
      <c r="Z81" s="6" t="str">
        <f>IFERROR(_xlfn.LET(_xlpm.x,VLOOKUP($C81,[1]Summary!$A$2:$J$118,10,0),IF(_xlpm.x=0,"",_xlpm.x)),"")</f>
        <v/>
      </c>
    </row>
    <row r="82" spans="1:26" x14ac:dyDescent="0.25">
      <c r="A82" s="2">
        <v>1000000000964</v>
      </c>
      <c r="B82" s="5" t="s">
        <v>176</v>
      </c>
      <c r="C82" s="2">
        <v>3000000000362</v>
      </c>
      <c r="D82" s="5" t="s">
        <v>177</v>
      </c>
      <c r="E82" s="1"/>
      <c r="F82" s="1" t="s">
        <v>44</v>
      </c>
      <c r="G82" s="1">
        <v>3</v>
      </c>
      <c r="H82" s="1">
        <v>2</v>
      </c>
      <c r="I82" s="1">
        <v>2</v>
      </c>
      <c r="J82" s="1"/>
      <c r="K82" s="1">
        <v>500</v>
      </c>
      <c r="L82" s="1" t="str">
        <f>IFERROR(_xlfn.LET(_xlpm.x,VLOOKUP($A82,'[1]Markings Threadings'!$B$3:$L$245,3,0),IF(_xlpm.x=0,"",_xlpm.x)),"")</f>
        <v>White</v>
      </c>
      <c r="M82" s="2">
        <f>IFERROR(_xlfn.LET(_xlpm.x,VLOOKUP($A82,'[1]Markings Threadings'!$B$3:$L$245,7,0),IF(_xlpm.x=0,"",_xlpm.x)),"")</f>
        <v>5000000000601</v>
      </c>
      <c r="N82" s="5" t="str">
        <f>IFERROR(_xlfn.LET(_xlpm.x,VLOOKUP($A82,'[1]Markings Threadings'!$B$3:$L$245,8,0),IF(_xlpm.x=0,"",_xlpm.x)),"")</f>
        <v>Tote Bag 1000 kg</v>
      </c>
      <c r="O82" s="2" t="str">
        <f>IFERROR(_xlfn.LET(_xlpm.x,VLOOKUP($A82,'[1]Markings Threadings'!$B$3:$L$245,10,0),IF(_xlpm.x=0,"",_xlpm.x)),"")</f>
        <v/>
      </c>
      <c r="P82" s="5" t="str">
        <f>IFERROR(_xlfn.LET(_xlpm.x,VLOOKUP($A82,'[1]Markings Threadings'!$B$3:$L$245,11,0),IF(_xlpm.x=0,"",_xlpm.x)),"")</f>
        <v>-</v>
      </c>
      <c r="Q82" s="1" t="str">
        <f>IFERROR(_xlfn.LET(_xlpm.x,VLOOKUP($A82,'[1]Markings Threadings'!$B$3:$L$245,4,0),IF(_xlpm.x=0,"",_xlpm.x)),"")</f>
        <v/>
      </c>
      <c r="R82" s="1" t="str">
        <f>IFERROR(_xlfn.LET(_xlpm.x,VLOOKUP($A82,'[1]Markings Threadings'!$B$3:$L$245,5,0),IF(_xlpm.x=0,"",_xlpm.x)),"")</f>
        <v/>
      </c>
      <c r="S82" s="1">
        <f>IFERROR(_xlfn.LET(_xlpm.x,VLOOKUP($A82,'[1]Markings Threadings'!$B$3:$L$245,6,0),IF(_xlpm.x=0,"",_xlpm.x)),"")</f>
        <v>12</v>
      </c>
      <c r="T82" s="6" t="str">
        <f>IFERROR(_xlfn.LET(_xlpm.x,VLOOKUP($C82,[1]Summary!$A$2:$J$118,4,0),IF(_xlpm.x=0,"",_xlpm.x)),"")</f>
        <v/>
      </c>
      <c r="U82" s="6" t="str">
        <f>IFERROR(_xlfn.LET(_xlpm.x,VLOOKUP($C82,[1]Summary!$A$2:$J$118,5,0),IF(_xlpm.x=0,"",_xlpm.x)),"")</f>
        <v/>
      </c>
      <c r="V82" s="6" t="str">
        <f>IFERROR(_xlfn.LET(_xlpm.x,VLOOKUP($C82,[1]Summary!$A$2:$J$118,6,0),IF(_xlpm.x=0,"",_xlpm.x)),"")</f>
        <v/>
      </c>
      <c r="W82" s="6" t="str">
        <f>IFERROR(_xlfn.LET(_xlpm.x,VLOOKUP($C82,[1]Summary!$A$2:$J$118,7,0),IF(_xlpm.x=0,"",_xlpm.x)),"")</f>
        <v/>
      </c>
      <c r="X82" s="6" t="str">
        <f>IFERROR(_xlfn.LET(_xlpm.x,VLOOKUP($C82,[1]Summary!$A$2:$J$118,8,0),IF(_xlpm.x=0,"",_xlpm.x)),"")</f>
        <v/>
      </c>
      <c r="Y82" s="6" t="str">
        <f>IFERROR(_xlfn.LET(_xlpm.x,VLOOKUP($C82,[1]Summary!$A$2:$J$118,9,0),IF(_xlpm.x=0,"",_xlpm.x)),"")</f>
        <v/>
      </c>
      <c r="Z82" s="6" t="str">
        <f>IFERROR(_xlfn.LET(_xlpm.x,VLOOKUP($C82,[1]Summary!$A$2:$J$118,10,0),IF(_xlpm.x=0,"",_xlpm.x)),"")</f>
        <v/>
      </c>
    </row>
    <row r="83" spans="1:26" x14ac:dyDescent="0.25">
      <c r="A83" s="2">
        <v>1000000000979</v>
      </c>
      <c r="B83" s="5" t="s">
        <v>178</v>
      </c>
      <c r="C83" s="2">
        <v>3000000000254</v>
      </c>
      <c r="D83" s="5" t="s">
        <v>179</v>
      </c>
      <c r="E83" s="1">
        <v>4</v>
      </c>
      <c r="F83" s="1" t="s">
        <v>47</v>
      </c>
      <c r="G83" s="1">
        <v>4</v>
      </c>
      <c r="H83" s="1">
        <v>2</v>
      </c>
      <c r="I83" s="1">
        <v>2</v>
      </c>
      <c r="J83" s="1"/>
      <c r="K83" s="1">
        <v>50</v>
      </c>
      <c r="L83" s="1" t="str">
        <f>IFERROR(_xlfn.LET(_xlpm.x,VLOOKUP($A83,'[1]Markings Threadings'!$B$3:$L$245,3,0),IF(_xlpm.x=0,"",_xlpm.x)),"")</f>
        <v>White</v>
      </c>
      <c r="M83" s="2">
        <f>IFERROR(_xlfn.LET(_xlpm.x,VLOOKUP($A83,'[1]Markings Threadings'!$B$3:$L$245,7,0),IF(_xlpm.x=0,"",_xlpm.x)),"")</f>
        <v>5000000000560</v>
      </c>
      <c r="N83" s="5" t="str">
        <f>IFERROR(_xlfn.LET(_xlpm.x,VLOOKUP($A83,'[1]Markings Threadings'!$B$3:$L$245,8,0),IF(_xlpm.x=0,"",_xlpm.x)),"")</f>
        <v>Sack Poultry Solutions Chick Booster</v>
      </c>
      <c r="O83" s="2">
        <f>IFERROR(_xlfn.LET(_xlpm.x,VLOOKUP($A83,'[1]Markings Threadings'!$B$3:$L$245,10,0),IF(_xlpm.x=0,"",_xlpm.x)),"")</f>
        <v>5000000000124</v>
      </c>
      <c r="P83" s="5" t="str">
        <f>IFERROR(_xlfn.LET(_xlpm.x,VLOOKUP($A83,'[1]Markings Threadings'!$B$3:$L$245,11,0),IF(_xlpm.x=0,"",_xlpm.x)),"")</f>
        <v>Tag - Poultry Solution Chick Booster Crumble</v>
      </c>
      <c r="Q83" s="1" t="str">
        <f>IFERROR(_xlfn.LET(_xlpm.x,VLOOKUP($A83,'[1]Markings Threadings'!$B$3:$L$245,4,0),IF(_xlpm.x=0,"",_xlpm.x)),"")</f>
        <v/>
      </c>
      <c r="R83" s="1" t="str">
        <f>IFERROR(_xlfn.LET(_xlpm.x,VLOOKUP($A83,'[1]Markings Threadings'!$B$3:$L$245,5,0),IF(_xlpm.x=0,"",_xlpm.x)),"")</f>
        <v/>
      </c>
      <c r="S83" s="1">
        <f>IFERROR(_xlfn.LET(_xlpm.x,VLOOKUP($A83,'[1]Markings Threadings'!$B$3:$L$245,6,0),IF(_xlpm.x=0,"",_xlpm.x)),"")</f>
        <v>3</v>
      </c>
      <c r="T83" s="6" t="str">
        <f>IFERROR(_xlfn.LET(_xlpm.x,VLOOKUP($C83,[1]Summary!$A$2:$J$118,4,0),IF(_xlpm.x=0,"",_xlpm.x)),"")</f>
        <v/>
      </c>
      <c r="U83" s="6" t="str">
        <f>IFERROR(_xlfn.LET(_xlpm.x,VLOOKUP($C83,[1]Summary!$A$2:$J$118,5,0),IF(_xlpm.x=0,"",_xlpm.x)),"")</f>
        <v/>
      </c>
      <c r="V83" s="6" t="str">
        <f>IFERROR(_xlfn.LET(_xlpm.x,VLOOKUP($C83,[1]Summary!$A$2:$J$118,6,0),IF(_xlpm.x=0,"",_xlpm.x)),"")</f>
        <v/>
      </c>
      <c r="W83" s="6" t="str">
        <f>IFERROR(_xlfn.LET(_xlpm.x,VLOOKUP($C83,[1]Summary!$A$2:$J$118,7,0),IF(_xlpm.x=0,"",_xlpm.x)),"")</f>
        <v/>
      </c>
      <c r="X83" s="6" t="str">
        <f>IFERROR(_xlfn.LET(_xlpm.x,VLOOKUP($C83,[1]Summary!$A$2:$J$118,8,0),IF(_xlpm.x=0,"",_xlpm.x)),"")</f>
        <v/>
      </c>
      <c r="Y83" s="6" t="str">
        <f>IFERROR(_xlfn.LET(_xlpm.x,VLOOKUP($C83,[1]Summary!$A$2:$J$118,9,0),IF(_xlpm.x=0,"",_xlpm.x)),"")</f>
        <v/>
      </c>
      <c r="Z83" s="6" t="str">
        <f>IFERROR(_xlfn.LET(_xlpm.x,VLOOKUP($C83,[1]Summary!$A$2:$J$118,10,0),IF(_xlpm.x=0,"",_xlpm.x)),"")</f>
        <v/>
      </c>
    </row>
    <row r="84" spans="1:26" x14ac:dyDescent="0.25">
      <c r="A84" s="2">
        <v>1000000000980</v>
      </c>
      <c r="B84" s="5" t="s">
        <v>180</v>
      </c>
      <c r="C84" s="2">
        <v>3000000000256</v>
      </c>
      <c r="D84" s="5" t="s">
        <v>181</v>
      </c>
      <c r="E84" s="1">
        <v>4</v>
      </c>
      <c r="F84" s="1" t="s">
        <v>47</v>
      </c>
      <c r="G84" s="1">
        <v>4</v>
      </c>
      <c r="H84" s="1">
        <v>2</v>
      </c>
      <c r="I84" s="1">
        <v>2</v>
      </c>
      <c r="J84" s="1"/>
      <c r="K84" s="1">
        <v>50</v>
      </c>
      <c r="L84" s="1" t="str">
        <f>IFERROR(_xlfn.LET(_xlpm.x,VLOOKUP($A84,'[1]Markings Threadings'!$B$3:$L$245,3,0),IF(_xlpm.x=0,"",_xlpm.x)),"")</f>
        <v>Green</v>
      </c>
      <c r="M84" s="2">
        <f>IFERROR(_xlfn.LET(_xlpm.x,VLOOKUP($A84,'[1]Markings Threadings'!$B$3:$L$245,7,0),IF(_xlpm.x=0,"",_xlpm.x)),"")</f>
        <v>5000000000561</v>
      </c>
      <c r="N84" s="5" t="str">
        <f>IFERROR(_xlfn.LET(_xlpm.x,VLOOKUP($A84,'[1]Markings Threadings'!$B$3:$L$245,8,0),IF(_xlpm.x=0,"",_xlpm.x)),"")</f>
        <v>v2 - Poultry Solutions Chick Starter, 50</v>
      </c>
      <c r="O84" s="2">
        <f>IFERROR(_xlfn.LET(_xlpm.x,VLOOKUP($A84,'[1]Markings Threadings'!$B$3:$L$245,10,0),IF(_xlpm.x=0,"",_xlpm.x)),"")</f>
        <v>5000000000125</v>
      </c>
      <c r="P84" s="5" t="str">
        <f>IFERROR(_xlfn.LET(_xlpm.x,VLOOKUP($A84,'[1]Markings Threadings'!$B$3:$L$245,11,0),IF(_xlpm.x=0,"",_xlpm.x)),"")</f>
        <v>Tag - Poultry Solutions Chick Starter Crumble</v>
      </c>
      <c r="Q84" s="1" t="str">
        <f>IFERROR(_xlfn.LET(_xlpm.x,VLOOKUP($A84,'[1]Markings Threadings'!$B$3:$L$245,4,0),IF(_xlpm.x=0,"",_xlpm.x)),"")</f>
        <v>980 CHCK STR BR</v>
      </c>
      <c r="R84" s="1" t="str">
        <f>IFERROR(_xlfn.LET(_xlpm.x,VLOOKUP($A84,'[1]Markings Threadings'!$B$3:$L$245,5,0),IF(_xlpm.x=0,"",_xlpm.x)),"")</f>
        <v/>
      </c>
      <c r="S84" s="1">
        <f>IFERROR(_xlfn.LET(_xlpm.x,VLOOKUP($A84,'[1]Markings Threadings'!$B$3:$L$245,6,0),IF(_xlpm.x=0,"",_xlpm.x)),"")</f>
        <v>15</v>
      </c>
      <c r="T84" s="6" t="str">
        <f>IFERROR(_xlfn.LET(_xlpm.x,VLOOKUP($C84,[1]Summary!$A$2:$J$118,4,0),IF(_xlpm.x=0,"",_xlpm.x)),"")</f>
        <v/>
      </c>
      <c r="U84" s="6" t="str">
        <f>IFERROR(_xlfn.LET(_xlpm.x,VLOOKUP($C84,[1]Summary!$A$2:$J$118,5,0),IF(_xlpm.x=0,"",_xlpm.x)),"")</f>
        <v/>
      </c>
      <c r="V84" s="6" t="str">
        <f>IFERROR(_xlfn.LET(_xlpm.x,VLOOKUP($C84,[1]Summary!$A$2:$J$118,6,0),IF(_xlpm.x=0,"",_xlpm.x)),"")</f>
        <v/>
      </c>
      <c r="W84" s="6">
        <f>IFERROR(_xlfn.LET(_xlpm.x,VLOOKUP($C84,[1]Summary!$A$2:$J$118,7,0),IF(_xlpm.x=0,"",_xlpm.x)),"")</f>
        <v>7.9994880000000155</v>
      </c>
      <c r="X84" s="6" t="str">
        <f>IFERROR(_xlfn.LET(_xlpm.x,VLOOKUP($C84,[1]Summary!$A$2:$J$118,8,0),IF(_xlpm.x=0,"",_xlpm.x)),"")</f>
        <v/>
      </c>
      <c r="Y84" s="6" t="str">
        <f>IFERROR(_xlfn.LET(_xlpm.x,VLOOKUP($C84,[1]Summary!$A$2:$J$118,9,0),IF(_xlpm.x=0,"",_xlpm.x)),"")</f>
        <v/>
      </c>
      <c r="Z84" s="6" t="str">
        <f>IFERROR(_xlfn.LET(_xlpm.x,VLOOKUP($C84,[1]Summary!$A$2:$J$118,10,0),IF(_xlpm.x=0,"",_xlpm.x)),"")</f>
        <v/>
      </c>
    </row>
    <row r="85" spans="1:26" x14ac:dyDescent="0.25">
      <c r="A85" s="2">
        <v>1000000001008</v>
      </c>
      <c r="B85" s="5" t="s">
        <v>182</v>
      </c>
      <c r="C85" s="2">
        <v>3000000000174</v>
      </c>
      <c r="D85" s="5" t="s">
        <v>183</v>
      </c>
      <c r="E85" s="1"/>
      <c r="F85" s="1" t="s">
        <v>44</v>
      </c>
      <c r="G85" s="1">
        <v>3</v>
      </c>
      <c r="H85" s="1">
        <v>2</v>
      </c>
      <c r="I85" s="1">
        <v>2</v>
      </c>
      <c r="J85" s="1"/>
      <c r="K85" s="1">
        <v>500</v>
      </c>
      <c r="L85" s="1" t="str">
        <f>IFERROR(_xlfn.LET(_xlpm.x,VLOOKUP($A85,'[1]Markings Threadings'!$B$3:$L$245,3,0),IF(_xlpm.x=0,"",_xlpm.x)),"")</f>
        <v>White</v>
      </c>
      <c r="M85" s="2">
        <f>IFERROR(_xlfn.LET(_xlpm.x,VLOOKUP($A85,'[1]Markings Threadings'!$B$3:$L$245,7,0),IF(_xlpm.x=0,"",_xlpm.x)),"")</f>
        <v>5000000000601</v>
      </c>
      <c r="N85" s="5" t="str">
        <f>IFERROR(_xlfn.LET(_xlpm.x,VLOOKUP($A85,'[1]Markings Threadings'!$B$3:$L$245,8,0),IF(_xlpm.x=0,"",_xlpm.x)),"")</f>
        <v>Tote Bag 1000 kg</v>
      </c>
      <c r="O85" s="2" t="str">
        <f>IFERROR(_xlfn.LET(_xlpm.x,VLOOKUP($A85,'[1]Markings Threadings'!$B$3:$L$245,10,0),IF(_xlpm.x=0,"",_xlpm.x)),"")</f>
        <v/>
      </c>
      <c r="P85" s="5" t="str">
        <f>IFERROR(_xlfn.LET(_xlpm.x,VLOOKUP($A85,'[1]Markings Threadings'!$B$3:$L$245,11,0),IF(_xlpm.x=0,"",_xlpm.x)),"")</f>
        <v>-</v>
      </c>
      <c r="Q85" s="1" t="str">
        <f>IFERROR(_xlfn.LET(_xlpm.x,VLOOKUP($A85,'[1]Markings Threadings'!$B$3:$L$245,4,0),IF(_xlpm.x=0,"",_xlpm.x)),"")</f>
        <v/>
      </c>
      <c r="R85" s="1" t="str">
        <f>IFERROR(_xlfn.LET(_xlpm.x,VLOOKUP($A85,'[1]Markings Threadings'!$B$3:$L$245,5,0),IF(_xlpm.x=0,"",_xlpm.x)),"")</f>
        <v/>
      </c>
      <c r="S85" s="1">
        <f>IFERROR(_xlfn.LET(_xlpm.x,VLOOKUP($A85,'[1]Markings Threadings'!$B$3:$L$245,6,0),IF(_xlpm.x=0,"",_xlpm.x)),"")</f>
        <v>12</v>
      </c>
      <c r="T85" s="6" t="str">
        <f>IFERROR(_xlfn.LET(_xlpm.x,VLOOKUP($C85,[1]Summary!$A$2:$J$118,4,0),IF(_xlpm.x=0,"",_xlpm.x)),"")</f>
        <v/>
      </c>
      <c r="U85" s="6" t="str">
        <f>IFERROR(_xlfn.LET(_xlpm.x,VLOOKUP($C85,[1]Summary!$A$2:$J$118,5,0),IF(_xlpm.x=0,"",_xlpm.x)),"")</f>
        <v/>
      </c>
      <c r="V85" s="6" t="str">
        <f>IFERROR(_xlfn.LET(_xlpm.x,VLOOKUP($C85,[1]Summary!$A$2:$J$118,6,0),IF(_xlpm.x=0,"",_xlpm.x)),"")</f>
        <v/>
      </c>
      <c r="W85" s="6" t="str">
        <f>IFERROR(_xlfn.LET(_xlpm.x,VLOOKUP($C85,[1]Summary!$A$2:$J$118,7,0),IF(_xlpm.x=0,"",_xlpm.x)),"")</f>
        <v/>
      </c>
      <c r="X85" s="6" t="str">
        <f>IFERROR(_xlfn.LET(_xlpm.x,VLOOKUP($C85,[1]Summary!$A$2:$J$118,8,0),IF(_xlpm.x=0,"",_xlpm.x)),"")</f>
        <v/>
      </c>
      <c r="Y85" s="6" t="str">
        <f>IFERROR(_xlfn.LET(_xlpm.x,VLOOKUP($C85,[1]Summary!$A$2:$J$118,9,0),IF(_xlpm.x=0,"",_xlpm.x)),"")</f>
        <v/>
      </c>
      <c r="Z85" s="6" t="str">
        <f>IFERROR(_xlfn.LET(_xlpm.x,VLOOKUP($C85,[1]Summary!$A$2:$J$118,10,0),IF(_xlpm.x=0,"",_xlpm.x)),"")</f>
        <v/>
      </c>
    </row>
    <row r="86" spans="1:26" x14ac:dyDescent="0.25">
      <c r="A86" s="2">
        <v>1000000001011</v>
      </c>
      <c r="B86" s="5" t="s">
        <v>184</v>
      </c>
      <c r="C86" s="2">
        <v>3000000000268</v>
      </c>
      <c r="D86" s="5" t="s">
        <v>185</v>
      </c>
      <c r="E86" s="1"/>
      <c r="F86" s="1" t="s">
        <v>44</v>
      </c>
      <c r="G86" s="1">
        <v>4</v>
      </c>
      <c r="H86" s="1">
        <v>2</v>
      </c>
      <c r="I86" s="1">
        <v>2</v>
      </c>
      <c r="J86" s="1"/>
      <c r="K86" s="1">
        <v>50</v>
      </c>
      <c r="L86" s="1" t="str">
        <f>IFERROR(_xlfn.LET(_xlpm.x,VLOOKUP($A86,'[1]Markings Threadings'!$B$3:$L$245,3,0),IF(_xlpm.x=0,"",_xlpm.x)),"")</f>
        <v/>
      </c>
      <c r="M86" s="2" t="str">
        <f>IFERROR(_xlfn.LET(_xlpm.x,VLOOKUP($A86,'[1]Markings Threadings'!$B$3:$L$245,7,0),IF(_xlpm.x=0,"",_xlpm.x)),"")</f>
        <v/>
      </c>
      <c r="N86" s="5" t="str">
        <f>IFERROR(_xlfn.LET(_xlpm.x,VLOOKUP($A86,'[1]Markings Threadings'!$B$3:$L$245,8,0),IF(_xlpm.x=0,"",_xlpm.x)),"")</f>
        <v/>
      </c>
      <c r="O86" s="2" t="str">
        <f>IFERROR(_xlfn.LET(_xlpm.x,VLOOKUP($A86,'[1]Markings Threadings'!$B$3:$L$245,10,0),IF(_xlpm.x=0,"",_xlpm.x)),"")</f>
        <v/>
      </c>
      <c r="P86" s="5" t="str">
        <f>IFERROR(_xlfn.LET(_xlpm.x,VLOOKUP($A86,'[1]Markings Threadings'!$B$3:$L$245,11,0),IF(_xlpm.x=0,"",_xlpm.x)),"")</f>
        <v/>
      </c>
      <c r="Q86" s="1" t="str">
        <f>IFERROR(_xlfn.LET(_xlpm.x,VLOOKUP($A86,'[1]Markings Threadings'!$B$3:$L$245,4,0),IF(_xlpm.x=0,"",_xlpm.x)),"")</f>
        <v/>
      </c>
      <c r="R86" s="1" t="str">
        <f>IFERROR(_xlfn.LET(_xlpm.x,VLOOKUP($A86,'[1]Markings Threadings'!$B$3:$L$245,5,0),IF(_xlpm.x=0,"",_xlpm.x)),"")</f>
        <v/>
      </c>
      <c r="S86" s="1" t="str">
        <f>IFERROR(_xlfn.LET(_xlpm.x,VLOOKUP($A86,'[1]Markings Threadings'!$B$3:$L$245,6,0),IF(_xlpm.x=0,"",_xlpm.x)),"")</f>
        <v/>
      </c>
      <c r="T86" s="6" t="str">
        <f>IFERROR(_xlfn.LET(_xlpm.x,VLOOKUP($C86,[1]Summary!$A$2:$J$118,4,0),IF(_xlpm.x=0,"",_xlpm.x)),"")</f>
        <v/>
      </c>
      <c r="U86" s="6" t="str">
        <f>IFERROR(_xlfn.LET(_xlpm.x,VLOOKUP($C86,[1]Summary!$A$2:$J$118,5,0),IF(_xlpm.x=0,"",_xlpm.x)),"")</f>
        <v/>
      </c>
      <c r="V86" s="6" t="str">
        <f>IFERROR(_xlfn.LET(_xlpm.x,VLOOKUP($C86,[1]Summary!$A$2:$J$118,6,0),IF(_xlpm.x=0,"",_xlpm.x)),"")</f>
        <v/>
      </c>
      <c r="W86" s="6" t="str">
        <f>IFERROR(_xlfn.LET(_xlpm.x,VLOOKUP($C86,[1]Summary!$A$2:$J$118,7,0),IF(_xlpm.x=0,"",_xlpm.x)),"")</f>
        <v/>
      </c>
      <c r="X86" s="6" t="str">
        <f>IFERROR(_xlfn.LET(_xlpm.x,VLOOKUP($C86,[1]Summary!$A$2:$J$118,8,0),IF(_xlpm.x=0,"",_xlpm.x)),"")</f>
        <v/>
      </c>
      <c r="Y86" s="6" t="str">
        <f>IFERROR(_xlfn.LET(_xlpm.x,VLOOKUP($C86,[1]Summary!$A$2:$J$118,9,0),IF(_xlpm.x=0,"",_xlpm.x)),"")</f>
        <v/>
      </c>
      <c r="Z86" s="6" t="str">
        <f>IFERROR(_xlfn.LET(_xlpm.x,VLOOKUP($C86,[1]Summary!$A$2:$J$118,10,0),IF(_xlpm.x=0,"",_xlpm.x)),"")</f>
        <v/>
      </c>
    </row>
    <row r="87" spans="1:26" x14ac:dyDescent="0.25">
      <c r="A87" s="2">
        <v>1000000001012</v>
      </c>
      <c r="B87" s="5" t="s">
        <v>186</v>
      </c>
      <c r="C87" s="2">
        <v>3000000000270</v>
      </c>
      <c r="D87" s="5" t="s">
        <v>187</v>
      </c>
      <c r="E87" s="1"/>
      <c r="F87" s="1" t="s">
        <v>44</v>
      </c>
      <c r="G87" s="1">
        <v>4</v>
      </c>
      <c r="H87" s="1">
        <v>2</v>
      </c>
      <c r="I87" s="1">
        <v>2</v>
      </c>
      <c r="J87" s="1"/>
      <c r="K87" s="1">
        <v>50</v>
      </c>
      <c r="L87" s="1" t="str">
        <f>IFERROR(_xlfn.LET(_xlpm.x,VLOOKUP($A87,'[1]Markings Threadings'!$B$3:$L$245,3,0),IF(_xlpm.x=0,"",_xlpm.x)),"")</f>
        <v>Orange</v>
      </c>
      <c r="M87" s="2">
        <f>IFERROR(_xlfn.LET(_xlpm.x,VLOOKUP($A87,'[1]Markings Threadings'!$B$3:$L$245,7,0),IF(_xlpm.x=0,"",_xlpm.x)),"")</f>
        <v>5000000000561</v>
      </c>
      <c r="N87" s="5" t="str">
        <f>IFERROR(_xlfn.LET(_xlpm.x,VLOOKUP($A87,'[1]Markings Threadings'!$B$3:$L$245,8,0),IF(_xlpm.x=0,"",_xlpm.x)),"")</f>
        <v>v2 - Poultry Solutions Chick Starter, 50</v>
      </c>
      <c r="O87" s="2">
        <f>IFERROR(_xlfn.LET(_xlpm.x,VLOOKUP($A87,'[1]Markings Threadings'!$B$3:$L$245,10,0),IF(_xlpm.x=0,"",_xlpm.x)),"")</f>
        <v>5000000000125</v>
      </c>
      <c r="P87" s="5" t="str">
        <f>IFERROR(_xlfn.LET(_xlpm.x,VLOOKUP($A87,'[1]Markings Threadings'!$B$3:$L$245,11,0),IF(_xlpm.x=0,"",_xlpm.x)),"")</f>
        <v>Tag - Poultry Solutions Chick Starter Crumble</v>
      </c>
      <c r="Q87" s="1">
        <f>IFERROR(_xlfn.LET(_xlpm.x,VLOOKUP($A87,'[1]Markings Threadings'!$B$3:$L$245,4,0),IF(_xlpm.x=0,"",_xlpm.x)),"")</f>
        <v>1012</v>
      </c>
      <c r="R87" s="1" t="str">
        <f>IFERROR(_xlfn.LET(_xlpm.x,VLOOKUP($A87,'[1]Markings Threadings'!$B$3:$L$245,5,0),IF(_xlpm.x=0,"",_xlpm.x)),"")</f>
        <v/>
      </c>
      <c r="S87" s="1">
        <f>IFERROR(_xlfn.LET(_xlpm.x,VLOOKUP($A87,'[1]Markings Threadings'!$B$3:$L$245,6,0),IF(_xlpm.x=0,"",_xlpm.x)),"")</f>
        <v>15</v>
      </c>
      <c r="T87" s="6" t="str">
        <f>IFERROR(_xlfn.LET(_xlpm.x,VLOOKUP($C87,[1]Summary!$A$2:$J$118,4,0),IF(_xlpm.x=0,"",_xlpm.x)),"")</f>
        <v/>
      </c>
      <c r="U87" s="6" t="str">
        <f>IFERROR(_xlfn.LET(_xlpm.x,VLOOKUP($C87,[1]Summary!$A$2:$J$118,5,0),IF(_xlpm.x=0,"",_xlpm.x)),"")</f>
        <v/>
      </c>
      <c r="V87" s="6" t="str">
        <f>IFERROR(_xlfn.LET(_xlpm.x,VLOOKUP($C87,[1]Summary!$A$2:$J$118,6,0),IF(_xlpm.x=0,"",_xlpm.x)),"")</f>
        <v/>
      </c>
      <c r="W87" s="6" t="str">
        <f>IFERROR(_xlfn.LET(_xlpm.x,VLOOKUP($C87,[1]Summary!$A$2:$J$118,7,0),IF(_xlpm.x=0,"",_xlpm.x)),"")</f>
        <v/>
      </c>
      <c r="X87" s="6" t="str">
        <f>IFERROR(_xlfn.LET(_xlpm.x,VLOOKUP($C87,[1]Summary!$A$2:$J$118,8,0),IF(_xlpm.x=0,"",_xlpm.x)),"")</f>
        <v/>
      </c>
      <c r="Y87" s="6" t="str">
        <f>IFERROR(_xlfn.LET(_xlpm.x,VLOOKUP($C87,[1]Summary!$A$2:$J$118,9,0),IF(_xlpm.x=0,"",_xlpm.x)),"")</f>
        <v/>
      </c>
      <c r="Z87" s="6" t="str">
        <f>IFERROR(_xlfn.LET(_xlpm.x,VLOOKUP($C87,[1]Summary!$A$2:$J$118,10,0),IF(_xlpm.x=0,"",_xlpm.x)),"")</f>
        <v/>
      </c>
    </row>
    <row r="88" spans="1:26" x14ac:dyDescent="0.25">
      <c r="A88" s="2">
        <v>1000000000982</v>
      </c>
      <c r="B88" s="5" t="s">
        <v>188</v>
      </c>
      <c r="C88" s="2">
        <v>3000000000260</v>
      </c>
      <c r="D88" s="5" t="s">
        <v>189</v>
      </c>
      <c r="E88" s="1">
        <v>4</v>
      </c>
      <c r="F88" s="1" t="s">
        <v>54</v>
      </c>
      <c r="G88" s="1">
        <v>4</v>
      </c>
      <c r="H88" s="1">
        <v>2</v>
      </c>
      <c r="I88" s="1">
        <v>2</v>
      </c>
      <c r="J88" s="1"/>
      <c r="K88" s="1">
        <v>50</v>
      </c>
      <c r="L88" s="1" t="str">
        <f>IFERROR(_xlfn.LET(_xlpm.x,VLOOKUP($A88,'[1]Markings Threadings'!$B$3:$L$245,3,0),IF(_xlpm.x=0,"",_xlpm.x)),"")</f>
        <v>Green</v>
      </c>
      <c r="M88" s="2">
        <f>IFERROR(_xlfn.LET(_xlpm.x,VLOOKUP($A88,'[1]Markings Threadings'!$B$3:$L$245,7,0),IF(_xlpm.x=0,"",_xlpm.x)),"")</f>
        <v>5000000000563</v>
      </c>
      <c r="N88" s="5" t="str">
        <f>IFERROR(_xlfn.LET(_xlpm.x,VLOOKUP($A88,'[1]Markings Threadings'!$B$3:$L$245,8,0),IF(_xlpm.x=0,"",_xlpm.x)),"")</f>
        <v>v2 - Poultry Solutions Pre-Layer 50kg</v>
      </c>
      <c r="O88" s="2">
        <f>IFERROR(_xlfn.LET(_xlpm.x,VLOOKUP($A88,'[1]Markings Threadings'!$B$3:$L$245,10,0),IF(_xlpm.x=0,"",_xlpm.x)),"")</f>
        <v>5000000000615</v>
      </c>
      <c r="P88" s="5" t="str">
        <f>IFERROR(_xlfn.LET(_xlpm.x,VLOOKUP($A88,'[1]Markings Threadings'!$B$3:$L$245,11,0),IF(_xlpm.x=0,"",_xlpm.x)),"")</f>
        <v>Tag - Poultry Solutions Pre-Lay Crumble, 50kg</v>
      </c>
      <c r="Q88" s="1" t="str">
        <f>IFERROR(_xlfn.LET(_xlpm.x,VLOOKUP($A88,'[1]Markings Threadings'!$B$3:$L$245,4,0),IF(_xlpm.x=0,"",_xlpm.x)),"")</f>
        <v>982 PS Pre-lay BRdr Cr</v>
      </c>
      <c r="R88" s="1" t="str">
        <f>IFERROR(_xlfn.LET(_xlpm.x,VLOOKUP($A88,'[1]Markings Threadings'!$B$3:$L$245,5,0),IF(_xlpm.x=0,"",_xlpm.x)),"")</f>
        <v/>
      </c>
      <c r="S88" s="1">
        <f>IFERROR(_xlfn.LET(_xlpm.x,VLOOKUP($A88,'[1]Markings Threadings'!$B$3:$L$245,6,0),IF(_xlpm.x=0,"",_xlpm.x)),"")</f>
        <v>6</v>
      </c>
      <c r="T88" s="6" t="str">
        <f>IFERROR(_xlfn.LET(_xlpm.x,VLOOKUP($C88,[1]Summary!$A$2:$J$118,4,0),IF(_xlpm.x=0,"",_xlpm.x)),"")</f>
        <v/>
      </c>
      <c r="U88" s="6" t="str">
        <f>IFERROR(_xlfn.LET(_xlpm.x,VLOOKUP($C88,[1]Summary!$A$2:$J$118,5,0),IF(_xlpm.x=0,"",_xlpm.x)),"")</f>
        <v/>
      </c>
      <c r="V88" s="6" t="str">
        <f>IFERROR(_xlfn.LET(_xlpm.x,VLOOKUP($C88,[1]Summary!$A$2:$J$118,6,0),IF(_xlpm.x=0,"",_xlpm.x)),"")</f>
        <v/>
      </c>
      <c r="W88" s="6">
        <f>IFERROR(_xlfn.LET(_xlpm.x,VLOOKUP($C88,[1]Summary!$A$2:$J$118,7,0),IF(_xlpm.x=0,"",_xlpm.x)),"")</f>
        <v>8.1096186232791005</v>
      </c>
      <c r="X88" s="6" t="str">
        <f>IFERROR(_xlfn.LET(_xlpm.x,VLOOKUP($C88,[1]Summary!$A$2:$J$118,8,0),IF(_xlpm.x=0,"",_xlpm.x)),"")</f>
        <v/>
      </c>
      <c r="Y88" s="6" t="str">
        <f>IFERROR(_xlfn.LET(_xlpm.x,VLOOKUP($C88,[1]Summary!$A$2:$J$118,9,0),IF(_xlpm.x=0,"",_xlpm.x)),"")</f>
        <v/>
      </c>
      <c r="Z88" s="6" t="str">
        <f>IFERROR(_xlfn.LET(_xlpm.x,VLOOKUP($C88,[1]Summary!$A$2:$J$118,10,0),IF(_xlpm.x=0,"",_xlpm.x)),"")</f>
        <v/>
      </c>
    </row>
    <row r="89" spans="1:26" x14ac:dyDescent="0.25">
      <c r="A89" s="2">
        <v>1000000001013</v>
      </c>
      <c r="B89" s="5" t="s">
        <v>190</v>
      </c>
      <c r="C89" s="2">
        <v>3000000000272</v>
      </c>
      <c r="D89" s="5" t="s">
        <v>191</v>
      </c>
      <c r="E89" s="1">
        <v>4</v>
      </c>
      <c r="F89" s="1" t="s">
        <v>67</v>
      </c>
      <c r="G89" s="1">
        <v>4</v>
      </c>
      <c r="H89" s="1">
        <v>2</v>
      </c>
      <c r="I89" s="1">
        <v>2</v>
      </c>
      <c r="J89" s="1"/>
      <c r="K89" s="1">
        <v>50</v>
      </c>
      <c r="L89" s="1" t="str">
        <f>IFERROR(_xlfn.LET(_xlpm.x,VLOOKUP($A89,'[1]Markings Threadings'!$B$3:$L$245,3,0),IF(_xlpm.x=0,"",_xlpm.x)),"")</f>
        <v>Orange</v>
      </c>
      <c r="M89" s="2">
        <f>IFERROR(_xlfn.LET(_xlpm.x,VLOOKUP($A89,'[1]Markings Threadings'!$B$3:$L$245,7,0),IF(_xlpm.x=0,"",_xlpm.x)),"")</f>
        <v>5000000000562</v>
      </c>
      <c r="N89" s="5" t="str">
        <f>IFERROR(_xlfn.LET(_xlpm.x,VLOOKUP($A89,'[1]Markings Threadings'!$B$3:$L$245,8,0),IF(_xlpm.x=0,"",_xlpm.x)),"")</f>
        <v>Sack Poultry Sol Chick Growex 1, 50kg</v>
      </c>
      <c r="O89" s="2">
        <f>IFERROR(_xlfn.LET(_xlpm.x,VLOOKUP($A89,'[1]Markings Threadings'!$B$3:$L$245,10,0),IF(_xlpm.x=0,"",_xlpm.x)),"")</f>
        <v>5000000000122</v>
      </c>
      <c r="P89" s="5" t="str">
        <f>IFERROR(_xlfn.LET(_xlpm.x,VLOOKUP($A89,'[1]Markings Threadings'!$B$3:$L$245,11,0),IF(_xlpm.x=0,"",_xlpm.x)),"")</f>
        <v>Tag - Poultry Solutions Chick Grower 1 Crumble</v>
      </c>
      <c r="Q89" s="1">
        <f>IFERROR(_xlfn.LET(_xlpm.x,VLOOKUP($A89,'[1]Markings Threadings'!$B$3:$L$245,4,0),IF(_xlpm.x=0,"",_xlpm.x)),"")</f>
        <v>1013</v>
      </c>
      <c r="R89" s="1" t="str">
        <f>IFERROR(_xlfn.LET(_xlpm.x,VLOOKUP($A89,'[1]Markings Threadings'!$B$3:$L$245,5,0),IF(_xlpm.x=0,"",_xlpm.x)),"")</f>
        <v/>
      </c>
      <c r="S89" s="1">
        <f>IFERROR(_xlfn.LET(_xlpm.x,VLOOKUP($A89,'[1]Markings Threadings'!$B$3:$L$245,6,0),IF(_xlpm.x=0,"",_xlpm.x)),"")</f>
        <v>14</v>
      </c>
      <c r="T89" s="6" t="str">
        <f>IFERROR(_xlfn.LET(_xlpm.x,VLOOKUP($C89,[1]Summary!$A$2:$J$118,4,0),IF(_xlpm.x=0,"",_xlpm.x)),"")</f>
        <v/>
      </c>
      <c r="U89" s="6" t="str">
        <f>IFERROR(_xlfn.LET(_xlpm.x,VLOOKUP($C89,[1]Summary!$A$2:$J$118,5,0),IF(_xlpm.x=0,"",_xlpm.x)),"")</f>
        <v/>
      </c>
      <c r="V89" s="6" t="str">
        <f>IFERROR(_xlfn.LET(_xlpm.x,VLOOKUP($C89,[1]Summary!$A$2:$J$118,6,0),IF(_xlpm.x=0,"",_xlpm.x)),"")</f>
        <v/>
      </c>
      <c r="W89" s="6" t="str">
        <f>IFERROR(_xlfn.LET(_xlpm.x,VLOOKUP($C89,[1]Summary!$A$2:$J$118,7,0),IF(_xlpm.x=0,"",_xlpm.x)),"")</f>
        <v/>
      </c>
      <c r="X89" s="6" t="str">
        <f>IFERROR(_xlfn.LET(_xlpm.x,VLOOKUP($C89,[1]Summary!$A$2:$J$118,8,0),IF(_xlpm.x=0,"",_xlpm.x)),"")</f>
        <v/>
      </c>
      <c r="Y89" s="6" t="str">
        <f>IFERROR(_xlfn.LET(_xlpm.x,VLOOKUP($C89,[1]Summary!$A$2:$J$118,9,0),IF(_xlpm.x=0,"",_xlpm.x)),"")</f>
        <v/>
      </c>
      <c r="Z89" s="6" t="str">
        <f>IFERROR(_xlfn.LET(_xlpm.x,VLOOKUP($C89,[1]Summary!$A$2:$J$118,10,0),IF(_xlpm.x=0,"",_xlpm.x)),"")</f>
        <v/>
      </c>
    </row>
    <row r="90" spans="1:26" x14ac:dyDescent="0.25">
      <c r="A90" s="2">
        <v>1000000001010</v>
      </c>
      <c r="B90" s="5" t="s">
        <v>192</v>
      </c>
      <c r="C90" s="2">
        <v>3000000000178</v>
      </c>
      <c r="D90" s="5" t="s">
        <v>193</v>
      </c>
      <c r="E90" s="1"/>
      <c r="F90" s="1" t="s">
        <v>44</v>
      </c>
      <c r="G90" s="1">
        <v>3</v>
      </c>
      <c r="H90" s="1">
        <v>2</v>
      </c>
      <c r="I90" s="1">
        <v>2</v>
      </c>
      <c r="J90" s="1"/>
      <c r="K90" s="1">
        <v>500</v>
      </c>
      <c r="L90" s="1" t="str">
        <f>IFERROR(_xlfn.LET(_xlpm.x,VLOOKUP($A90,'[1]Markings Threadings'!$B$3:$L$245,3,0),IF(_xlpm.x=0,"",_xlpm.x)),"")</f>
        <v>White</v>
      </c>
      <c r="M90" s="2">
        <f>IFERROR(_xlfn.LET(_xlpm.x,VLOOKUP($A90,'[1]Markings Threadings'!$B$3:$L$245,7,0),IF(_xlpm.x=0,"",_xlpm.x)),"")</f>
        <v>5000000000601</v>
      </c>
      <c r="N90" s="5" t="str">
        <f>IFERROR(_xlfn.LET(_xlpm.x,VLOOKUP($A90,'[1]Markings Threadings'!$B$3:$L$245,8,0),IF(_xlpm.x=0,"",_xlpm.x)),"")</f>
        <v>Tote Bag 1000 kg</v>
      </c>
      <c r="O90" s="2" t="str">
        <f>IFERROR(_xlfn.LET(_xlpm.x,VLOOKUP($A90,'[1]Markings Threadings'!$B$3:$L$245,10,0),IF(_xlpm.x=0,"",_xlpm.x)),"")</f>
        <v/>
      </c>
      <c r="P90" s="5" t="str">
        <f>IFERROR(_xlfn.LET(_xlpm.x,VLOOKUP($A90,'[1]Markings Threadings'!$B$3:$L$245,11,0),IF(_xlpm.x=0,"",_xlpm.x)),"")</f>
        <v>-</v>
      </c>
      <c r="Q90" s="1" t="str">
        <f>IFERROR(_xlfn.LET(_xlpm.x,VLOOKUP($A90,'[1]Markings Threadings'!$B$3:$L$245,4,0),IF(_xlpm.x=0,"",_xlpm.x)),"")</f>
        <v/>
      </c>
      <c r="R90" s="1" t="str">
        <f>IFERROR(_xlfn.LET(_xlpm.x,VLOOKUP($A90,'[1]Markings Threadings'!$B$3:$L$245,5,0),IF(_xlpm.x=0,"",_xlpm.x)),"")</f>
        <v/>
      </c>
      <c r="S90" s="1">
        <f>IFERROR(_xlfn.LET(_xlpm.x,VLOOKUP($A90,'[1]Markings Threadings'!$B$3:$L$245,6,0),IF(_xlpm.x=0,"",_xlpm.x)),"")</f>
        <v>12</v>
      </c>
      <c r="T90" s="6" t="str">
        <f>IFERROR(_xlfn.LET(_xlpm.x,VLOOKUP($C90,[1]Summary!$A$2:$J$118,4,0),IF(_xlpm.x=0,"",_xlpm.x)),"")</f>
        <v/>
      </c>
      <c r="U90" s="6" t="str">
        <f>IFERROR(_xlfn.LET(_xlpm.x,VLOOKUP($C90,[1]Summary!$A$2:$J$118,5,0),IF(_xlpm.x=0,"",_xlpm.x)),"")</f>
        <v/>
      </c>
      <c r="V90" s="6" t="str">
        <f>IFERROR(_xlfn.LET(_xlpm.x,VLOOKUP($C90,[1]Summary!$A$2:$J$118,6,0),IF(_xlpm.x=0,"",_xlpm.x)),"")</f>
        <v/>
      </c>
      <c r="W90" s="6" t="str">
        <f>IFERROR(_xlfn.LET(_xlpm.x,VLOOKUP($C90,[1]Summary!$A$2:$J$118,7,0),IF(_xlpm.x=0,"",_xlpm.x)),"")</f>
        <v/>
      </c>
      <c r="X90" s="6" t="str">
        <f>IFERROR(_xlfn.LET(_xlpm.x,VLOOKUP($C90,[1]Summary!$A$2:$J$118,8,0),IF(_xlpm.x=0,"",_xlpm.x)),"")</f>
        <v/>
      </c>
      <c r="Y90" s="6" t="str">
        <f>IFERROR(_xlfn.LET(_xlpm.x,VLOOKUP($C90,[1]Summary!$A$2:$J$118,9,0),IF(_xlpm.x=0,"",_xlpm.x)),"")</f>
        <v/>
      </c>
      <c r="Z90" s="6" t="str">
        <f>IFERROR(_xlfn.LET(_xlpm.x,VLOOKUP($C90,[1]Summary!$A$2:$J$118,10,0),IF(_xlpm.x=0,"",_xlpm.x)),"")</f>
        <v/>
      </c>
    </row>
    <row r="91" spans="1:26" x14ac:dyDescent="0.25">
      <c r="A91" s="2">
        <v>1000000000981</v>
      </c>
      <c r="B91" s="5" t="s">
        <v>194</v>
      </c>
      <c r="C91" s="2">
        <v>3000000000258</v>
      </c>
      <c r="D91" s="5" t="s">
        <v>191</v>
      </c>
      <c r="E91" s="1">
        <v>4</v>
      </c>
      <c r="F91" s="1" t="s">
        <v>67</v>
      </c>
      <c r="G91" s="1">
        <v>4</v>
      </c>
      <c r="H91" s="1">
        <v>2</v>
      </c>
      <c r="I91" s="1">
        <v>2</v>
      </c>
      <c r="J91" s="1"/>
      <c r="K91" s="1">
        <v>50</v>
      </c>
      <c r="L91" s="1" t="str">
        <f>IFERROR(_xlfn.LET(_xlpm.x,VLOOKUP($A91,'[1]Markings Threadings'!$B$3:$L$245,3,0),IF(_xlpm.x=0,"",_xlpm.x)),"")</f>
        <v>Green</v>
      </c>
      <c r="M91" s="2">
        <f>IFERROR(_xlfn.LET(_xlpm.x,VLOOKUP($A91,'[1]Markings Threadings'!$B$3:$L$245,7,0),IF(_xlpm.x=0,"",_xlpm.x)),"")</f>
        <v>5000000000562</v>
      </c>
      <c r="N91" s="5" t="str">
        <f>IFERROR(_xlfn.LET(_xlpm.x,VLOOKUP($A91,'[1]Markings Threadings'!$B$3:$L$245,8,0),IF(_xlpm.x=0,"",_xlpm.x)),"")</f>
        <v>Sack Poultry Sol Chick Growex 1, 50kg</v>
      </c>
      <c r="O91" s="2">
        <f>IFERROR(_xlfn.LET(_xlpm.x,VLOOKUP($A91,'[1]Markings Threadings'!$B$3:$L$245,10,0),IF(_xlpm.x=0,"",_xlpm.x)),"")</f>
        <v>5000000000122</v>
      </c>
      <c r="P91" s="5" t="str">
        <f>IFERROR(_xlfn.LET(_xlpm.x,VLOOKUP($A91,'[1]Markings Threadings'!$B$3:$L$245,11,0),IF(_xlpm.x=0,"",_xlpm.x)),"")</f>
        <v>Tag - Poultry Solutions Chick Grower 1 Crumble</v>
      </c>
      <c r="Q91" s="1" t="str">
        <f>IFERROR(_xlfn.LET(_xlpm.x,VLOOKUP($A91,'[1]Markings Threadings'!$B$3:$L$245,4,0),IF(_xlpm.x=0,"",_xlpm.x)),"")</f>
        <v>981 CHICK GR BR</v>
      </c>
      <c r="R91" s="1" t="str">
        <f>IFERROR(_xlfn.LET(_xlpm.x,VLOOKUP($A91,'[1]Markings Threadings'!$B$3:$L$245,5,0),IF(_xlpm.x=0,"",_xlpm.x)),"")</f>
        <v/>
      </c>
      <c r="S91" s="1">
        <f>IFERROR(_xlfn.LET(_xlpm.x,VLOOKUP($A91,'[1]Markings Threadings'!$B$3:$L$245,6,0),IF(_xlpm.x=0,"",_xlpm.x)),"")</f>
        <v>14</v>
      </c>
      <c r="T91" s="6" t="str">
        <f>IFERROR(_xlfn.LET(_xlpm.x,VLOOKUP($C91,[1]Summary!$A$2:$J$118,4,0),IF(_xlpm.x=0,"",_xlpm.x)),"")</f>
        <v/>
      </c>
      <c r="U91" s="6" t="str">
        <f>IFERROR(_xlfn.LET(_xlpm.x,VLOOKUP($C91,[1]Summary!$A$2:$J$118,5,0),IF(_xlpm.x=0,"",_xlpm.x)),"")</f>
        <v/>
      </c>
      <c r="V91" s="6">
        <f>IFERROR(_xlfn.LET(_xlpm.x,VLOOKUP($C91,[1]Summary!$A$2:$J$118,6,0),IF(_xlpm.x=0,"",_xlpm.x)),"")</f>
        <v>6.6972457674418626</v>
      </c>
      <c r="W91" s="6">
        <f>IFERROR(_xlfn.LET(_xlpm.x,VLOOKUP($C91,[1]Summary!$A$2:$J$118,7,0),IF(_xlpm.x=0,"",_xlpm.x)),"")</f>
        <v>7.9085847272727303</v>
      </c>
      <c r="X91" s="6" t="str">
        <f>IFERROR(_xlfn.LET(_xlpm.x,VLOOKUP($C91,[1]Summary!$A$2:$J$118,8,0),IF(_xlpm.x=0,"",_xlpm.x)),"")</f>
        <v/>
      </c>
      <c r="Y91" s="6" t="str">
        <f>IFERROR(_xlfn.LET(_xlpm.x,VLOOKUP($C91,[1]Summary!$A$2:$J$118,9,0),IF(_xlpm.x=0,"",_xlpm.x)),"")</f>
        <v/>
      </c>
      <c r="Z91" s="6" t="str">
        <f>IFERROR(_xlfn.LET(_xlpm.x,VLOOKUP($C91,[1]Summary!$A$2:$J$118,10,0),IF(_xlpm.x=0,"",_xlpm.x)),"")</f>
        <v/>
      </c>
    </row>
    <row r="92" spans="1:26" x14ac:dyDescent="0.25">
      <c r="A92" s="2">
        <v>1000000001507</v>
      </c>
      <c r="B92" s="5" t="s">
        <v>195</v>
      </c>
      <c r="C92" s="2">
        <v>3000000000226</v>
      </c>
      <c r="D92" s="5" t="s">
        <v>196</v>
      </c>
      <c r="E92" s="1"/>
      <c r="F92" s="1" t="s">
        <v>44</v>
      </c>
      <c r="G92" s="1">
        <v>4</v>
      </c>
      <c r="H92" s="1">
        <v>2</v>
      </c>
      <c r="I92" s="1">
        <v>2</v>
      </c>
      <c r="J92" s="1"/>
      <c r="K92" s="1">
        <v>50</v>
      </c>
      <c r="L92" s="1" t="str">
        <f>IFERROR(_xlfn.LET(_xlpm.x,VLOOKUP($A92,'[1]Markings Threadings'!$B$3:$L$245,3,0),IF(_xlpm.x=0,"",_xlpm.x)),"")</f>
        <v>Orange Yellow</v>
      </c>
      <c r="M92" s="2">
        <f>IFERROR(_xlfn.LET(_xlpm.x,VLOOKUP($A92,'[1]Markings Threadings'!$B$3:$L$245,7,0),IF(_xlpm.x=0,"",_xlpm.x)),"")</f>
        <v>5000000000057</v>
      </c>
      <c r="N92" s="5" t="str">
        <f>IFERROR(_xlfn.LET(_xlpm.x,VLOOKUP($A92,'[1]Markings Threadings'!$B$3:$L$245,8,0),IF(_xlpm.x=0,"",_xlpm.x)),"")</f>
        <v>Empty Sack - Pork Solutions Pre-starter Mini Pellet ,50kg</v>
      </c>
      <c r="O92" s="2">
        <f>IFERROR(_xlfn.LET(_xlpm.x,VLOOKUP($A92,'[1]Markings Threadings'!$B$3:$L$245,10,0),IF(_xlpm.x=0,"",_xlpm.x)),"")</f>
        <v>5000000000102</v>
      </c>
      <c r="P92" s="5" t="str">
        <f>IFERROR(_xlfn.LET(_xlpm.x,VLOOKUP($A92,'[1]Markings Threadings'!$B$3:$L$245,11,0),IF(_xlpm.x=0,"",_xlpm.x)),"")</f>
        <v>Tag Pork Sol Hog Pre-Starter 1 MP 50Kg</v>
      </c>
      <c r="Q92" s="1">
        <f>IFERROR(_xlfn.LET(_xlpm.x,VLOOKUP($A92,'[1]Markings Threadings'!$B$3:$L$245,4,0),IF(_xlpm.x=0,"",_xlpm.x)),"")</f>
        <v>1507</v>
      </c>
      <c r="R92" s="1" t="str">
        <f>IFERROR(_xlfn.LET(_xlpm.x,VLOOKUP($A92,'[1]Markings Threadings'!$B$3:$L$245,5,0),IF(_xlpm.x=0,"",_xlpm.x)),"")</f>
        <v/>
      </c>
      <c r="S92" s="1">
        <f>IFERROR(_xlfn.LET(_xlpm.x,VLOOKUP($A92,'[1]Markings Threadings'!$B$3:$L$245,6,0),IF(_xlpm.x=0,"",_xlpm.x)),"")</f>
        <v>5</v>
      </c>
      <c r="T92" s="6" t="str">
        <f>IFERROR(_xlfn.LET(_xlpm.x,VLOOKUP($C92,[1]Summary!$A$2:$J$118,4,0),IF(_xlpm.x=0,"",_xlpm.x)),"")</f>
        <v/>
      </c>
      <c r="U92" s="6" t="str">
        <f>IFERROR(_xlfn.LET(_xlpm.x,VLOOKUP($C92,[1]Summary!$A$2:$J$118,5,0),IF(_xlpm.x=0,"",_xlpm.x)),"")</f>
        <v/>
      </c>
      <c r="V92" s="6" t="str">
        <f>IFERROR(_xlfn.LET(_xlpm.x,VLOOKUP($C92,[1]Summary!$A$2:$J$118,6,0),IF(_xlpm.x=0,"",_xlpm.x)),"")</f>
        <v/>
      </c>
      <c r="W92" s="6" t="str">
        <f>IFERROR(_xlfn.LET(_xlpm.x,VLOOKUP($C92,[1]Summary!$A$2:$J$118,7,0),IF(_xlpm.x=0,"",_xlpm.x)),"")</f>
        <v/>
      </c>
      <c r="X92" s="6" t="str">
        <f>IFERROR(_xlfn.LET(_xlpm.x,VLOOKUP($C92,[1]Summary!$A$2:$J$118,8,0),IF(_xlpm.x=0,"",_xlpm.x)),"")</f>
        <v/>
      </c>
      <c r="Y92" s="6" t="str">
        <f>IFERROR(_xlfn.LET(_xlpm.x,VLOOKUP($C92,[1]Summary!$A$2:$J$118,9,0),IF(_xlpm.x=0,"",_xlpm.x)),"")</f>
        <v/>
      </c>
      <c r="Z92" s="6" t="str">
        <f>IFERROR(_xlfn.LET(_xlpm.x,VLOOKUP($C92,[1]Summary!$A$2:$J$118,10,0),IF(_xlpm.x=0,"",_xlpm.x)),"")</f>
        <v/>
      </c>
    </row>
    <row r="93" spans="1:26" x14ac:dyDescent="0.25">
      <c r="A93" s="2">
        <v>1000000000957</v>
      </c>
      <c r="B93" s="5" t="s">
        <v>197</v>
      </c>
      <c r="C93" s="2">
        <v>3000000000593</v>
      </c>
      <c r="D93" s="5" t="s">
        <v>198</v>
      </c>
      <c r="E93" s="1">
        <v>3</v>
      </c>
      <c r="F93" s="1" t="s">
        <v>37</v>
      </c>
      <c r="G93" s="1">
        <v>4</v>
      </c>
      <c r="H93" s="1">
        <v>2</v>
      </c>
      <c r="I93" s="1">
        <v>2</v>
      </c>
      <c r="J93" s="1"/>
      <c r="K93" s="1">
        <v>50</v>
      </c>
      <c r="L93" s="1" t="str">
        <f>IFERROR(_xlfn.LET(_xlpm.x,VLOOKUP($A93,'[1]Markings Threadings'!$B$3:$L$245,3,0),IF(_xlpm.x=0,"",_xlpm.x)),"")</f>
        <v/>
      </c>
      <c r="M93" s="2" t="str">
        <f>IFERROR(_xlfn.LET(_xlpm.x,VLOOKUP($A93,'[1]Markings Threadings'!$B$3:$L$245,7,0),IF(_xlpm.x=0,"",_xlpm.x)),"")</f>
        <v/>
      </c>
      <c r="N93" s="5" t="str">
        <f>IFERROR(_xlfn.LET(_xlpm.x,VLOOKUP($A93,'[1]Markings Threadings'!$B$3:$L$245,8,0),IF(_xlpm.x=0,"",_xlpm.x)),"")</f>
        <v/>
      </c>
      <c r="O93" s="2" t="str">
        <f>IFERROR(_xlfn.LET(_xlpm.x,VLOOKUP($A93,'[1]Markings Threadings'!$B$3:$L$245,10,0),IF(_xlpm.x=0,"",_xlpm.x)),"")</f>
        <v/>
      </c>
      <c r="P93" s="5" t="str">
        <f>IFERROR(_xlfn.LET(_xlpm.x,VLOOKUP($A93,'[1]Markings Threadings'!$B$3:$L$245,11,0),IF(_xlpm.x=0,"",_xlpm.x)),"")</f>
        <v/>
      </c>
      <c r="Q93" s="1" t="str">
        <f>IFERROR(_xlfn.LET(_xlpm.x,VLOOKUP($A93,'[1]Markings Threadings'!$B$3:$L$245,4,0),IF(_xlpm.x=0,"",_xlpm.x)),"")</f>
        <v/>
      </c>
      <c r="R93" s="1" t="str">
        <f>IFERROR(_xlfn.LET(_xlpm.x,VLOOKUP($A93,'[1]Markings Threadings'!$B$3:$L$245,5,0),IF(_xlpm.x=0,"",_xlpm.x)),"")</f>
        <v/>
      </c>
      <c r="S93" s="1" t="str">
        <f>IFERROR(_xlfn.LET(_xlpm.x,VLOOKUP($A93,'[1]Markings Threadings'!$B$3:$L$245,6,0),IF(_xlpm.x=0,"",_xlpm.x)),"")</f>
        <v/>
      </c>
      <c r="T93" s="6" t="str">
        <f>IFERROR(_xlfn.LET(_xlpm.x,VLOOKUP($C93,[1]Summary!$A$2:$J$118,4,0),IF(_xlpm.x=0,"",_xlpm.x)),"")</f>
        <v/>
      </c>
      <c r="U93" s="6" t="str">
        <f>IFERROR(_xlfn.LET(_xlpm.x,VLOOKUP($C93,[1]Summary!$A$2:$J$118,5,0),IF(_xlpm.x=0,"",_xlpm.x)),"")</f>
        <v/>
      </c>
      <c r="V93" s="6" t="str">
        <f>IFERROR(_xlfn.LET(_xlpm.x,VLOOKUP($C93,[1]Summary!$A$2:$J$118,6,0),IF(_xlpm.x=0,"",_xlpm.x)),"")</f>
        <v/>
      </c>
      <c r="W93" s="6" t="str">
        <f>IFERROR(_xlfn.LET(_xlpm.x,VLOOKUP($C93,[1]Summary!$A$2:$J$118,7,0),IF(_xlpm.x=0,"",_xlpm.x)),"")</f>
        <v/>
      </c>
      <c r="X93" s="6" t="str">
        <f>IFERROR(_xlfn.LET(_xlpm.x,VLOOKUP($C93,[1]Summary!$A$2:$J$118,8,0),IF(_xlpm.x=0,"",_xlpm.x)),"")</f>
        <v/>
      </c>
      <c r="Y93" s="6" t="str">
        <f>IFERROR(_xlfn.LET(_xlpm.x,VLOOKUP($C93,[1]Summary!$A$2:$J$118,9,0),IF(_xlpm.x=0,"",_xlpm.x)),"")</f>
        <v/>
      </c>
      <c r="Z93" s="6" t="str">
        <f>IFERROR(_xlfn.LET(_xlpm.x,VLOOKUP($C93,[1]Summary!$A$2:$J$118,10,0),IF(_xlpm.x=0,"",_xlpm.x)),"")</f>
        <v/>
      </c>
    </row>
    <row r="94" spans="1:26" x14ac:dyDescent="0.25">
      <c r="A94" s="2">
        <v>1000000000959</v>
      </c>
      <c r="B94" s="5" t="s">
        <v>199</v>
      </c>
      <c r="C94" s="2">
        <v>3000000000597</v>
      </c>
      <c r="D94" s="5" t="s">
        <v>200</v>
      </c>
      <c r="E94" s="1">
        <v>4</v>
      </c>
      <c r="F94" s="1" t="s">
        <v>28</v>
      </c>
      <c r="G94" s="1">
        <v>4</v>
      </c>
      <c r="H94" s="1">
        <v>2</v>
      </c>
      <c r="I94" s="1">
        <v>2</v>
      </c>
      <c r="J94" s="1"/>
      <c r="K94" s="1">
        <v>50</v>
      </c>
      <c r="L94" s="1" t="str">
        <f>IFERROR(_xlfn.LET(_xlpm.x,VLOOKUP($A94,'[1]Markings Threadings'!$B$3:$L$245,3,0),IF(_xlpm.x=0,"",_xlpm.x)),"")</f>
        <v/>
      </c>
      <c r="M94" s="2" t="str">
        <f>IFERROR(_xlfn.LET(_xlpm.x,VLOOKUP($A94,'[1]Markings Threadings'!$B$3:$L$245,7,0),IF(_xlpm.x=0,"",_xlpm.x)),"")</f>
        <v/>
      </c>
      <c r="N94" s="5" t="str">
        <f>IFERROR(_xlfn.LET(_xlpm.x,VLOOKUP($A94,'[1]Markings Threadings'!$B$3:$L$245,8,0),IF(_xlpm.x=0,"",_xlpm.x)),"")</f>
        <v/>
      </c>
      <c r="O94" s="2" t="str">
        <f>IFERROR(_xlfn.LET(_xlpm.x,VLOOKUP($A94,'[1]Markings Threadings'!$B$3:$L$245,10,0),IF(_xlpm.x=0,"",_xlpm.x)),"")</f>
        <v/>
      </c>
      <c r="P94" s="5" t="str">
        <f>IFERROR(_xlfn.LET(_xlpm.x,VLOOKUP($A94,'[1]Markings Threadings'!$B$3:$L$245,11,0),IF(_xlpm.x=0,"",_xlpm.x)),"")</f>
        <v/>
      </c>
      <c r="Q94" s="1" t="str">
        <f>IFERROR(_xlfn.LET(_xlpm.x,VLOOKUP($A94,'[1]Markings Threadings'!$B$3:$L$245,4,0),IF(_xlpm.x=0,"",_xlpm.x)),"")</f>
        <v/>
      </c>
      <c r="R94" s="1" t="str">
        <f>IFERROR(_xlfn.LET(_xlpm.x,VLOOKUP($A94,'[1]Markings Threadings'!$B$3:$L$245,5,0),IF(_xlpm.x=0,"",_xlpm.x)),"")</f>
        <v/>
      </c>
      <c r="S94" s="1" t="str">
        <f>IFERROR(_xlfn.LET(_xlpm.x,VLOOKUP($A94,'[1]Markings Threadings'!$B$3:$L$245,6,0),IF(_xlpm.x=0,"",_xlpm.x)),"")</f>
        <v/>
      </c>
      <c r="T94" s="6" t="str">
        <f>IFERROR(_xlfn.LET(_xlpm.x,VLOOKUP($C94,[1]Summary!$A$2:$J$118,4,0),IF(_xlpm.x=0,"",_xlpm.x)),"")</f>
        <v/>
      </c>
      <c r="U94" s="6" t="str">
        <f>IFERROR(_xlfn.LET(_xlpm.x,VLOOKUP($C94,[1]Summary!$A$2:$J$118,5,0),IF(_xlpm.x=0,"",_xlpm.x)),"")</f>
        <v/>
      </c>
      <c r="V94" s="6" t="str">
        <f>IFERROR(_xlfn.LET(_xlpm.x,VLOOKUP($C94,[1]Summary!$A$2:$J$118,6,0),IF(_xlpm.x=0,"",_xlpm.x)),"")</f>
        <v/>
      </c>
      <c r="W94" s="6" t="str">
        <f>IFERROR(_xlfn.LET(_xlpm.x,VLOOKUP($C94,[1]Summary!$A$2:$J$118,7,0),IF(_xlpm.x=0,"",_xlpm.x)),"")</f>
        <v/>
      </c>
      <c r="X94" s="6" t="str">
        <f>IFERROR(_xlfn.LET(_xlpm.x,VLOOKUP($C94,[1]Summary!$A$2:$J$118,8,0),IF(_xlpm.x=0,"",_xlpm.x)),"")</f>
        <v/>
      </c>
      <c r="Y94" s="6" t="str">
        <f>IFERROR(_xlfn.LET(_xlpm.x,VLOOKUP($C94,[1]Summary!$A$2:$J$118,9,0),IF(_xlpm.x=0,"",_xlpm.x)),"")</f>
        <v/>
      </c>
      <c r="Z94" s="6" t="str">
        <f>IFERROR(_xlfn.LET(_xlpm.x,VLOOKUP($C94,[1]Summary!$A$2:$J$118,10,0),IF(_xlpm.x=0,"",_xlpm.x)),"")</f>
        <v/>
      </c>
    </row>
    <row r="95" spans="1:26" x14ac:dyDescent="0.25">
      <c r="A95" s="2">
        <v>1000000000938</v>
      </c>
      <c r="B95" s="5" t="s">
        <v>201</v>
      </c>
      <c r="C95" s="2">
        <v>3000000000583</v>
      </c>
      <c r="D95" s="5" t="s">
        <v>202</v>
      </c>
      <c r="E95" s="1"/>
      <c r="F95" s="1" t="s">
        <v>44</v>
      </c>
      <c r="G95" s="1">
        <v>4</v>
      </c>
      <c r="H95" s="1">
        <v>2</v>
      </c>
      <c r="I95" s="1">
        <v>2</v>
      </c>
      <c r="J95" s="1"/>
      <c r="K95" s="1">
        <v>50</v>
      </c>
      <c r="L95" s="1" t="str">
        <f>IFERROR(_xlfn.LET(_xlpm.x,VLOOKUP($A95,'[1]Markings Threadings'!$B$3:$L$245,3,0),IF(_xlpm.x=0,"",_xlpm.x)),"")</f>
        <v/>
      </c>
      <c r="M95" s="2" t="str">
        <f>IFERROR(_xlfn.LET(_xlpm.x,VLOOKUP($A95,'[1]Markings Threadings'!$B$3:$L$245,7,0),IF(_xlpm.x=0,"",_xlpm.x)),"")</f>
        <v/>
      </c>
      <c r="N95" s="5" t="str">
        <f>IFERROR(_xlfn.LET(_xlpm.x,VLOOKUP($A95,'[1]Markings Threadings'!$B$3:$L$245,8,0),IF(_xlpm.x=0,"",_xlpm.x)),"")</f>
        <v/>
      </c>
      <c r="O95" s="2" t="str">
        <f>IFERROR(_xlfn.LET(_xlpm.x,VLOOKUP($A95,'[1]Markings Threadings'!$B$3:$L$245,10,0),IF(_xlpm.x=0,"",_xlpm.x)),"")</f>
        <v/>
      </c>
      <c r="P95" s="5" t="str">
        <f>IFERROR(_xlfn.LET(_xlpm.x,VLOOKUP($A95,'[1]Markings Threadings'!$B$3:$L$245,11,0),IF(_xlpm.x=0,"",_xlpm.x)),"")</f>
        <v/>
      </c>
      <c r="Q95" s="1" t="str">
        <f>IFERROR(_xlfn.LET(_xlpm.x,VLOOKUP($A95,'[1]Markings Threadings'!$B$3:$L$245,4,0),IF(_xlpm.x=0,"",_xlpm.x)),"")</f>
        <v/>
      </c>
      <c r="R95" s="1" t="str">
        <f>IFERROR(_xlfn.LET(_xlpm.x,VLOOKUP($A95,'[1]Markings Threadings'!$B$3:$L$245,5,0),IF(_xlpm.x=0,"",_xlpm.x)),"")</f>
        <v/>
      </c>
      <c r="S95" s="1" t="str">
        <f>IFERROR(_xlfn.LET(_xlpm.x,VLOOKUP($A95,'[1]Markings Threadings'!$B$3:$L$245,6,0),IF(_xlpm.x=0,"",_xlpm.x)),"")</f>
        <v/>
      </c>
      <c r="T95" s="6" t="str">
        <f>IFERROR(_xlfn.LET(_xlpm.x,VLOOKUP($C95,[1]Summary!$A$2:$J$118,4,0),IF(_xlpm.x=0,"",_xlpm.x)),"")</f>
        <v/>
      </c>
      <c r="U95" s="6" t="str">
        <f>IFERROR(_xlfn.LET(_xlpm.x,VLOOKUP($C95,[1]Summary!$A$2:$J$118,5,0),IF(_xlpm.x=0,"",_xlpm.x)),"")</f>
        <v/>
      </c>
      <c r="V95" s="6" t="str">
        <f>IFERROR(_xlfn.LET(_xlpm.x,VLOOKUP($C95,[1]Summary!$A$2:$J$118,6,0),IF(_xlpm.x=0,"",_xlpm.x)),"")</f>
        <v/>
      </c>
      <c r="W95" s="6" t="str">
        <f>IFERROR(_xlfn.LET(_xlpm.x,VLOOKUP($C95,[1]Summary!$A$2:$J$118,7,0),IF(_xlpm.x=0,"",_xlpm.x)),"")</f>
        <v/>
      </c>
      <c r="X95" s="6" t="str">
        <f>IFERROR(_xlfn.LET(_xlpm.x,VLOOKUP($C95,[1]Summary!$A$2:$J$118,8,0),IF(_xlpm.x=0,"",_xlpm.x)),"")</f>
        <v/>
      </c>
      <c r="Y95" s="6" t="str">
        <f>IFERROR(_xlfn.LET(_xlpm.x,VLOOKUP($C95,[1]Summary!$A$2:$J$118,9,0),IF(_xlpm.x=0,"",_xlpm.x)),"")</f>
        <v/>
      </c>
      <c r="Z95" s="6" t="str">
        <f>IFERROR(_xlfn.LET(_xlpm.x,VLOOKUP($C95,[1]Summary!$A$2:$J$118,10,0),IF(_xlpm.x=0,"",_xlpm.x)),"")</f>
        <v/>
      </c>
    </row>
    <row r="96" spans="1:26" x14ac:dyDescent="0.25">
      <c r="A96" s="2">
        <v>1000000001077</v>
      </c>
      <c r="B96" s="5" t="s">
        <v>203</v>
      </c>
      <c r="C96" s="2">
        <v>3000000000472</v>
      </c>
      <c r="D96" s="5" t="s">
        <v>204</v>
      </c>
      <c r="E96" s="1"/>
      <c r="F96" s="1" t="s">
        <v>44</v>
      </c>
      <c r="G96" s="1">
        <v>3</v>
      </c>
      <c r="H96" s="1">
        <v>2</v>
      </c>
      <c r="I96" s="1">
        <v>2</v>
      </c>
      <c r="J96" s="1"/>
      <c r="K96" s="1">
        <v>50</v>
      </c>
      <c r="L96" s="1" t="str">
        <f>IFERROR(_xlfn.LET(_xlpm.x,VLOOKUP($A96,'[1]Markings Threadings'!$B$3:$L$245,3,0),IF(_xlpm.x=0,"",_xlpm.x)),"")</f>
        <v/>
      </c>
      <c r="M96" s="2" t="str">
        <f>IFERROR(_xlfn.LET(_xlpm.x,VLOOKUP($A96,'[1]Markings Threadings'!$B$3:$L$245,7,0),IF(_xlpm.x=0,"",_xlpm.x)),"")</f>
        <v/>
      </c>
      <c r="N96" s="5" t="str">
        <f>IFERROR(_xlfn.LET(_xlpm.x,VLOOKUP($A96,'[1]Markings Threadings'!$B$3:$L$245,8,0),IF(_xlpm.x=0,"",_xlpm.x)),"")</f>
        <v/>
      </c>
      <c r="O96" s="2" t="str">
        <f>IFERROR(_xlfn.LET(_xlpm.x,VLOOKUP($A96,'[1]Markings Threadings'!$B$3:$L$245,10,0),IF(_xlpm.x=0,"",_xlpm.x)),"")</f>
        <v/>
      </c>
      <c r="P96" s="5" t="str">
        <f>IFERROR(_xlfn.LET(_xlpm.x,VLOOKUP($A96,'[1]Markings Threadings'!$B$3:$L$245,11,0),IF(_xlpm.x=0,"",_xlpm.x)),"")</f>
        <v/>
      </c>
      <c r="Q96" s="1" t="str">
        <f>IFERROR(_xlfn.LET(_xlpm.x,VLOOKUP($A96,'[1]Markings Threadings'!$B$3:$L$245,4,0),IF(_xlpm.x=0,"",_xlpm.x)),"")</f>
        <v/>
      </c>
      <c r="R96" s="1" t="str">
        <f>IFERROR(_xlfn.LET(_xlpm.x,VLOOKUP($A96,'[1]Markings Threadings'!$B$3:$L$245,5,0),IF(_xlpm.x=0,"",_xlpm.x)),"")</f>
        <v/>
      </c>
      <c r="S96" s="1" t="str">
        <f>IFERROR(_xlfn.LET(_xlpm.x,VLOOKUP($A96,'[1]Markings Threadings'!$B$3:$L$245,6,0),IF(_xlpm.x=0,"",_xlpm.x)),"")</f>
        <v/>
      </c>
      <c r="T96" s="6" t="str">
        <f>IFERROR(_xlfn.LET(_xlpm.x,VLOOKUP($C96,[1]Summary!$A$2:$J$118,4,0),IF(_xlpm.x=0,"",_xlpm.x)),"")</f>
        <v/>
      </c>
      <c r="U96" s="6" t="str">
        <f>IFERROR(_xlfn.LET(_xlpm.x,VLOOKUP($C96,[1]Summary!$A$2:$J$118,5,0),IF(_xlpm.x=0,"",_xlpm.x)),"")</f>
        <v/>
      </c>
      <c r="V96" s="6" t="str">
        <f>IFERROR(_xlfn.LET(_xlpm.x,VLOOKUP($C96,[1]Summary!$A$2:$J$118,6,0),IF(_xlpm.x=0,"",_xlpm.x)),"")</f>
        <v/>
      </c>
      <c r="W96" s="6" t="str">
        <f>IFERROR(_xlfn.LET(_xlpm.x,VLOOKUP($C96,[1]Summary!$A$2:$J$118,7,0),IF(_xlpm.x=0,"",_xlpm.x)),"")</f>
        <v/>
      </c>
      <c r="X96" s="6" t="str">
        <f>IFERROR(_xlfn.LET(_xlpm.x,VLOOKUP($C96,[1]Summary!$A$2:$J$118,8,0),IF(_xlpm.x=0,"",_xlpm.x)),"")</f>
        <v/>
      </c>
      <c r="Y96" s="6" t="str">
        <f>IFERROR(_xlfn.LET(_xlpm.x,VLOOKUP($C96,[1]Summary!$A$2:$J$118,9,0),IF(_xlpm.x=0,"",_xlpm.x)),"")</f>
        <v/>
      </c>
      <c r="Z96" s="6" t="str">
        <f>IFERROR(_xlfn.LET(_xlpm.x,VLOOKUP($C96,[1]Summary!$A$2:$J$118,10,0),IF(_xlpm.x=0,"",_xlpm.x)),"")</f>
        <v/>
      </c>
    </row>
    <row r="97" spans="1:26" x14ac:dyDescent="0.25">
      <c r="A97" s="2">
        <v>1000000000832</v>
      </c>
      <c r="B97" s="5" t="s">
        <v>205</v>
      </c>
      <c r="C97" s="2">
        <v>3000000000573</v>
      </c>
      <c r="D97" s="5" t="s">
        <v>206</v>
      </c>
      <c r="E97" s="1">
        <v>4</v>
      </c>
      <c r="F97" s="1" t="s">
        <v>28</v>
      </c>
      <c r="G97" s="1">
        <v>4</v>
      </c>
      <c r="H97" s="1">
        <v>2</v>
      </c>
      <c r="I97" s="1">
        <v>2</v>
      </c>
      <c r="J97" s="1"/>
      <c r="K97" s="1">
        <v>50</v>
      </c>
      <c r="L97" s="1" t="str">
        <f>IFERROR(_xlfn.LET(_xlpm.x,VLOOKUP($A97,'[1]Markings Threadings'!$B$3:$L$245,3,0),IF(_xlpm.x=0,"",_xlpm.x)),"")</f>
        <v>Blue</v>
      </c>
      <c r="M97" s="2">
        <f>IFERROR(_xlfn.LET(_xlpm.x,VLOOKUP($A97,'[1]Markings Threadings'!$B$3:$L$245,7,0),IF(_xlpm.x=0,"",_xlpm.x)),"")</f>
        <v>5000000000050</v>
      </c>
      <c r="N97" s="5" t="str">
        <f>IFERROR(_xlfn.LET(_xlpm.x,VLOOKUP($A97,'[1]Markings Threadings'!$B$3:$L$245,8,0),IF(_xlpm.x=0,"",_xlpm.x)),"")</f>
        <v>Empty Sack - Pork Solutions Grower , 50 kg</v>
      </c>
      <c r="O97" s="2">
        <f>IFERROR(_xlfn.LET(_xlpm.x,VLOOKUP($A97,'[1]Markings Threadings'!$B$3:$L$245,10,0),IF(_xlpm.x=0,"",_xlpm.x)),"")</f>
        <v>5000000000104</v>
      </c>
      <c r="P97" s="5" t="str">
        <f>IFERROR(_xlfn.LET(_xlpm.x,VLOOKUP($A97,'[1]Markings Threadings'!$B$3:$L$245,11,0),IF(_xlpm.x=0,"",_xlpm.x)),"")</f>
        <v>Tag - Pork Solutions Grower Pellet</v>
      </c>
      <c r="Q97" s="1" t="str">
        <f>IFERROR(_xlfn.LET(_xlpm.x,VLOOKUP($A97,'[1]Markings Threadings'!$B$3:$L$245,4,0),IF(_xlpm.x=0,"",_xlpm.x)),"")</f>
        <v>832 PH</v>
      </c>
      <c r="R97" s="1" t="str">
        <f>IFERROR(_xlfn.LET(_xlpm.x,VLOOKUP($A97,'[1]Markings Threadings'!$B$3:$L$245,5,0),IF(_xlpm.x=0,"",_xlpm.x)),"")</f>
        <v/>
      </c>
      <c r="S97" s="1">
        <f>IFERROR(_xlfn.LET(_xlpm.x,VLOOKUP($A97,'[1]Markings Threadings'!$B$3:$L$245,6,0),IF(_xlpm.x=0,"",_xlpm.x)),"")</f>
        <v>6</v>
      </c>
      <c r="T97" s="6" t="str">
        <f>IFERROR(_xlfn.LET(_xlpm.x,VLOOKUP($C97,[1]Summary!$A$2:$J$118,4,0),IF(_xlpm.x=0,"",_xlpm.x)),"")</f>
        <v/>
      </c>
      <c r="U97" s="6">
        <f>IFERROR(_xlfn.LET(_xlpm.x,VLOOKUP($C97,[1]Summary!$A$2:$J$118,5,0),IF(_xlpm.x=0,"",_xlpm.x)),"")</f>
        <v>20.158269557932371</v>
      </c>
      <c r="V97" s="6" t="str">
        <f>IFERROR(_xlfn.LET(_xlpm.x,VLOOKUP($C97,[1]Summary!$A$2:$J$118,6,0),IF(_xlpm.x=0,"",_xlpm.x)),"")</f>
        <v/>
      </c>
      <c r="W97" s="6" t="str">
        <f>IFERROR(_xlfn.LET(_xlpm.x,VLOOKUP($C97,[1]Summary!$A$2:$J$118,7,0),IF(_xlpm.x=0,"",_xlpm.x)),"")</f>
        <v/>
      </c>
      <c r="X97" s="6" t="str">
        <f>IFERROR(_xlfn.LET(_xlpm.x,VLOOKUP($C97,[1]Summary!$A$2:$J$118,8,0),IF(_xlpm.x=0,"",_xlpm.x)),"")</f>
        <v/>
      </c>
      <c r="Y97" s="6" t="str">
        <f>IFERROR(_xlfn.LET(_xlpm.x,VLOOKUP($C97,[1]Summary!$A$2:$J$118,9,0),IF(_xlpm.x=0,"",_xlpm.x)),"")</f>
        <v/>
      </c>
      <c r="Z97" s="6" t="str">
        <f>IFERROR(_xlfn.LET(_xlpm.x,VLOOKUP($C97,[1]Summary!$A$2:$J$118,10,0),IF(_xlpm.x=0,"",_xlpm.x)),"")</f>
        <v/>
      </c>
    </row>
    <row r="98" spans="1:26" x14ac:dyDescent="0.25">
      <c r="A98" s="2">
        <v>1000000000831</v>
      </c>
      <c r="B98" s="5" t="s">
        <v>207</v>
      </c>
      <c r="C98" s="2">
        <v>3000000000571</v>
      </c>
      <c r="D98" s="5" t="s">
        <v>208</v>
      </c>
      <c r="E98" s="1">
        <v>3</v>
      </c>
      <c r="F98" s="1" t="s">
        <v>37</v>
      </c>
      <c r="G98" s="1">
        <v>4</v>
      </c>
      <c r="H98" s="1">
        <v>2</v>
      </c>
      <c r="I98" s="1">
        <v>2</v>
      </c>
      <c r="J98" s="1"/>
      <c r="K98" s="1">
        <v>50</v>
      </c>
      <c r="L98" s="1" t="str">
        <f>IFERROR(_xlfn.LET(_xlpm.x,VLOOKUP($A98,'[1]Markings Threadings'!$B$3:$L$245,3,0),IF(_xlpm.x=0,"",_xlpm.x)),"")</f>
        <v>Yellow</v>
      </c>
      <c r="M98" s="2">
        <f>IFERROR(_xlfn.LET(_xlpm.x,VLOOKUP($A98,'[1]Markings Threadings'!$B$3:$L$245,7,0),IF(_xlpm.x=0,"",_xlpm.x)),"")</f>
        <v>5000000000001</v>
      </c>
      <c r="N98" s="5" t="str">
        <f>IFERROR(_xlfn.LET(_xlpm.x,VLOOKUP($A98,'[1]Markings Threadings'!$B$3:$L$245,8,0),IF(_xlpm.x=0,"",_xlpm.x)),"")</f>
        <v>Pork Solution Starter N</v>
      </c>
      <c r="O98" s="2">
        <f>IFERROR(_xlfn.LET(_xlpm.x,VLOOKUP($A98,'[1]Markings Threadings'!$B$3:$L$245,10,0),IF(_xlpm.x=0,"",_xlpm.x)),"")</f>
        <v>5000000000103</v>
      </c>
      <c r="P98" s="5" t="str">
        <f>IFERROR(_xlfn.LET(_xlpm.x,VLOOKUP($A98,'[1]Markings Threadings'!$B$3:$L$245,11,0),IF(_xlpm.x=0,"",_xlpm.x)),"")</f>
        <v>Tag Pork Solution Starter (P)</v>
      </c>
      <c r="Q98" s="1" t="str">
        <f>IFERROR(_xlfn.LET(_xlpm.x,VLOOKUP($A98,'[1]Markings Threadings'!$B$3:$L$245,4,0),IF(_xlpm.x=0,"",_xlpm.x)),"")</f>
        <v>831 PH</v>
      </c>
      <c r="R98" s="1" t="str">
        <f>IFERROR(_xlfn.LET(_xlpm.x,VLOOKUP($A98,'[1]Markings Threadings'!$B$3:$L$245,5,0),IF(_xlpm.x=0,"",_xlpm.x)),"")</f>
        <v/>
      </c>
      <c r="S98" s="1">
        <f>IFERROR(_xlfn.LET(_xlpm.x,VLOOKUP($A98,'[1]Markings Threadings'!$B$3:$L$245,6,0),IF(_xlpm.x=0,"",_xlpm.x)),"")</f>
        <v>2</v>
      </c>
      <c r="T98" s="6">
        <f>IFERROR(_xlfn.LET(_xlpm.x,VLOOKUP($C98,[1]Summary!$A$2:$J$118,4,0),IF(_xlpm.x=0,"",_xlpm.x)),"")</f>
        <v>19.098000822739454</v>
      </c>
      <c r="U98" s="6">
        <f>IFERROR(_xlfn.LET(_xlpm.x,VLOOKUP($C98,[1]Summary!$A$2:$J$118,5,0),IF(_xlpm.x=0,"",_xlpm.x)),"")</f>
        <v>20.153449071702852</v>
      </c>
      <c r="V98" s="6" t="str">
        <f>IFERROR(_xlfn.LET(_xlpm.x,VLOOKUP($C98,[1]Summary!$A$2:$J$118,6,0),IF(_xlpm.x=0,"",_xlpm.x)),"")</f>
        <v/>
      </c>
      <c r="W98" s="6" t="str">
        <f>IFERROR(_xlfn.LET(_xlpm.x,VLOOKUP($C98,[1]Summary!$A$2:$J$118,7,0),IF(_xlpm.x=0,"",_xlpm.x)),"")</f>
        <v/>
      </c>
      <c r="X98" s="6" t="str">
        <f>IFERROR(_xlfn.LET(_xlpm.x,VLOOKUP($C98,[1]Summary!$A$2:$J$118,8,0),IF(_xlpm.x=0,"",_xlpm.x)),"")</f>
        <v/>
      </c>
      <c r="Y98" s="6">
        <f>IFERROR(_xlfn.LET(_xlpm.x,VLOOKUP($C98,[1]Summary!$A$2:$J$118,9,0),IF(_xlpm.x=0,"",_xlpm.x)),"")</f>
        <v>6.7186884293547067</v>
      </c>
      <c r="Z98" s="6">
        <f>IFERROR(_xlfn.LET(_xlpm.x,VLOOKUP($C98,[1]Summary!$A$2:$J$118,10,0),IF(_xlpm.x=0,"",_xlpm.x)),"")</f>
        <v>6.7255682689216467</v>
      </c>
    </row>
    <row r="99" spans="1:26" x14ac:dyDescent="0.25">
      <c r="A99" s="2">
        <v>1000000000827</v>
      </c>
      <c r="B99" s="5" t="s">
        <v>209</v>
      </c>
      <c r="C99" s="2">
        <v>3000000000561</v>
      </c>
      <c r="D99" s="5" t="s">
        <v>210</v>
      </c>
      <c r="E99" s="1">
        <v>4</v>
      </c>
      <c r="F99" s="1" t="s">
        <v>28</v>
      </c>
      <c r="G99" s="1">
        <v>4</v>
      </c>
      <c r="H99" s="1">
        <v>2</v>
      </c>
      <c r="I99" s="1">
        <v>2</v>
      </c>
      <c r="J99" s="1"/>
      <c r="K99" s="1">
        <v>50</v>
      </c>
      <c r="L99" s="1" t="str">
        <f>IFERROR(_xlfn.LET(_xlpm.x,VLOOKUP($A99,'[1]Markings Threadings'!$B$3:$L$245,3,0),IF(_xlpm.x=0,"",_xlpm.x)),"")</f>
        <v>Orange</v>
      </c>
      <c r="M99" s="2">
        <f>IFERROR(_xlfn.LET(_xlpm.x,VLOOKUP($A99,'[1]Markings Threadings'!$B$3:$L$245,7,0),IF(_xlpm.x=0,"",_xlpm.x)),"")</f>
        <v>5000000000052</v>
      </c>
      <c r="N99" s="5" t="str">
        <f>IFERROR(_xlfn.LET(_xlpm.x,VLOOKUP($A99,'[1]Markings Threadings'!$B$3:$L$245,8,0),IF(_xlpm.x=0,"",_xlpm.x)),"")</f>
        <v>Empty Sack - Pork Solutions Breeder Hog Gestation, 50 kg</v>
      </c>
      <c r="O99" s="2">
        <f>IFERROR(_xlfn.LET(_xlpm.x,VLOOKUP($A99,'[1]Markings Threadings'!$B$3:$L$245,10,0),IF(_xlpm.x=0,"",_xlpm.x)),"")</f>
        <v>5000000000106</v>
      </c>
      <c r="P99" s="5" t="str">
        <f>IFERROR(_xlfn.LET(_xlpm.x,VLOOKUP($A99,'[1]Markings Threadings'!$B$3:$L$245,11,0),IF(_xlpm.x=0,"",_xlpm.x)),"")</f>
        <v>Tag - Pork Solutions Breeder Hog Gestation Pellet</v>
      </c>
      <c r="Q99" s="1">
        <f>IFERROR(_xlfn.LET(_xlpm.x,VLOOKUP($A99,'[1]Markings Threadings'!$B$3:$L$245,4,0),IF(_xlpm.x=0,"",_xlpm.x)),"")</f>
        <v>827</v>
      </c>
      <c r="R99" s="1" t="str">
        <f>IFERROR(_xlfn.LET(_xlpm.x,VLOOKUP($A99,'[1]Markings Threadings'!$B$3:$L$245,5,0),IF(_xlpm.x=0,"",_xlpm.x)),"")</f>
        <v/>
      </c>
      <c r="S99" s="1">
        <f>IFERROR(_xlfn.LET(_xlpm.x,VLOOKUP($A99,'[1]Markings Threadings'!$B$3:$L$245,6,0),IF(_xlpm.x=0,"",_xlpm.x)),"")</f>
        <v>5</v>
      </c>
      <c r="T99" s="6" t="str">
        <f>IFERROR(_xlfn.LET(_xlpm.x,VLOOKUP($C99,[1]Summary!$A$2:$J$118,4,0),IF(_xlpm.x=0,"",_xlpm.x)),"")</f>
        <v/>
      </c>
      <c r="U99" s="6">
        <f>IFERROR(_xlfn.LET(_xlpm.x,VLOOKUP($C99,[1]Summary!$A$2:$J$118,5,0),IF(_xlpm.x=0,"",_xlpm.x)),"")</f>
        <v>19.847961012443577</v>
      </c>
      <c r="V99" s="6" t="str">
        <f>IFERROR(_xlfn.LET(_xlpm.x,VLOOKUP($C99,[1]Summary!$A$2:$J$118,6,0),IF(_xlpm.x=0,"",_xlpm.x)),"")</f>
        <v/>
      </c>
      <c r="W99" s="6" t="str">
        <f>IFERROR(_xlfn.LET(_xlpm.x,VLOOKUP($C99,[1]Summary!$A$2:$J$118,7,0),IF(_xlpm.x=0,"",_xlpm.x)),"")</f>
        <v/>
      </c>
      <c r="X99" s="6" t="str">
        <f>IFERROR(_xlfn.LET(_xlpm.x,VLOOKUP($C99,[1]Summary!$A$2:$J$118,8,0),IF(_xlpm.x=0,"",_xlpm.x)),"")</f>
        <v/>
      </c>
      <c r="Y99" s="6" t="str">
        <f>IFERROR(_xlfn.LET(_xlpm.x,VLOOKUP($C99,[1]Summary!$A$2:$J$118,9,0),IF(_xlpm.x=0,"",_xlpm.x)),"")</f>
        <v/>
      </c>
      <c r="Z99" s="6" t="str">
        <f>IFERROR(_xlfn.LET(_xlpm.x,VLOOKUP($C99,[1]Summary!$A$2:$J$118,10,0),IF(_xlpm.x=0,"",_xlpm.x)),"")</f>
        <v/>
      </c>
    </row>
    <row r="100" spans="1:26" x14ac:dyDescent="0.25">
      <c r="A100" s="2">
        <v>1000000000820</v>
      </c>
      <c r="B100" s="5" t="s">
        <v>211</v>
      </c>
      <c r="C100" s="2">
        <v>3000000000434</v>
      </c>
      <c r="D100" s="5" t="s">
        <v>212</v>
      </c>
      <c r="E100" s="1">
        <v>3</v>
      </c>
      <c r="F100" s="1" t="s">
        <v>86</v>
      </c>
      <c r="G100" s="1">
        <v>4</v>
      </c>
      <c r="H100" s="1">
        <v>2</v>
      </c>
      <c r="I100" s="1">
        <v>2</v>
      </c>
      <c r="J100" s="1"/>
      <c r="K100" s="1">
        <v>25</v>
      </c>
      <c r="L100" s="1" t="str">
        <f>IFERROR(_xlfn.LET(_xlpm.x,VLOOKUP($A100,'[1]Markings Threadings'!$B$3:$L$245,3,0),IF(_xlpm.x=0,"",_xlpm.x)),"")</f>
        <v/>
      </c>
      <c r="M100" s="2" t="str">
        <f>IFERROR(_xlfn.LET(_xlpm.x,VLOOKUP($A100,'[1]Markings Threadings'!$B$3:$L$245,7,0),IF(_xlpm.x=0,"",_xlpm.x)),"")</f>
        <v/>
      </c>
      <c r="N100" s="5" t="str">
        <f>IFERROR(_xlfn.LET(_xlpm.x,VLOOKUP($A100,'[1]Markings Threadings'!$B$3:$L$245,8,0),IF(_xlpm.x=0,"",_xlpm.x)),"")</f>
        <v/>
      </c>
      <c r="O100" s="2" t="str">
        <f>IFERROR(_xlfn.LET(_xlpm.x,VLOOKUP($A100,'[1]Markings Threadings'!$B$3:$L$245,10,0),IF(_xlpm.x=0,"",_xlpm.x)),"")</f>
        <v/>
      </c>
      <c r="P100" s="5" t="str">
        <f>IFERROR(_xlfn.LET(_xlpm.x,VLOOKUP($A100,'[1]Markings Threadings'!$B$3:$L$245,11,0),IF(_xlpm.x=0,"",_xlpm.x)),"")</f>
        <v/>
      </c>
      <c r="Q100" s="1" t="str">
        <f>IFERROR(_xlfn.LET(_xlpm.x,VLOOKUP($A100,'[1]Markings Threadings'!$B$3:$L$245,4,0),IF(_xlpm.x=0,"",_xlpm.x)),"")</f>
        <v/>
      </c>
      <c r="R100" s="1" t="str">
        <f>IFERROR(_xlfn.LET(_xlpm.x,VLOOKUP($A100,'[1]Markings Threadings'!$B$3:$L$245,5,0),IF(_xlpm.x=0,"",_xlpm.x)),"")</f>
        <v/>
      </c>
      <c r="S100" s="1" t="str">
        <f>IFERROR(_xlfn.LET(_xlpm.x,VLOOKUP($A100,'[1]Markings Threadings'!$B$3:$L$245,6,0),IF(_xlpm.x=0,"",_xlpm.x)),"")</f>
        <v/>
      </c>
      <c r="T100" s="6" t="str">
        <f>IFERROR(_xlfn.LET(_xlpm.x,VLOOKUP($C100,[1]Summary!$A$2:$J$118,4,0),IF(_xlpm.x=0,"",_xlpm.x)),"")</f>
        <v/>
      </c>
      <c r="U100" s="6" t="str">
        <f>IFERROR(_xlfn.LET(_xlpm.x,VLOOKUP($C100,[1]Summary!$A$2:$J$118,5,0),IF(_xlpm.x=0,"",_xlpm.x)),"")</f>
        <v/>
      </c>
      <c r="V100" s="6" t="str">
        <f>IFERROR(_xlfn.LET(_xlpm.x,VLOOKUP($C100,[1]Summary!$A$2:$J$118,6,0),IF(_xlpm.x=0,"",_xlpm.x)),"")</f>
        <v/>
      </c>
      <c r="W100" s="6" t="str">
        <f>IFERROR(_xlfn.LET(_xlpm.x,VLOOKUP($C100,[1]Summary!$A$2:$J$118,7,0),IF(_xlpm.x=0,"",_xlpm.x)),"")</f>
        <v/>
      </c>
      <c r="X100" s="6" t="str">
        <f>IFERROR(_xlfn.LET(_xlpm.x,VLOOKUP($C100,[1]Summary!$A$2:$J$118,8,0),IF(_xlpm.x=0,"",_xlpm.x)),"")</f>
        <v/>
      </c>
      <c r="Y100" s="6" t="str">
        <f>IFERROR(_xlfn.LET(_xlpm.x,VLOOKUP($C100,[1]Summary!$A$2:$J$118,9,0),IF(_xlpm.x=0,"",_xlpm.x)),"")</f>
        <v/>
      </c>
      <c r="Z100" s="6" t="str">
        <f>IFERROR(_xlfn.LET(_xlpm.x,VLOOKUP($C100,[1]Summary!$A$2:$J$118,10,0),IF(_xlpm.x=0,"",_xlpm.x)),"")</f>
        <v/>
      </c>
    </row>
    <row r="101" spans="1:26" x14ac:dyDescent="0.25">
      <c r="A101" s="2">
        <v>1000000001088</v>
      </c>
      <c r="B101" s="5" t="s">
        <v>213</v>
      </c>
      <c r="C101" s="2">
        <v>3000000000663</v>
      </c>
      <c r="D101" s="5" t="s">
        <v>214</v>
      </c>
      <c r="E101" s="1"/>
      <c r="F101" s="1" t="s">
        <v>44</v>
      </c>
      <c r="G101" s="1">
        <v>2</v>
      </c>
      <c r="H101" s="1">
        <v>2</v>
      </c>
      <c r="I101" s="1">
        <v>2</v>
      </c>
      <c r="J101" s="1"/>
      <c r="K101" s="1">
        <v>50</v>
      </c>
      <c r="L101" s="1" t="str">
        <f>IFERROR(_xlfn.LET(_xlpm.x,VLOOKUP($A101,'[1]Markings Threadings'!$B$3:$L$245,3,0),IF(_xlpm.x=0,"",_xlpm.x)),"")</f>
        <v>Green</v>
      </c>
      <c r="M101" s="2">
        <f>IFERROR(_xlfn.LET(_xlpm.x,VLOOKUP($A101,'[1]Markings Threadings'!$B$3:$L$245,7,0),IF(_xlpm.x=0,"",_xlpm.x)),"")</f>
        <v>5000000000399</v>
      </c>
      <c r="N101" s="5" t="str">
        <f>IFERROR(_xlfn.LET(_xlpm.x,VLOOKUP($A101,'[1]Markings Threadings'!$B$3:$L$245,8,0),IF(_xlpm.x=0,"",_xlpm.x)),"")</f>
        <v>Packaging - Hog Supremecon Growmix / Gestamix / Lactamix</v>
      </c>
      <c r="O101" s="2">
        <f>IFERROR(_xlfn.LET(_xlpm.x,VLOOKUP($A101,'[1]Markings Threadings'!$B$3:$L$245,10,0),IF(_xlpm.x=0,"",_xlpm.x)),"")</f>
        <v>5000000000449</v>
      </c>
      <c r="P101" s="5" t="str">
        <f>IFERROR(_xlfn.LET(_xlpm.x,VLOOKUP($A101,'[1]Markings Threadings'!$B$3:$L$245,11,0),IF(_xlpm.x=0,"",_xlpm.x)),"")</f>
        <v>Tag - Supremecon Hog Protein Concentrate Gestamix Mash, 25kg</v>
      </c>
      <c r="Q101" s="1">
        <f>IFERROR(_xlfn.LET(_xlpm.x,VLOOKUP($A101,'[1]Markings Threadings'!$B$3:$L$245,4,0),IF(_xlpm.x=0,"",_xlpm.x)),"")</f>
        <v>1088</v>
      </c>
      <c r="R101" s="1" t="str">
        <f>IFERROR(_xlfn.LET(_xlpm.x,VLOOKUP($A101,'[1]Markings Threadings'!$B$3:$L$245,5,0),IF(_xlpm.x=0,"",_xlpm.x)),"")</f>
        <v/>
      </c>
      <c r="S101" s="1">
        <f>IFERROR(_xlfn.LET(_xlpm.x,VLOOKUP($A101,'[1]Markings Threadings'!$B$3:$L$245,6,0),IF(_xlpm.x=0,"",_xlpm.x)),"")</f>
        <v>4</v>
      </c>
      <c r="T101" s="6" t="str">
        <f>IFERROR(_xlfn.LET(_xlpm.x,VLOOKUP($C101,[1]Summary!$A$2:$J$118,4,0),IF(_xlpm.x=0,"",_xlpm.x)),"")</f>
        <v/>
      </c>
      <c r="U101" s="6" t="str">
        <f>IFERROR(_xlfn.LET(_xlpm.x,VLOOKUP($C101,[1]Summary!$A$2:$J$118,5,0),IF(_xlpm.x=0,"",_xlpm.x)),"")</f>
        <v/>
      </c>
      <c r="V101" s="6" t="str">
        <f>IFERROR(_xlfn.LET(_xlpm.x,VLOOKUP($C101,[1]Summary!$A$2:$J$118,6,0),IF(_xlpm.x=0,"",_xlpm.x)),"")</f>
        <v/>
      </c>
      <c r="W101" s="6" t="str">
        <f>IFERROR(_xlfn.LET(_xlpm.x,VLOOKUP($C101,[1]Summary!$A$2:$J$118,7,0),IF(_xlpm.x=0,"",_xlpm.x)),"")</f>
        <v/>
      </c>
      <c r="X101" s="6" t="str">
        <f>IFERROR(_xlfn.LET(_xlpm.x,VLOOKUP($C101,[1]Summary!$A$2:$J$118,8,0),IF(_xlpm.x=0,"",_xlpm.x)),"")</f>
        <v/>
      </c>
      <c r="Y101" s="6" t="str">
        <f>IFERROR(_xlfn.LET(_xlpm.x,VLOOKUP($C101,[1]Summary!$A$2:$J$118,9,0),IF(_xlpm.x=0,"",_xlpm.x)),"")</f>
        <v/>
      </c>
      <c r="Z101" s="6" t="str">
        <f>IFERROR(_xlfn.LET(_xlpm.x,VLOOKUP($C101,[1]Summary!$A$2:$J$118,10,0),IF(_xlpm.x=0,"",_xlpm.x)),"")</f>
        <v/>
      </c>
    </row>
    <row r="102" spans="1:26" x14ac:dyDescent="0.25">
      <c r="A102" s="2">
        <v>1000000000828</v>
      </c>
      <c r="B102" s="5" t="s">
        <v>215</v>
      </c>
      <c r="C102" s="2">
        <v>3000000000563</v>
      </c>
      <c r="D102" s="5" t="s">
        <v>216</v>
      </c>
      <c r="E102" s="1">
        <v>4</v>
      </c>
      <c r="F102" s="1" t="s">
        <v>28</v>
      </c>
      <c r="G102" s="1">
        <v>4</v>
      </c>
      <c r="H102" s="1">
        <v>2</v>
      </c>
      <c r="I102" s="1">
        <v>2</v>
      </c>
      <c r="J102" s="1"/>
      <c r="K102" s="1">
        <v>50</v>
      </c>
      <c r="L102" s="1" t="str">
        <f>IFERROR(_xlfn.LET(_xlpm.x,VLOOKUP($A102,'[1]Markings Threadings'!$B$3:$L$245,3,0),IF(_xlpm.x=0,"",_xlpm.x)),"")</f>
        <v>Yellow</v>
      </c>
      <c r="M102" s="2">
        <f>IFERROR(_xlfn.LET(_xlpm.x,VLOOKUP($A102,'[1]Markings Threadings'!$B$3:$L$245,7,0),IF(_xlpm.x=0,"",_xlpm.x)),"")</f>
        <v>5000000000053</v>
      </c>
      <c r="N102" s="5" t="str">
        <f>IFERROR(_xlfn.LET(_xlpm.x,VLOOKUP($A102,'[1]Markings Threadings'!$B$3:$L$245,8,0),IF(_xlpm.x=0,"",_xlpm.x)),"")</f>
        <v>Empty Sack - Pork Solutions Breeder Hog Lactation, 50 kg</v>
      </c>
      <c r="O102" s="2">
        <f>IFERROR(_xlfn.LET(_xlpm.x,VLOOKUP($A102,'[1]Markings Threadings'!$B$3:$L$245,10,0),IF(_xlpm.x=0,"",_xlpm.x)),"")</f>
        <v>5000000000107</v>
      </c>
      <c r="P102" s="5" t="str">
        <f>IFERROR(_xlfn.LET(_xlpm.x,VLOOKUP($A102,'[1]Markings Threadings'!$B$3:$L$245,11,0),IF(_xlpm.x=0,"",_xlpm.x)),"")</f>
        <v>Tag - Pork Solutions Breeder Hog Lactation Pellet</v>
      </c>
      <c r="Q102" s="1" t="str">
        <f>IFERROR(_xlfn.LET(_xlpm.x,VLOOKUP($A102,'[1]Markings Threadings'!$B$3:$L$245,4,0),IF(_xlpm.x=0,"",_xlpm.x)),"")</f>
        <v>828 PH</v>
      </c>
      <c r="R102" s="1" t="str">
        <f>IFERROR(_xlfn.LET(_xlpm.x,VLOOKUP($A102,'[1]Markings Threadings'!$B$3:$L$245,5,0),IF(_xlpm.x=0,"",_xlpm.x)),"")</f>
        <v/>
      </c>
      <c r="S102" s="1">
        <f>IFERROR(_xlfn.LET(_xlpm.x,VLOOKUP($A102,'[1]Markings Threadings'!$B$3:$L$245,6,0),IF(_xlpm.x=0,"",_xlpm.x)),"")</f>
        <v>4</v>
      </c>
      <c r="T102" s="6" t="str">
        <f>IFERROR(_xlfn.LET(_xlpm.x,VLOOKUP($C102,[1]Summary!$A$2:$J$118,4,0),IF(_xlpm.x=0,"",_xlpm.x)),"")</f>
        <v/>
      </c>
      <c r="U102" s="6">
        <f>IFERROR(_xlfn.LET(_xlpm.x,VLOOKUP($C102,[1]Summary!$A$2:$J$118,5,0),IF(_xlpm.x=0,"",_xlpm.x)),"")</f>
        <v>20.04536401731648</v>
      </c>
      <c r="V102" s="6" t="str">
        <f>IFERROR(_xlfn.LET(_xlpm.x,VLOOKUP($C102,[1]Summary!$A$2:$J$118,6,0),IF(_xlpm.x=0,"",_xlpm.x)),"")</f>
        <v/>
      </c>
      <c r="W102" s="6" t="str">
        <f>IFERROR(_xlfn.LET(_xlpm.x,VLOOKUP($C102,[1]Summary!$A$2:$J$118,7,0),IF(_xlpm.x=0,"",_xlpm.x)),"")</f>
        <v/>
      </c>
      <c r="X102" s="6" t="str">
        <f>IFERROR(_xlfn.LET(_xlpm.x,VLOOKUP($C102,[1]Summary!$A$2:$J$118,8,0),IF(_xlpm.x=0,"",_xlpm.x)),"")</f>
        <v/>
      </c>
      <c r="Y102" s="6" t="str">
        <f>IFERROR(_xlfn.LET(_xlpm.x,VLOOKUP($C102,[1]Summary!$A$2:$J$118,9,0),IF(_xlpm.x=0,"",_xlpm.x)),"")</f>
        <v/>
      </c>
      <c r="Z102" s="6" t="str">
        <f>IFERROR(_xlfn.LET(_xlpm.x,VLOOKUP($C102,[1]Summary!$A$2:$J$118,10,0),IF(_xlpm.x=0,"",_xlpm.x)),"")</f>
        <v/>
      </c>
    </row>
    <row r="103" spans="1:26" x14ac:dyDescent="0.25">
      <c r="A103" s="2">
        <v>1000000000833</v>
      </c>
      <c r="B103" s="5" t="s">
        <v>217</v>
      </c>
      <c r="C103" s="2">
        <v>3000000000575</v>
      </c>
      <c r="D103" s="5" t="s">
        <v>218</v>
      </c>
      <c r="E103" s="1">
        <v>4</v>
      </c>
      <c r="F103" s="1" t="s">
        <v>28</v>
      </c>
      <c r="G103" s="1">
        <v>4</v>
      </c>
      <c r="H103" s="1">
        <v>2</v>
      </c>
      <c r="I103" s="1">
        <v>2</v>
      </c>
      <c r="J103" s="1"/>
      <c r="K103" s="1">
        <v>50</v>
      </c>
      <c r="L103" s="1" t="str">
        <f>IFERROR(_xlfn.LET(_xlpm.x,VLOOKUP($A103,'[1]Markings Threadings'!$B$3:$L$245,3,0),IF(_xlpm.x=0,"",_xlpm.x)),"")</f>
        <v>Green</v>
      </c>
      <c r="M103" s="2">
        <f>IFERROR(_xlfn.LET(_xlpm.x,VLOOKUP($A103,'[1]Markings Threadings'!$B$3:$L$245,7,0),IF(_xlpm.x=0,"",_xlpm.x)),"")</f>
        <v>5000000000050</v>
      </c>
      <c r="N103" s="5" t="str">
        <f>IFERROR(_xlfn.LET(_xlpm.x,VLOOKUP($A103,'[1]Markings Threadings'!$B$3:$L$245,8,0),IF(_xlpm.x=0,"",_xlpm.x)),"")</f>
        <v>Empty Sack - Pork Solutions Grower , 50 kg</v>
      </c>
      <c r="O103" s="2">
        <f>IFERROR(_xlfn.LET(_xlpm.x,VLOOKUP($A103,'[1]Markings Threadings'!$B$3:$L$245,10,0),IF(_xlpm.x=0,"",_xlpm.x)),"")</f>
        <v>5000000000651</v>
      </c>
      <c r="P103" s="5" t="str">
        <f>IFERROR(_xlfn.LET(_xlpm.x,VLOOKUP($A103,'[1]Markings Threadings'!$B$3:$L$245,11,0),IF(_xlpm.x=0,"",_xlpm.x)),"")</f>
        <v>Tag - Pork Solutions Grower 2 Pellet</v>
      </c>
      <c r="Q103" s="1" t="str">
        <f>IFERROR(_xlfn.LET(_xlpm.x,VLOOKUP($A103,'[1]Markings Threadings'!$B$3:$L$245,4,0),IF(_xlpm.x=0,"",_xlpm.x)),"")</f>
        <v>833 PH</v>
      </c>
      <c r="R103" s="1" t="str">
        <f>IFERROR(_xlfn.LET(_xlpm.x,VLOOKUP($A103,'[1]Markings Threadings'!$B$3:$L$245,5,0),IF(_xlpm.x=0,"",_xlpm.x)),"")</f>
        <v/>
      </c>
      <c r="S103" s="1">
        <f>IFERROR(_xlfn.LET(_xlpm.x,VLOOKUP($A103,'[1]Markings Threadings'!$B$3:$L$245,6,0),IF(_xlpm.x=0,"",_xlpm.x)),"")</f>
        <v>6</v>
      </c>
      <c r="T103" s="6" t="str">
        <f>IFERROR(_xlfn.LET(_xlpm.x,VLOOKUP($C103,[1]Summary!$A$2:$J$118,4,0),IF(_xlpm.x=0,"",_xlpm.x)),"")</f>
        <v/>
      </c>
      <c r="U103" s="6">
        <f>IFERROR(_xlfn.LET(_xlpm.x,VLOOKUP($C103,[1]Summary!$A$2:$J$118,5,0),IF(_xlpm.x=0,"",_xlpm.x)),"")</f>
        <v>20.166307156512357</v>
      </c>
      <c r="V103" s="6" t="str">
        <f>IFERROR(_xlfn.LET(_xlpm.x,VLOOKUP($C103,[1]Summary!$A$2:$J$118,6,0),IF(_xlpm.x=0,"",_xlpm.x)),"")</f>
        <v/>
      </c>
      <c r="W103" s="6" t="str">
        <f>IFERROR(_xlfn.LET(_xlpm.x,VLOOKUP($C103,[1]Summary!$A$2:$J$118,7,0),IF(_xlpm.x=0,"",_xlpm.x)),"")</f>
        <v/>
      </c>
      <c r="X103" s="6" t="str">
        <f>IFERROR(_xlfn.LET(_xlpm.x,VLOOKUP($C103,[1]Summary!$A$2:$J$118,8,0),IF(_xlpm.x=0,"",_xlpm.x)),"")</f>
        <v/>
      </c>
      <c r="Y103" s="6" t="str">
        <f>IFERROR(_xlfn.LET(_xlpm.x,VLOOKUP($C103,[1]Summary!$A$2:$J$118,9,0),IF(_xlpm.x=0,"",_xlpm.x)),"")</f>
        <v/>
      </c>
      <c r="Z103" s="6" t="str">
        <f>IFERROR(_xlfn.LET(_xlpm.x,VLOOKUP($C103,[1]Summary!$A$2:$J$118,10,0),IF(_xlpm.x=0,"",_xlpm.x)),"")</f>
        <v/>
      </c>
    </row>
    <row r="104" spans="1:26" x14ac:dyDescent="0.25">
      <c r="A104" s="2">
        <v>1000000000478</v>
      </c>
      <c r="B104" s="5" t="s">
        <v>219</v>
      </c>
      <c r="C104" s="2">
        <v>3000000000639</v>
      </c>
      <c r="D104" s="5" t="s">
        <v>220</v>
      </c>
      <c r="E104" s="1">
        <v>3</v>
      </c>
      <c r="F104" s="1" t="s">
        <v>37</v>
      </c>
      <c r="G104" s="1">
        <v>4</v>
      </c>
      <c r="H104" s="1">
        <v>2</v>
      </c>
      <c r="I104" s="1">
        <v>2</v>
      </c>
      <c r="J104" s="1"/>
      <c r="K104" s="1">
        <v>50</v>
      </c>
      <c r="L104" s="1" t="str">
        <f>IFERROR(_xlfn.LET(_xlpm.x,VLOOKUP($A104,'[1]Markings Threadings'!$B$3:$L$245,3,0),IF(_xlpm.x=0,"",_xlpm.x)),"")</f>
        <v/>
      </c>
      <c r="M104" s="2" t="str">
        <f>IFERROR(_xlfn.LET(_xlpm.x,VLOOKUP($A104,'[1]Markings Threadings'!$B$3:$L$245,7,0),IF(_xlpm.x=0,"",_xlpm.x)),"")</f>
        <v/>
      </c>
      <c r="N104" s="5" t="str">
        <f>IFERROR(_xlfn.LET(_xlpm.x,VLOOKUP($A104,'[1]Markings Threadings'!$B$3:$L$245,8,0),IF(_xlpm.x=0,"",_xlpm.x)),"")</f>
        <v/>
      </c>
      <c r="O104" s="2" t="str">
        <f>IFERROR(_xlfn.LET(_xlpm.x,VLOOKUP($A104,'[1]Markings Threadings'!$B$3:$L$245,10,0),IF(_xlpm.x=0,"",_xlpm.x)),"")</f>
        <v/>
      </c>
      <c r="P104" s="5" t="str">
        <f>IFERROR(_xlfn.LET(_xlpm.x,VLOOKUP($A104,'[1]Markings Threadings'!$B$3:$L$245,11,0),IF(_xlpm.x=0,"",_xlpm.x)),"")</f>
        <v/>
      </c>
      <c r="Q104" s="1" t="str">
        <f>IFERROR(_xlfn.LET(_xlpm.x,VLOOKUP($A104,'[1]Markings Threadings'!$B$3:$L$245,4,0),IF(_xlpm.x=0,"",_xlpm.x)),"")</f>
        <v/>
      </c>
      <c r="R104" s="1" t="str">
        <f>IFERROR(_xlfn.LET(_xlpm.x,VLOOKUP($A104,'[1]Markings Threadings'!$B$3:$L$245,5,0),IF(_xlpm.x=0,"",_xlpm.x)),"")</f>
        <v/>
      </c>
      <c r="S104" s="1" t="str">
        <f>IFERROR(_xlfn.LET(_xlpm.x,VLOOKUP($A104,'[1]Markings Threadings'!$B$3:$L$245,6,0),IF(_xlpm.x=0,"",_xlpm.x)),"")</f>
        <v/>
      </c>
      <c r="T104" s="6" t="str">
        <f>IFERROR(_xlfn.LET(_xlpm.x,VLOOKUP($C104,[1]Summary!$A$2:$J$118,4,0),IF(_xlpm.x=0,"",_xlpm.x)),"")</f>
        <v/>
      </c>
      <c r="U104" s="6" t="str">
        <f>IFERROR(_xlfn.LET(_xlpm.x,VLOOKUP($C104,[1]Summary!$A$2:$J$118,5,0),IF(_xlpm.x=0,"",_xlpm.x)),"")</f>
        <v/>
      </c>
      <c r="V104" s="6" t="str">
        <f>IFERROR(_xlfn.LET(_xlpm.x,VLOOKUP($C104,[1]Summary!$A$2:$J$118,6,0),IF(_xlpm.x=0,"",_xlpm.x)),"")</f>
        <v/>
      </c>
      <c r="W104" s="6" t="str">
        <f>IFERROR(_xlfn.LET(_xlpm.x,VLOOKUP($C104,[1]Summary!$A$2:$J$118,7,0),IF(_xlpm.x=0,"",_xlpm.x)),"")</f>
        <v/>
      </c>
      <c r="X104" s="6" t="str">
        <f>IFERROR(_xlfn.LET(_xlpm.x,VLOOKUP($C104,[1]Summary!$A$2:$J$118,8,0),IF(_xlpm.x=0,"",_xlpm.x)),"")</f>
        <v/>
      </c>
      <c r="Y104" s="6" t="str">
        <f>IFERROR(_xlfn.LET(_xlpm.x,VLOOKUP($C104,[1]Summary!$A$2:$J$118,9,0),IF(_xlpm.x=0,"",_xlpm.x)),"")</f>
        <v/>
      </c>
      <c r="Z104" s="6" t="str">
        <f>IFERROR(_xlfn.LET(_xlpm.x,VLOOKUP($C104,[1]Summary!$A$2:$J$118,10,0),IF(_xlpm.x=0,"",_xlpm.x)),"")</f>
        <v/>
      </c>
    </row>
    <row r="105" spans="1:26" x14ac:dyDescent="0.25">
      <c r="A105" s="2">
        <v>1000000001696</v>
      </c>
      <c r="B105" s="5" t="s">
        <v>221</v>
      </c>
      <c r="C105" s="2">
        <v>3000000000643</v>
      </c>
      <c r="D105" s="5" t="s">
        <v>222</v>
      </c>
      <c r="E105" s="1">
        <v>4</v>
      </c>
      <c r="F105" s="1" t="s">
        <v>28</v>
      </c>
      <c r="G105" s="1">
        <v>4</v>
      </c>
      <c r="H105" s="1">
        <v>2</v>
      </c>
      <c r="I105" s="1">
        <v>2</v>
      </c>
      <c r="J105" s="1"/>
      <c r="K105" s="1">
        <v>50</v>
      </c>
      <c r="L105" s="1" t="str">
        <f>IFERROR(_xlfn.LET(_xlpm.x,VLOOKUP($A105,'[1]Markings Threadings'!$B$3:$L$245,3,0),IF(_xlpm.x=0,"",_xlpm.x)),"")</f>
        <v>Green</v>
      </c>
      <c r="M105" s="2">
        <f>IFERROR(_xlfn.LET(_xlpm.x,VLOOKUP($A105,'[1]Markings Threadings'!$B$3:$L$245,7,0),IF(_xlpm.x=0,"",_xlpm.x)),"")</f>
        <v>5000000000421</v>
      </c>
      <c r="N105" s="5" t="str">
        <f>IFERROR(_xlfn.LET(_xlpm.x,VLOOKUP($A105,'[1]Markings Threadings'!$B$3:$L$245,8,0),IF(_xlpm.x=0,"",_xlpm.x)),"")</f>
        <v>Elite XP Hog Growex  2 50kg. Mocha PP bag</v>
      </c>
      <c r="O105" s="2">
        <f>IFERROR(_xlfn.LET(_xlpm.x,VLOOKUP($A105,'[1]Markings Threadings'!$B$3:$L$245,10,0),IF(_xlpm.x=0,"",_xlpm.x)),"")</f>
        <v>5000000000475</v>
      </c>
      <c r="P105" s="5" t="str">
        <f>IFERROR(_xlfn.LET(_xlpm.x,VLOOKUP($A105,'[1]Markings Threadings'!$B$3:$L$245,11,0),IF(_xlpm.x=0,"",_xlpm.x)),"")</f>
        <v>Tag- Elite XP Growex 2, Pellet 50 kg</v>
      </c>
      <c r="Q105" s="1" t="str">
        <f>IFERROR(_xlfn.LET(_xlpm.x,VLOOKUP($A105,'[1]Markings Threadings'!$B$3:$L$245,4,0),IF(_xlpm.x=0,"",_xlpm.x)),"")</f>
        <v/>
      </c>
      <c r="R105" s="1" t="str">
        <f>IFERROR(_xlfn.LET(_xlpm.x,VLOOKUP($A105,'[1]Markings Threadings'!$B$3:$L$245,5,0),IF(_xlpm.x=0,"",_xlpm.x)),"")</f>
        <v>XP G2 T3</v>
      </c>
      <c r="S105" s="1">
        <f>IFERROR(_xlfn.LET(_xlpm.x,VLOOKUP($A105,'[1]Markings Threadings'!$B$3:$L$245,6,0),IF(_xlpm.x=0,"",_xlpm.x)),"")</f>
        <v>2</v>
      </c>
      <c r="T105" s="6" t="str">
        <f>IFERROR(_xlfn.LET(_xlpm.x,VLOOKUP($C105,[1]Summary!$A$2:$J$118,4,0),IF(_xlpm.x=0,"",_xlpm.x)),"")</f>
        <v/>
      </c>
      <c r="U105" s="6" t="str">
        <f>IFERROR(_xlfn.LET(_xlpm.x,VLOOKUP($C105,[1]Summary!$A$2:$J$118,5,0),IF(_xlpm.x=0,"",_xlpm.x)),"")</f>
        <v/>
      </c>
      <c r="V105" s="6" t="str">
        <f>IFERROR(_xlfn.LET(_xlpm.x,VLOOKUP($C105,[1]Summary!$A$2:$J$118,6,0),IF(_xlpm.x=0,"",_xlpm.x)),"")</f>
        <v/>
      </c>
      <c r="W105" s="6" t="str">
        <f>IFERROR(_xlfn.LET(_xlpm.x,VLOOKUP($C105,[1]Summary!$A$2:$J$118,7,0),IF(_xlpm.x=0,"",_xlpm.x)),"")</f>
        <v/>
      </c>
      <c r="X105" s="6" t="str">
        <f>IFERROR(_xlfn.LET(_xlpm.x,VLOOKUP($C105,[1]Summary!$A$2:$J$118,8,0),IF(_xlpm.x=0,"",_xlpm.x)),"")</f>
        <v/>
      </c>
      <c r="Y105" s="6" t="str">
        <f>IFERROR(_xlfn.LET(_xlpm.x,VLOOKUP($C105,[1]Summary!$A$2:$J$118,9,0),IF(_xlpm.x=0,"",_xlpm.x)),"")</f>
        <v/>
      </c>
      <c r="Z105" s="6" t="str">
        <f>IFERROR(_xlfn.LET(_xlpm.x,VLOOKUP($C105,[1]Summary!$A$2:$J$118,10,0),IF(_xlpm.x=0,"",_xlpm.x)),"")</f>
        <v/>
      </c>
    </row>
    <row r="106" spans="1:26" x14ac:dyDescent="0.25">
      <c r="A106" s="2">
        <v>1000000001695</v>
      </c>
      <c r="B106" s="5" t="s">
        <v>223</v>
      </c>
      <c r="C106" s="2">
        <v>3000000000645</v>
      </c>
      <c r="D106" s="5" t="s">
        <v>224</v>
      </c>
      <c r="E106" s="1">
        <v>4</v>
      </c>
      <c r="F106" s="1" t="s">
        <v>28</v>
      </c>
      <c r="G106" s="1">
        <v>4</v>
      </c>
      <c r="H106" s="1">
        <v>2</v>
      </c>
      <c r="I106" s="1">
        <v>2</v>
      </c>
      <c r="J106" s="1"/>
      <c r="K106" s="1">
        <v>50</v>
      </c>
      <c r="L106" s="1" t="str">
        <f>IFERROR(_xlfn.LET(_xlpm.x,VLOOKUP($A106,'[1]Markings Threadings'!$B$3:$L$245,3,0),IF(_xlpm.x=0,"",_xlpm.x)),"")</f>
        <v>Green</v>
      </c>
      <c r="M106" s="2" t="str">
        <f>IFERROR(_xlfn.LET(_xlpm.x,VLOOKUP($A106,'[1]Markings Threadings'!$B$3:$L$245,7,0),IF(_xlpm.x=0,"",_xlpm.x)),"")</f>
        <v/>
      </c>
      <c r="N106" s="5" t="str">
        <f>IFERROR(_xlfn.LET(_xlpm.x,VLOOKUP($A106,'[1]Markings Threadings'!$B$3:$L$245,8,0),IF(_xlpm.x=0,"",_xlpm.x)),"")</f>
        <v/>
      </c>
      <c r="O106" s="2">
        <f>IFERROR(_xlfn.LET(_xlpm.x,VLOOKUP($A106,'[1]Markings Threadings'!$B$3:$L$245,10,0),IF(_xlpm.x=0,"",_xlpm.x)),"")</f>
        <v>5000000000082</v>
      </c>
      <c r="P106" s="5" t="str">
        <f>IFERROR(_xlfn.LET(_xlpm.x,VLOOKUP($A106,'[1]Markings Threadings'!$B$3:$L$245,11,0),IF(_xlpm.x=0,"",_xlpm.x)),"")</f>
        <v>Tag - Elite Hog Finex Pellet</v>
      </c>
      <c r="Q106" s="1" t="str">
        <f>IFERROR(_xlfn.LET(_xlpm.x,VLOOKUP($A106,'[1]Markings Threadings'!$B$3:$L$245,4,0),IF(_xlpm.x=0,"",_xlpm.x)),"")</f>
        <v/>
      </c>
      <c r="R106" s="1" t="str">
        <f>IFERROR(_xlfn.LET(_xlpm.x,VLOOKUP($A106,'[1]Markings Threadings'!$B$3:$L$245,5,0),IF(_xlpm.x=0,"",_xlpm.x)),"")</f>
        <v/>
      </c>
      <c r="S106" s="1" t="str">
        <f>IFERROR(_xlfn.LET(_xlpm.x,VLOOKUP($A106,'[1]Markings Threadings'!$B$3:$L$245,6,0),IF(_xlpm.x=0,"",_xlpm.x)),"")</f>
        <v/>
      </c>
      <c r="T106" s="6" t="str">
        <f>IFERROR(_xlfn.LET(_xlpm.x,VLOOKUP($C106,[1]Summary!$A$2:$J$118,4,0),IF(_xlpm.x=0,"",_xlpm.x)),"")</f>
        <v/>
      </c>
      <c r="U106" s="6" t="str">
        <f>IFERROR(_xlfn.LET(_xlpm.x,VLOOKUP($C106,[1]Summary!$A$2:$J$118,5,0),IF(_xlpm.x=0,"",_xlpm.x)),"")</f>
        <v/>
      </c>
      <c r="V106" s="6" t="str">
        <f>IFERROR(_xlfn.LET(_xlpm.x,VLOOKUP($C106,[1]Summary!$A$2:$J$118,6,0),IF(_xlpm.x=0,"",_xlpm.x)),"")</f>
        <v/>
      </c>
      <c r="W106" s="6" t="str">
        <f>IFERROR(_xlfn.LET(_xlpm.x,VLOOKUP($C106,[1]Summary!$A$2:$J$118,7,0),IF(_xlpm.x=0,"",_xlpm.x)),"")</f>
        <v/>
      </c>
      <c r="X106" s="6" t="str">
        <f>IFERROR(_xlfn.LET(_xlpm.x,VLOOKUP($C106,[1]Summary!$A$2:$J$118,8,0),IF(_xlpm.x=0,"",_xlpm.x)),"")</f>
        <v/>
      </c>
      <c r="Y106" s="6" t="str">
        <f>IFERROR(_xlfn.LET(_xlpm.x,VLOOKUP($C106,[1]Summary!$A$2:$J$118,9,0),IF(_xlpm.x=0,"",_xlpm.x)),"")</f>
        <v/>
      </c>
      <c r="Z106" s="6" t="str">
        <f>IFERROR(_xlfn.LET(_xlpm.x,VLOOKUP($C106,[1]Summary!$A$2:$J$118,10,0),IF(_xlpm.x=0,"",_xlpm.x)),"")</f>
        <v/>
      </c>
    </row>
    <row r="107" spans="1:26" x14ac:dyDescent="0.25">
      <c r="A107" s="2">
        <v>1000000000479</v>
      </c>
      <c r="B107" s="5" t="s">
        <v>225</v>
      </c>
      <c r="C107" s="2">
        <v>3000000000641</v>
      </c>
      <c r="D107" s="5" t="s">
        <v>226</v>
      </c>
      <c r="E107" s="1">
        <v>4</v>
      </c>
      <c r="F107" s="1" t="s">
        <v>28</v>
      </c>
      <c r="G107" s="1">
        <v>4</v>
      </c>
      <c r="H107" s="1">
        <v>2</v>
      </c>
      <c r="I107" s="1">
        <v>2</v>
      </c>
      <c r="J107" s="1"/>
      <c r="K107" s="1">
        <v>50</v>
      </c>
      <c r="L107" s="1" t="str">
        <f>IFERROR(_xlfn.LET(_xlpm.x,VLOOKUP($A107,'[1]Markings Threadings'!$B$3:$L$245,3,0),IF(_xlpm.x=0,"",_xlpm.x)),"")</f>
        <v>Green</v>
      </c>
      <c r="M107" s="2" t="str">
        <f>IFERROR(_xlfn.LET(_xlpm.x,VLOOKUP($A107,'[1]Markings Threadings'!$B$3:$L$245,7,0),IF(_xlpm.x=0,"",_xlpm.x)),"")</f>
        <v/>
      </c>
      <c r="N107" s="5" t="str">
        <f>IFERROR(_xlfn.LET(_xlpm.x,VLOOKUP($A107,'[1]Markings Threadings'!$B$3:$L$245,8,0),IF(_xlpm.x=0,"",_xlpm.x)),"")</f>
        <v>Empty Sack - Elite Hog Growex, 50 kg</v>
      </c>
      <c r="O107" s="2">
        <f>IFERROR(_xlfn.LET(_xlpm.x,VLOOKUP($A107,'[1]Markings Threadings'!$B$3:$L$245,10,0),IF(_xlpm.x=0,"",_xlpm.x)),"")</f>
        <v>5000000000080</v>
      </c>
      <c r="P107" s="5" t="str">
        <f>IFERROR(_xlfn.LET(_xlpm.x,VLOOKUP($A107,'[1]Markings Threadings'!$B$3:$L$245,11,0),IF(_xlpm.x=0,"",_xlpm.x)),"")</f>
        <v>Tag - Elite Hog Growex 1 Pellet</v>
      </c>
      <c r="Q107" s="1" t="str">
        <f>IFERROR(_xlfn.LET(_xlpm.x,VLOOKUP($A107,'[1]Markings Threadings'!$B$3:$L$245,4,0),IF(_xlpm.x=0,"",_xlpm.x)),"")</f>
        <v/>
      </c>
      <c r="R107" s="1" t="str">
        <f>IFERROR(_xlfn.LET(_xlpm.x,VLOOKUP($A107,'[1]Markings Threadings'!$B$3:$L$245,5,0),IF(_xlpm.x=0,"",_xlpm.x)),"")</f>
        <v/>
      </c>
      <c r="S107" s="1" t="str">
        <f>IFERROR(_xlfn.LET(_xlpm.x,VLOOKUP($A107,'[1]Markings Threadings'!$B$3:$L$245,6,0),IF(_xlpm.x=0,"",_xlpm.x)),"")</f>
        <v/>
      </c>
      <c r="T107" s="6" t="str">
        <f>IFERROR(_xlfn.LET(_xlpm.x,VLOOKUP($C107,[1]Summary!$A$2:$J$118,4,0),IF(_xlpm.x=0,"",_xlpm.x)),"")</f>
        <v/>
      </c>
      <c r="U107" s="6" t="str">
        <f>IFERROR(_xlfn.LET(_xlpm.x,VLOOKUP($C107,[1]Summary!$A$2:$J$118,5,0),IF(_xlpm.x=0,"",_xlpm.x)),"")</f>
        <v/>
      </c>
      <c r="V107" s="6" t="str">
        <f>IFERROR(_xlfn.LET(_xlpm.x,VLOOKUP($C107,[1]Summary!$A$2:$J$118,6,0),IF(_xlpm.x=0,"",_xlpm.x)),"")</f>
        <v/>
      </c>
      <c r="W107" s="6" t="str">
        <f>IFERROR(_xlfn.LET(_xlpm.x,VLOOKUP($C107,[1]Summary!$A$2:$J$118,7,0),IF(_xlpm.x=0,"",_xlpm.x)),"")</f>
        <v/>
      </c>
      <c r="X107" s="6" t="str">
        <f>IFERROR(_xlfn.LET(_xlpm.x,VLOOKUP($C107,[1]Summary!$A$2:$J$118,8,0),IF(_xlpm.x=0,"",_xlpm.x)),"")</f>
        <v/>
      </c>
      <c r="Y107" s="6" t="str">
        <f>IFERROR(_xlfn.LET(_xlpm.x,VLOOKUP($C107,[1]Summary!$A$2:$J$118,9,0),IF(_xlpm.x=0,"",_xlpm.x)),"")</f>
        <v/>
      </c>
      <c r="Z107" s="6" t="str">
        <f>IFERROR(_xlfn.LET(_xlpm.x,VLOOKUP($C107,[1]Summary!$A$2:$J$118,10,0),IF(_xlpm.x=0,"",_xlpm.x)),"")</f>
        <v/>
      </c>
    </row>
    <row r="108" spans="1:26" x14ac:dyDescent="0.25">
      <c r="A108" s="2">
        <v>1000000000826</v>
      </c>
      <c r="B108" s="5" t="s">
        <v>227</v>
      </c>
      <c r="C108" s="2">
        <v>3000000000559</v>
      </c>
      <c r="D108" s="5" t="s">
        <v>228</v>
      </c>
      <c r="E108" s="1">
        <v>4</v>
      </c>
      <c r="F108" s="1" t="s">
        <v>28</v>
      </c>
      <c r="G108" s="1">
        <v>4</v>
      </c>
      <c r="H108" s="1">
        <v>2</v>
      </c>
      <c r="I108" s="1">
        <v>2</v>
      </c>
      <c r="J108" s="1"/>
      <c r="K108" s="1">
        <v>50</v>
      </c>
      <c r="L108" s="1" t="str">
        <f>IFERROR(_xlfn.LET(_xlpm.x,VLOOKUP($A108,'[1]Markings Threadings'!$B$3:$L$245,3,0),IF(_xlpm.x=0,"",_xlpm.x)),"")</f>
        <v>Yellow</v>
      </c>
      <c r="M108" s="2">
        <f>IFERROR(_xlfn.LET(_xlpm.x,VLOOKUP($A108,'[1]Markings Threadings'!$B$3:$L$245,7,0),IF(_xlpm.x=0,"",_xlpm.x)),"")</f>
        <v>5000000000052</v>
      </c>
      <c r="N108" s="5" t="str">
        <f>IFERROR(_xlfn.LET(_xlpm.x,VLOOKUP($A108,'[1]Markings Threadings'!$B$3:$L$245,8,0),IF(_xlpm.x=0,"",_xlpm.x)),"")</f>
        <v>Empty Sack - Pork Solutions Breeder Hog Gestation, 50 kg</v>
      </c>
      <c r="O108" s="2">
        <f>IFERROR(_xlfn.LET(_xlpm.x,VLOOKUP($A108,'[1]Markings Threadings'!$B$3:$L$245,10,0),IF(_xlpm.x=0,"",_xlpm.x)),"")</f>
        <v>5000000000106</v>
      </c>
      <c r="P108" s="5" t="str">
        <f>IFERROR(_xlfn.LET(_xlpm.x,VLOOKUP($A108,'[1]Markings Threadings'!$B$3:$L$245,11,0),IF(_xlpm.x=0,"",_xlpm.x)),"")</f>
        <v>Tag - Pork Solutions Breeder Hog Gestation Pellet</v>
      </c>
      <c r="Q108" s="1" t="str">
        <f>IFERROR(_xlfn.LET(_xlpm.x,VLOOKUP($A108,'[1]Markings Threadings'!$B$3:$L$245,4,0),IF(_xlpm.x=0,"",_xlpm.x)),"")</f>
        <v>826 PH</v>
      </c>
      <c r="R108" s="1" t="str">
        <f>IFERROR(_xlfn.LET(_xlpm.x,VLOOKUP($A108,'[1]Markings Threadings'!$B$3:$L$245,5,0),IF(_xlpm.x=0,"",_xlpm.x)),"")</f>
        <v/>
      </c>
      <c r="S108" s="1">
        <f>IFERROR(_xlfn.LET(_xlpm.x,VLOOKUP($A108,'[1]Markings Threadings'!$B$3:$L$245,6,0),IF(_xlpm.x=0,"",_xlpm.x)),"")</f>
        <v>5</v>
      </c>
      <c r="T108" s="6" t="str">
        <f>IFERROR(_xlfn.LET(_xlpm.x,VLOOKUP($C108,[1]Summary!$A$2:$J$118,4,0),IF(_xlpm.x=0,"",_xlpm.x)),"")</f>
        <v/>
      </c>
      <c r="U108" s="6">
        <f>IFERROR(_xlfn.LET(_xlpm.x,VLOOKUP($C108,[1]Summary!$A$2:$J$118,5,0),IF(_xlpm.x=0,"",_xlpm.x)),"")</f>
        <v>20.059766571790824</v>
      </c>
      <c r="V108" s="6" t="str">
        <f>IFERROR(_xlfn.LET(_xlpm.x,VLOOKUP($C108,[1]Summary!$A$2:$J$118,6,0),IF(_xlpm.x=0,"",_xlpm.x)),"")</f>
        <v/>
      </c>
      <c r="W108" s="6" t="str">
        <f>IFERROR(_xlfn.LET(_xlpm.x,VLOOKUP($C108,[1]Summary!$A$2:$J$118,7,0),IF(_xlpm.x=0,"",_xlpm.x)),"")</f>
        <v/>
      </c>
      <c r="X108" s="6" t="str">
        <f>IFERROR(_xlfn.LET(_xlpm.x,VLOOKUP($C108,[1]Summary!$A$2:$J$118,8,0),IF(_xlpm.x=0,"",_xlpm.x)),"")</f>
        <v/>
      </c>
      <c r="Y108" s="6" t="str">
        <f>IFERROR(_xlfn.LET(_xlpm.x,VLOOKUP($C108,[1]Summary!$A$2:$J$118,9,0),IF(_xlpm.x=0,"",_xlpm.x)),"")</f>
        <v/>
      </c>
      <c r="Z108" s="6" t="str">
        <f>IFERROR(_xlfn.LET(_xlpm.x,VLOOKUP($C108,[1]Summary!$A$2:$J$118,10,0),IF(_xlpm.x=0,"",_xlpm.x)),"")</f>
        <v/>
      </c>
    </row>
    <row r="109" spans="1:26" x14ac:dyDescent="0.25">
      <c r="A109" s="2">
        <v>1000000000834</v>
      </c>
      <c r="B109" s="5" t="s">
        <v>229</v>
      </c>
      <c r="C109" s="2">
        <v>3000000000555</v>
      </c>
      <c r="D109" s="5" t="s">
        <v>230</v>
      </c>
      <c r="E109" s="1">
        <v>4</v>
      </c>
      <c r="F109" s="1" t="s">
        <v>28</v>
      </c>
      <c r="G109" s="1">
        <v>4</v>
      </c>
      <c r="H109" s="1">
        <v>2</v>
      </c>
      <c r="I109" s="1">
        <v>2</v>
      </c>
      <c r="J109" s="1"/>
      <c r="K109" s="1">
        <v>50</v>
      </c>
      <c r="L109" s="1" t="str">
        <f>IFERROR(_xlfn.LET(_xlpm.x,VLOOKUP($A109,'[1]Markings Threadings'!$B$3:$L$245,3,0),IF(_xlpm.x=0,"",_xlpm.x)),"")</f>
        <v>Yellow</v>
      </c>
      <c r="M109" s="2">
        <f>IFERROR(_xlfn.LET(_xlpm.x,VLOOKUP($A109,'[1]Markings Threadings'!$B$3:$L$245,7,0),IF(_xlpm.x=0,"",_xlpm.x)),"")</f>
        <v>5000000000051</v>
      </c>
      <c r="N109" s="5" t="str">
        <f>IFERROR(_xlfn.LET(_xlpm.x,VLOOKUP($A109,'[1]Markings Threadings'!$B$3:$L$245,8,0),IF(_xlpm.x=0,"",_xlpm.x)),"")</f>
        <v>Empty Sack - Pork Solutions Finisher , 50 kg</v>
      </c>
      <c r="O109" s="2">
        <f>IFERROR(_xlfn.LET(_xlpm.x,VLOOKUP($A109,'[1]Markings Threadings'!$B$3:$L$245,10,0),IF(_xlpm.x=0,"",_xlpm.x)),"")</f>
        <v>5000000000105</v>
      </c>
      <c r="P109" s="5" t="str">
        <f>IFERROR(_xlfn.LET(_xlpm.x,VLOOKUP($A109,'[1]Markings Threadings'!$B$3:$L$245,11,0),IF(_xlpm.x=0,"",_xlpm.x)),"")</f>
        <v>Tag - Pork Solutions Finisher Pellet</v>
      </c>
      <c r="Q109" s="1" t="str">
        <f>IFERROR(_xlfn.LET(_xlpm.x,VLOOKUP($A109,'[1]Markings Threadings'!$B$3:$L$245,4,0),IF(_xlpm.x=0,"",_xlpm.x)),"")</f>
        <v>834 PH</v>
      </c>
      <c r="R109" s="1" t="str">
        <f>IFERROR(_xlfn.LET(_xlpm.x,VLOOKUP($A109,'[1]Markings Threadings'!$B$3:$L$245,5,0),IF(_xlpm.x=0,"",_xlpm.x)),"")</f>
        <v/>
      </c>
      <c r="S109" s="1">
        <f>IFERROR(_xlfn.LET(_xlpm.x,VLOOKUP($A109,'[1]Markings Threadings'!$B$3:$L$245,6,0),IF(_xlpm.x=0,"",_xlpm.x)),"")</f>
        <v>3</v>
      </c>
      <c r="T109" s="6">
        <f>IFERROR(_xlfn.LET(_xlpm.x,VLOOKUP($C109,[1]Summary!$A$2:$J$118,4,0),IF(_xlpm.x=0,"",_xlpm.x)),"")</f>
        <v>19.998719999999981</v>
      </c>
      <c r="U109" s="6">
        <f>IFERROR(_xlfn.LET(_xlpm.x,VLOOKUP($C109,[1]Summary!$A$2:$J$118,5,0),IF(_xlpm.x=0,"",_xlpm.x)),"")</f>
        <v>20.077399346177305</v>
      </c>
      <c r="V109" s="6" t="str">
        <f>IFERROR(_xlfn.LET(_xlpm.x,VLOOKUP($C109,[1]Summary!$A$2:$J$118,6,0),IF(_xlpm.x=0,"",_xlpm.x)),"")</f>
        <v/>
      </c>
      <c r="W109" s="6" t="str">
        <f>IFERROR(_xlfn.LET(_xlpm.x,VLOOKUP($C109,[1]Summary!$A$2:$J$118,7,0),IF(_xlpm.x=0,"",_xlpm.x)),"")</f>
        <v/>
      </c>
      <c r="X109" s="6" t="str">
        <f>IFERROR(_xlfn.LET(_xlpm.x,VLOOKUP($C109,[1]Summary!$A$2:$J$118,8,0),IF(_xlpm.x=0,"",_xlpm.x)),"")</f>
        <v/>
      </c>
      <c r="Y109" s="6" t="str">
        <f>IFERROR(_xlfn.LET(_xlpm.x,VLOOKUP($C109,[1]Summary!$A$2:$J$118,9,0),IF(_xlpm.x=0,"",_xlpm.x)),"")</f>
        <v/>
      </c>
      <c r="Z109" s="6" t="str">
        <f>IFERROR(_xlfn.LET(_xlpm.x,VLOOKUP($C109,[1]Summary!$A$2:$J$118,10,0),IF(_xlpm.x=0,"",_xlpm.x)),"")</f>
        <v/>
      </c>
    </row>
    <row r="110" spans="1:26" x14ac:dyDescent="0.25">
      <c r="A110" s="2">
        <v>1000000000912</v>
      </c>
      <c r="B110" s="5" t="s">
        <v>231</v>
      </c>
      <c r="C110" s="2">
        <v>3000000000605</v>
      </c>
      <c r="D110" s="5" t="s">
        <v>232</v>
      </c>
      <c r="E110" s="1">
        <v>3</v>
      </c>
      <c r="F110" s="1" t="s">
        <v>86</v>
      </c>
      <c r="G110" s="1">
        <v>4</v>
      </c>
      <c r="H110" s="1">
        <v>1.5</v>
      </c>
      <c r="I110" s="1">
        <v>1.5</v>
      </c>
      <c r="J110" s="1"/>
      <c r="K110" s="1">
        <v>25</v>
      </c>
      <c r="L110" s="1" t="str">
        <f>IFERROR(_xlfn.LET(_xlpm.x,VLOOKUP($A110,'[1]Markings Threadings'!$B$3:$L$245,3,0),IF(_xlpm.x=0,"",_xlpm.x)),"")</f>
        <v>White</v>
      </c>
      <c r="M110" s="2">
        <f>IFERROR(_xlfn.LET(_xlpm.x,VLOOKUP($A110,'[1]Markings Threadings'!$B$3:$L$245,7,0),IF(_xlpm.x=0,"",_xlpm.x)),"")</f>
        <v>5000000000402</v>
      </c>
      <c r="N110" s="5" t="str">
        <f>IFERROR(_xlfn.LET(_xlpm.x,VLOOKUP($A110,'[1]Markings Threadings'!$B$3:$L$245,8,0),IF(_xlpm.x=0,"",_xlpm.x)),"")</f>
        <v>Packaging - Kunemax Sprinter Pellet, 25Kg</v>
      </c>
      <c r="O110" s="2">
        <f>IFERROR(_xlfn.LET(_xlpm.x,VLOOKUP($A110,'[1]Markings Threadings'!$B$3:$L$245,10,0),IF(_xlpm.x=0,"",_xlpm.x)),"")</f>
        <v>5000000000442</v>
      </c>
      <c r="P110" s="5" t="str">
        <f>IFERROR(_xlfn.LET(_xlpm.x,VLOOKUP($A110,'[1]Markings Threadings'!$B$3:$L$245,11,0),IF(_xlpm.x=0,"",_xlpm.x)),"")</f>
        <v>Tag - Kunemax Sprinter Pellet, 25Kg</v>
      </c>
      <c r="Q110" s="1" t="str">
        <f>IFERROR(_xlfn.LET(_xlpm.x,VLOOKUP($A110,'[1]Markings Threadings'!$B$3:$L$245,4,0),IF(_xlpm.x=0,"",_xlpm.x)),"")</f>
        <v/>
      </c>
      <c r="R110" s="1" t="str">
        <f>IFERROR(_xlfn.LET(_xlpm.x,VLOOKUP($A110,'[1]Markings Threadings'!$B$3:$L$245,5,0),IF(_xlpm.x=0,"",_xlpm.x)),"")</f>
        <v/>
      </c>
      <c r="S110" s="1">
        <f>IFERROR(_xlfn.LET(_xlpm.x,VLOOKUP($A110,'[1]Markings Threadings'!$B$3:$L$245,6,0),IF(_xlpm.x=0,"",_xlpm.x)),"")</f>
        <v>2</v>
      </c>
      <c r="T110" s="6" t="str">
        <f>IFERROR(_xlfn.LET(_xlpm.x,VLOOKUP($C110,[1]Summary!$A$2:$J$118,4,0),IF(_xlpm.x=0,"",_xlpm.x)),"")</f>
        <v/>
      </c>
      <c r="U110" s="6" t="str">
        <f>IFERROR(_xlfn.LET(_xlpm.x,VLOOKUP($C110,[1]Summary!$A$2:$J$118,5,0),IF(_xlpm.x=0,"",_xlpm.x)),"")</f>
        <v/>
      </c>
      <c r="V110" s="6" t="str">
        <f>IFERROR(_xlfn.LET(_xlpm.x,VLOOKUP($C110,[1]Summary!$A$2:$J$118,6,0),IF(_xlpm.x=0,"",_xlpm.x)),"")</f>
        <v/>
      </c>
      <c r="W110" s="6" t="str">
        <f>IFERROR(_xlfn.LET(_xlpm.x,VLOOKUP($C110,[1]Summary!$A$2:$J$118,7,0),IF(_xlpm.x=0,"",_xlpm.x)),"")</f>
        <v/>
      </c>
      <c r="X110" s="6" t="str">
        <f>IFERROR(_xlfn.LET(_xlpm.x,VLOOKUP($C110,[1]Summary!$A$2:$J$118,8,0),IF(_xlpm.x=0,"",_xlpm.x)),"")</f>
        <v/>
      </c>
      <c r="Y110" s="6">
        <f>IFERROR(_xlfn.LET(_xlpm.x,VLOOKUP($C110,[1]Summary!$A$2:$J$118,9,0),IF(_xlpm.x=0,"",_xlpm.x)),"")</f>
        <v>5.9996159999999978</v>
      </c>
      <c r="Z110" s="6" t="str">
        <f>IFERROR(_xlfn.LET(_xlpm.x,VLOOKUP($C110,[1]Summary!$A$2:$J$118,10,0),IF(_xlpm.x=0,"",_xlpm.x)),"")</f>
        <v/>
      </c>
    </row>
    <row r="111" spans="1:26" x14ac:dyDescent="0.25">
      <c r="A111" s="2">
        <v>1000000000039</v>
      </c>
      <c r="B111" s="5" t="s">
        <v>233</v>
      </c>
      <c r="C111" s="2">
        <v>3000000000246</v>
      </c>
      <c r="D111" s="5" t="s">
        <v>234</v>
      </c>
      <c r="E111" s="1">
        <v>3</v>
      </c>
      <c r="F111" s="1" t="s">
        <v>75</v>
      </c>
      <c r="G111" s="1">
        <v>0.8</v>
      </c>
      <c r="H111" s="1"/>
      <c r="I111" s="1"/>
      <c r="J111" s="1">
        <v>0.8</v>
      </c>
      <c r="K111" s="1">
        <v>50</v>
      </c>
      <c r="L111" s="1" t="str">
        <f>IFERROR(_xlfn.LET(_xlpm.x,VLOOKUP($A111,'[1]Markings Threadings'!$B$3:$L$245,3,0),IF(_xlpm.x=0,"",_xlpm.x)),"")</f>
        <v>White</v>
      </c>
      <c r="M111" s="2">
        <f>IFERROR(_xlfn.LET(_xlpm.x,VLOOKUP($A111,'[1]Markings Threadings'!$B$3:$L$245,7,0),IF(_xlpm.x=0,"",_xlpm.x)),"")</f>
        <v>5000000000151</v>
      </c>
      <c r="N111" s="5" t="str">
        <f>IFERROR(_xlfn.LET(_xlpm.x,VLOOKUP($A111,'[1]Markings Threadings'!$B$3:$L$245,8,0),IF(_xlpm.x=0,"",_xlpm.x)),"")</f>
        <v>Empty Sack - Gallimax 2 Plus Ready Mix, 50kg</v>
      </c>
      <c r="O111" s="2">
        <f>IFERROR(_xlfn.LET(_xlpm.x,VLOOKUP($A111,'[1]Markings Threadings'!$B$3:$L$245,10,0),IF(_xlpm.x=0,"",_xlpm.x)),"")</f>
        <v>5000000000152</v>
      </c>
      <c r="P111" s="5" t="str">
        <f>IFERROR(_xlfn.LET(_xlpm.x,VLOOKUP($A111,'[1]Markings Threadings'!$B$3:$L$245,11,0),IF(_xlpm.x=0,"",_xlpm.x)),"")</f>
        <v>Tag - Gallimax 2 Plus Ready Mix, 50kg</v>
      </c>
      <c r="Q111" s="1" t="str">
        <f>IFERROR(_xlfn.LET(_xlpm.x,VLOOKUP($A111,'[1]Markings Threadings'!$B$3:$L$245,4,0),IF(_xlpm.x=0,"",_xlpm.x)),"")</f>
        <v/>
      </c>
      <c r="R111" s="1" t="str">
        <f>IFERROR(_xlfn.LET(_xlpm.x,VLOOKUP($A111,'[1]Markings Threadings'!$B$3:$L$245,5,0),IF(_xlpm.x=0,"",_xlpm.x)),"")</f>
        <v/>
      </c>
      <c r="S111" s="1">
        <f>IFERROR(_xlfn.LET(_xlpm.x,VLOOKUP($A111,'[1]Markings Threadings'!$B$3:$L$245,6,0),IF(_xlpm.x=0,"",_xlpm.x)),"")</f>
        <v>1</v>
      </c>
      <c r="T111" s="6" t="str">
        <f>IFERROR(_xlfn.LET(_xlpm.x,VLOOKUP($C111,[1]Summary!$A$2:$J$118,4,0),IF(_xlpm.x=0,"",_xlpm.x)),"")</f>
        <v/>
      </c>
      <c r="U111" s="6" t="str">
        <f>IFERROR(_xlfn.LET(_xlpm.x,VLOOKUP($C111,[1]Summary!$A$2:$J$118,5,0),IF(_xlpm.x=0,"",_xlpm.x)),"")</f>
        <v/>
      </c>
      <c r="V111" s="6" t="str">
        <f>IFERROR(_xlfn.LET(_xlpm.x,VLOOKUP($C111,[1]Summary!$A$2:$J$118,6,0),IF(_xlpm.x=0,"",_xlpm.x)),"")</f>
        <v/>
      </c>
      <c r="W111" s="6" t="str">
        <f>IFERROR(_xlfn.LET(_xlpm.x,VLOOKUP($C111,[1]Summary!$A$2:$J$118,7,0),IF(_xlpm.x=0,"",_xlpm.x)),"")</f>
        <v/>
      </c>
      <c r="X111" s="6">
        <f>IFERROR(_xlfn.LET(_xlpm.x,VLOOKUP($C111,[1]Summary!$A$2:$J$118,8,0),IF(_xlpm.x=0,"",_xlpm.x)),"")</f>
        <v>20.116558976308134</v>
      </c>
      <c r="Y111" s="6" t="str">
        <f>IFERROR(_xlfn.LET(_xlpm.x,VLOOKUP($C111,[1]Summary!$A$2:$J$118,9,0),IF(_xlpm.x=0,"",_xlpm.x)),"")</f>
        <v/>
      </c>
      <c r="Z111" s="6" t="str">
        <f>IFERROR(_xlfn.LET(_xlpm.x,VLOOKUP($C111,[1]Summary!$A$2:$J$118,10,0),IF(_xlpm.x=0,"",_xlpm.x)),"")</f>
        <v/>
      </c>
    </row>
    <row r="112" spans="1:26" x14ac:dyDescent="0.25">
      <c r="A112" s="2">
        <v>1000000000229</v>
      </c>
      <c r="B112" s="5" t="s">
        <v>235</v>
      </c>
      <c r="C112" s="2">
        <v>3000000000148</v>
      </c>
      <c r="D112" s="5" t="s">
        <v>236</v>
      </c>
      <c r="E112" s="1"/>
      <c r="F112" s="1" t="s">
        <v>44</v>
      </c>
      <c r="G112" s="1">
        <v>4</v>
      </c>
      <c r="H112" s="1">
        <v>2</v>
      </c>
      <c r="I112" s="1">
        <v>2</v>
      </c>
      <c r="J112" s="1"/>
      <c r="K112" s="1">
        <v>50</v>
      </c>
      <c r="L112" s="1" t="str">
        <f>IFERROR(_xlfn.LET(_xlpm.x,VLOOKUP($A112,'[1]Markings Threadings'!$B$3:$L$245,3,0),IF(_xlpm.x=0,"",_xlpm.x)),"")</f>
        <v>Orange</v>
      </c>
      <c r="M112" s="2">
        <f>IFERROR(_xlfn.LET(_xlpm.x,VLOOKUP($A112,'[1]Markings Threadings'!$B$3:$L$245,7,0),IF(_xlpm.x=0,"",_xlpm.x)),"")</f>
        <v>5000000000051</v>
      </c>
      <c r="N112" s="5" t="str">
        <f>IFERROR(_xlfn.LET(_xlpm.x,VLOOKUP($A112,'[1]Markings Threadings'!$B$3:$L$245,8,0),IF(_xlpm.x=0,"",_xlpm.x)),"")</f>
        <v>Empty Sack - Pork Solutions Finisher , 50 kg</v>
      </c>
      <c r="O112" s="2">
        <f>IFERROR(_xlfn.LET(_xlpm.x,VLOOKUP($A112,'[1]Markings Threadings'!$B$3:$L$245,10,0),IF(_xlpm.x=0,"",_xlpm.x)),"")</f>
        <v>5000000000844</v>
      </c>
      <c r="P112" s="5" t="str">
        <f>IFERROR(_xlfn.LET(_xlpm.x,VLOOKUP($A112,'[1]Markings Threadings'!$B$3:$L$245,11,0),IF(_xlpm.x=0,"",_xlpm.x)),"")</f>
        <v>Tag Pork Solution Finisher – Mash</v>
      </c>
      <c r="Q112" s="1">
        <f>IFERROR(_xlfn.LET(_xlpm.x,VLOOKUP($A112,'[1]Markings Threadings'!$B$3:$L$245,4,0),IF(_xlpm.x=0,"",_xlpm.x)),"")</f>
        <v>229</v>
      </c>
      <c r="R112" s="1" t="str">
        <f>IFERROR(_xlfn.LET(_xlpm.x,VLOOKUP($A112,'[1]Markings Threadings'!$B$3:$L$245,5,0),IF(_xlpm.x=0,"",_xlpm.x)),"")</f>
        <v/>
      </c>
      <c r="S112" s="1">
        <f>IFERROR(_xlfn.LET(_xlpm.x,VLOOKUP($A112,'[1]Markings Threadings'!$B$3:$L$245,6,0),IF(_xlpm.x=0,"",_xlpm.x)),"")</f>
        <v>3</v>
      </c>
      <c r="T112" s="6" t="str">
        <f>IFERROR(_xlfn.LET(_xlpm.x,VLOOKUP($C112,[1]Summary!$A$2:$J$118,4,0),IF(_xlpm.x=0,"",_xlpm.x)),"")</f>
        <v/>
      </c>
      <c r="U112" s="6" t="str">
        <f>IFERROR(_xlfn.LET(_xlpm.x,VLOOKUP($C112,[1]Summary!$A$2:$J$118,5,0),IF(_xlpm.x=0,"",_xlpm.x)),"")</f>
        <v/>
      </c>
      <c r="V112" s="6" t="str">
        <f>IFERROR(_xlfn.LET(_xlpm.x,VLOOKUP($C112,[1]Summary!$A$2:$J$118,6,0),IF(_xlpm.x=0,"",_xlpm.x)),"")</f>
        <v/>
      </c>
      <c r="W112" s="6" t="str">
        <f>IFERROR(_xlfn.LET(_xlpm.x,VLOOKUP($C112,[1]Summary!$A$2:$J$118,7,0),IF(_xlpm.x=0,"",_xlpm.x)),"")</f>
        <v/>
      </c>
      <c r="X112" s="6" t="str">
        <f>IFERROR(_xlfn.LET(_xlpm.x,VLOOKUP($C112,[1]Summary!$A$2:$J$118,8,0),IF(_xlpm.x=0,"",_xlpm.x)),"")</f>
        <v/>
      </c>
      <c r="Y112" s="6" t="str">
        <f>IFERROR(_xlfn.LET(_xlpm.x,VLOOKUP($C112,[1]Summary!$A$2:$J$118,9,0),IF(_xlpm.x=0,"",_xlpm.x)),"")</f>
        <v/>
      </c>
      <c r="Z112" s="6" t="str">
        <f>IFERROR(_xlfn.LET(_xlpm.x,VLOOKUP($C112,[1]Summary!$A$2:$J$118,10,0),IF(_xlpm.x=0,"",_xlpm.x)),"")</f>
        <v/>
      </c>
    </row>
    <row r="113" spans="1:26" x14ac:dyDescent="0.25">
      <c r="A113" s="2">
        <v>1000000000228</v>
      </c>
      <c r="B113" s="5" t="s">
        <v>237</v>
      </c>
      <c r="C113" s="2">
        <v>3000000000146</v>
      </c>
      <c r="D113" s="5" t="s">
        <v>238</v>
      </c>
      <c r="E113" s="1"/>
      <c r="F113" s="1" t="s">
        <v>44</v>
      </c>
      <c r="G113" s="1">
        <v>4</v>
      </c>
      <c r="H113" s="1">
        <v>2</v>
      </c>
      <c r="I113" s="1">
        <v>2</v>
      </c>
      <c r="J113" s="1"/>
      <c r="K113" s="1">
        <v>50</v>
      </c>
      <c r="L113" s="1" t="str">
        <f>IFERROR(_xlfn.LET(_xlpm.x,VLOOKUP($A113,'[1]Markings Threadings'!$B$3:$L$245,3,0),IF(_xlpm.x=0,"",_xlpm.x)),"")</f>
        <v>Orange</v>
      </c>
      <c r="M113" s="2">
        <f>IFERROR(_xlfn.LET(_xlpm.x,VLOOKUP($A113,'[1]Markings Threadings'!$B$3:$L$245,7,0),IF(_xlpm.x=0,"",_xlpm.x)),"")</f>
        <v>5000000000050</v>
      </c>
      <c r="N113" s="5" t="str">
        <f>IFERROR(_xlfn.LET(_xlpm.x,VLOOKUP($A113,'[1]Markings Threadings'!$B$3:$L$245,8,0),IF(_xlpm.x=0,"",_xlpm.x)),"")</f>
        <v>Empty Sack - Pork Solutions Grower , 50 kg</v>
      </c>
      <c r="O113" s="2">
        <f>IFERROR(_xlfn.LET(_xlpm.x,VLOOKUP($A113,'[1]Markings Threadings'!$B$3:$L$245,10,0),IF(_xlpm.x=0,"",_xlpm.x)),"")</f>
        <v>5000000000110</v>
      </c>
      <c r="P113" s="5" t="str">
        <f>IFERROR(_xlfn.LET(_xlpm.x,VLOOKUP($A113,'[1]Markings Threadings'!$B$3:$L$245,11,0),IF(_xlpm.x=0,"",_xlpm.x)),"")</f>
        <v>Tag Pork Solution Grower- Mash</v>
      </c>
      <c r="Q113" s="1">
        <f>IFERROR(_xlfn.LET(_xlpm.x,VLOOKUP($A113,'[1]Markings Threadings'!$B$3:$L$245,4,0),IF(_xlpm.x=0,"",_xlpm.x)),"")</f>
        <v>228</v>
      </c>
      <c r="R113" s="1" t="str">
        <f>IFERROR(_xlfn.LET(_xlpm.x,VLOOKUP($A113,'[1]Markings Threadings'!$B$3:$L$245,5,0),IF(_xlpm.x=0,"",_xlpm.x)),"")</f>
        <v/>
      </c>
      <c r="S113" s="1">
        <f>IFERROR(_xlfn.LET(_xlpm.x,VLOOKUP($A113,'[1]Markings Threadings'!$B$3:$L$245,6,0),IF(_xlpm.x=0,"",_xlpm.x)),"")</f>
        <v>6</v>
      </c>
      <c r="T113" s="6" t="str">
        <f>IFERROR(_xlfn.LET(_xlpm.x,VLOOKUP($C113,[1]Summary!$A$2:$J$118,4,0),IF(_xlpm.x=0,"",_xlpm.x)),"")</f>
        <v/>
      </c>
      <c r="U113" s="6" t="str">
        <f>IFERROR(_xlfn.LET(_xlpm.x,VLOOKUP($C113,[1]Summary!$A$2:$J$118,5,0),IF(_xlpm.x=0,"",_xlpm.x)),"")</f>
        <v/>
      </c>
      <c r="V113" s="6" t="str">
        <f>IFERROR(_xlfn.LET(_xlpm.x,VLOOKUP($C113,[1]Summary!$A$2:$J$118,6,0),IF(_xlpm.x=0,"",_xlpm.x)),"")</f>
        <v/>
      </c>
      <c r="W113" s="6" t="str">
        <f>IFERROR(_xlfn.LET(_xlpm.x,VLOOKUP($C113,[1]Summary!$A$2:$J$118,7,0),IF(_xlpm.x=0,"",_xlpm.x)),"")</f>
        <v/>
      </c>
      <c r="X113" s="6" t="str">
        <f>IFERROR(_xlfn.LET(_xlpm.x,VLOOKUP($C113,[1]Summary!$A$2:$J$118,8,0),IF(_xlpm.x=0,"",_xlpm.x)),"")</f>
        <v/>
      </c>
      <c r="Y113" s="6" t="str">
        <f>IFERROR(_xlfn.LET(_xlpm.x,VLOOKUP($C113,[1]Summary!$A$2:$J$118,9,0),IF(_xlpm.x=0,"",_xlpm.x)),"")</f>
        <v/>
      </c>
      <c r="Z113" s="6" t="str">
        <f>IFERROR(_xlfn.LET(_xlpm.x,VLOOKUP($C113,[1]Summary!$A$2:$J$118,10,0),IF(_xlpm.x=0,"",_xlpm.x)),"")</f>
        <v/>
      </c>
    </row>
    <row r="114" spans="1:26" x14ac:dyDescent="0.25">
      <c r="A114" s="2">
        <v>1000000001089</v>
      </c>
      <c r="B114" s="5" t="s">
        <v>239</v>
      </c>
      <c r="C114" s="2">
        <v>3000000000665</v>
      </c>
      <c r="D114" s="5" t="s">
        <v>240</v>
      </c>
      <c r="E114" s="1"/>
      <c r="F114" s="1" t="s">
        <v>44</v>
      </c>
      <c r="G114" s="1">
        <v>2</v>
      </c>
      <c r="H114" s="1">
        <v>2</v>
      </c>
      <c r="I114" s="1">
        <v>2</v>
      </c>
      <c r="J114" s="1"/>
      <c r="K114" s="1">
        <v>50</v>
      </c>
      <c r="L114" s="1" t="str">
        <f>IFERROR(_xlfn.LET(_xlpm.x,VLOOKUP($A114,'[1]Markings Threadings'!$B$3:$L$245,3,0),IF(_xlpm.x=0,"",_xlpm.x)),"")</f>
        <v>Orange</v>
      </c>
      <c r="M114" s="2">
        <f>IFERROR(_xlfn.LET(_xlpm.x,VLOOKUP($A114,'[1]Markings Threadings'!$B$3:$L$245,7,0),IF(_xlpm.x=0,"",_xlpm.x)),"")</f>
        <v>5000000000399</v>
      </c>
      <c r="N114" s="5" t="str">
        <f>IFERROR(_xlfn.LET(_xlpm.x,VLOOKUP($A114,'[1]Markings Threadings'!$B$3:$L$245,8,0),IF(_xlpm.x=0,"",_xlpm.x)),"")</f>
        <v>Packaging - Hog Supremecon Growmix / Gestamix / Lactamix</v>
      </c>
      <c r="O114" s="2">
        <f>IFERROR(_xlfn.LET(_xlpm.x,VLOOKUP($A114,'[1]Markings Threadings'!$B$3:$L$245,10,0),IF(_xlpm.x=0,"",_xlpm.x)),"")</f>
        <v>5000000000448</v>
      </c>
      <c r="P114" s="5" t="str">
        <f>IFERROR(_xlfn.LET(_xlpm.x,VLOOKUP($A114,'[1]Markings Threadings'!$B$3:$L$245,11,0),IF(_xlpm.x=0,"",_xlpm.x)),"")</f>
        <v>Tag - Supremecon Hog Protein Concentrate Lactamix Mash, 25kg</v>
      </c>
      <c r="Q114" s="1">
        <f>IFERROR(_xlfn.LET(_xlpm.x,VLOOKUP($A114,'[1]Markings Threadings'!$B$3:$L$245,4,0),IF(_xlpm.x=0,"",_xlpm.x)),"")</f>
        <v>1089</v>
      </c>
      <c r="R114" s="1" t="str">
        <f>IFERROR(_xlfn.LET(_xlpm.x,VLOOKUP($A114,'[1]Markings Threadings'!$B$3:$L$245,5,0),IF(_xlpm.x=0,"",_xlpm.x)),"")</f>
        <v/>
      </c>
      <c r="S114" s="1">
        <f>IFERROR(_xlfn.LET(_xlpm.x,VLOOKUP($A114,'[1]Markings Threadings'!$B$3:$L$245,6,0),IF(_xlpm.x=0,"",_xlpm.x)),"")</f>
        <v>4</v>
      </c>
      <c r="T114" s="6" t="str">
        <f>IFERROR(_xlfn.LET(_xlpm.x,VLOOKUP($C114,[1]Summary!$A$2:$J$118,4,0),IF(_xlpm.x=0,"",_xlpm.x)),"")</f>
        <v/>
      </c>
      <c r="U114" s="6" t="str">
        <f>IFERROR(_xlfn.LET(_xlpm.x,VLOOKUP($C114,[1]Summary!$A$2:$J$118,5,0),IF(_xlpm.x=0,"",_xlpm.x)),"")</f>
        <v/>
      </c>
      <c r="V114" s="6" t="str">
        <f>IFERROR(_xlfn.LET(_xlpm.x,VLOOKUP($C114,[1]Summary!$A$2:$J$118,6,0),IF(_xlpm.x=0,"",_xlpm.x)),"")</f>
        <v/>
      </c>
      <c r="W114" s="6" t="str">
        <f>IFERROR(_xlfn.LET(_xlpm.x,VLOOKUP($C114,[1]Summary!$A$2:$J$118,7,0),IF(_xlpm.x=0,"",_xlpm.x)),"")</f>
        <v/>
      </c>
      <c r="X114" s="6" t="str">
        <f>IFERROR(_xlfn.LET(_xlpm.x,VLOOKUP($C114,[1]Summary!$A$2:$J$118,8,0),IF(_xlpm.x=0,"",_xlpm.x)),"")</f>
        <v/>
      </c>
      <c r="Y114" s="6" t="str">
        <f>IFERROR(_xlfn.LET(_xlpm.x,VLOOKUP($C114,[1]Summary!$A$2:$J$118,9,0),IF(_xlpm.x=0,"",_xlpm.x)),"")</f>
        <v/>
      </c>
      <c r="Z114" s="6" t="str">
        <f>IFERROR(_xlfn.LET(_xlpm.x,VLOOKUP($C114,[1]Summary!$A$2:$J$118,10,0),IF(_xlpm.x=0,"",_xlpm.x)),"")</f>
        <v/>
      </c>
    </row>
    <row r="115" spans="1:26" x14ac:dyDescent="0.25">
      <c r="A115" s="2">
        <v>1000000000241</v>
      </c>
      <c r="B115" s="5" t="s">
        <v>241</v>
      </c>
      <c r="C115" s="2">
        <v>3000000000571</v>
      </c>
      <c r="D115" s="5" t="s">
        <v>208</v>
      </c>
      <c r="E115" s="1">
        <v>3</v>
      </c>
      <c r="F115" s="1" t="s">
        <v>37</v>
      </c>
      <c r="G115" s="1">
        <v>4</v>
      </c>
      <c r="H115" s="1">
        <v>2</v>
      </c>
      <c r="I115" s="1">
        <v>2</v>
      </c>
      <c r="J115" s="1"/>
      <c r="K115" s="1">
        <v>50</v>
      </c>
      <c r="L115" s="1" t="str">
        <f>IFERROR(_xlfn.LET(_xlpm.x,VLOOKUP($A115,'[1]Markings Threadings'!$B$3:$L$245,3,0),IF(_xlpm.x=0,"",_xlpm.x)),"")</f>
        <v>White</v>
      </c>
      <c r="M115" s="2">
        <f>IFERROR(_xlfn.LET(_xlpm.x,VLOOKUP($A115,'[1]Markings Threadings'!$B$3:$L$245,7,0),IF(_xlpm.x=0,"",_xlpm.x)),"")</f>
        <v>5000000000419</v>
      </c>
      <c r="N115" s="5" t="str">
        <f>IFERROR(_xlfn.LET(_xlpm.x,VLOOKUP($A115,'[1]Markings Threadings'!$B$3:$L$245,8,0),IF(_xlpm.x=0,"",_xlpm.x)),"")</f>
        <v>Elite XP Hog Startex 50kg. Mocha PP bag</v>
      </c>
      <c r="O115" s="2">
        <f>IFERROR(_xlfn.LET(_xlpm.x,VLOOKUP($A115,'[1]Markings Threadings'!$B$3:$L$245,10,0),IF(_xlpm.x=0,"",_xlpm.x)),"")</f>
        <v>5000000000477</v>
      </c>
      <c r="P115" s="5" t="str">
        <f>IFERROR(_xlfn.LET(_xlpm.x,VLOOKUP($A115,'[1]Markings Threadings'!$B$3:$L$245,11,0),IF(_xlpm.x=0,"",_xlpm.x)),"")</f>
        <v>Tag- Elite XP Startex Mini-Pellet, Pellet 50 kg</v>
      </c>
      <c r="Q115" s="1" t="str">
        <f>IFERROR(_xlfn.LET(_xlpm.x,VLOOKUP($A115,'[1]Markings Threadings'!$B$3:$L$245,4,0),IF(_xlpm.x=0,"",_xlpm.x)),"")</f>
        <v/>
      </c>
      <c r="R115" s="1" t="str">
        <f>IFERROR(_xlfn.LET(_xlpm.x,VLOOKUP($A115,'[1]Markings Threadings'!$B$3:$L$245,5,0),IF(_xlpm.x=0,"",_xlpm.x)),"")</f>
        <v/>
      </c>
      <c r="S115" s="1">
        <f>IFERROR(_xlfn.LET(_xlpm.x,VLOOKUP($A115,'[1]Markings Threadings'!$B$3:$L$245,6,0),IF(_xlpm.x=0,"",_xlpm.x)),"")</f>
        <v>3</v>
      </c>
      <c r="T115" s="6">
        <f>IFERROR(_xlfn.LET(_xlpm.x,VLOOKUP($C115,[1]Summary!$A$2:$J$118,4,0),IF(_xlpm.x=0,"",_xlpm.x)),"")</f>
        <v>19.098000822739454</v>
      </c>
      <c r="U115" s="6">
        <f>IFERROR(_xlfn.LET(_xlpm.x,VLOOKUP($C115,[1]Summary!$A$2:$J$118,5,0),IF(_xlpm.x=0,"",_xlpm.x)),"")</f>
        <v>20.153449071702852</v>
      </c>
      <c r="V115" s="6" t="str">
        <f>IFERROR(_xlfn.LET(_xlpm.x,VLOOKUP($C115,[1]Summary!$A$2:$J$118,6,0),IF(_xlpm.x=0,"",_xlpm.x)),"")</f>
        <v/>
      </c>
      <c r="W115" s="6" t="str">
        <f>IFERROR(_xlfn.LET(_xlpm.x,VLOOKUP($C115,[1]Summary!$A$2:$J$118,7,0),IF(_xlpm.x=0,"",_xlpm.x)),"")</f>
        <v/>
      </c>
      <c r="X115" s="6" t="str">
        <f>IFERROR(_xlfn.LET(_xlpm.x,VLOOKUP($C115,[1]Summary!$A$2:$J$118,8,0),IF(_xlpm.x=0,"",_xlpm.x)),"")</f>
        <v/>
      </c>
      <c r="Y115" s="6">
        <f>IFERROR(_xlfn.LET(_xlpm.x,VLOOKUP($C115,[1]Summary!$A$2:$J$118,9,0),IF(_xlpm.x=0,"",_xlpm.x)),"")</f>
        <v>6.7186884293547067</v>
      </c>
      <c r="Z115" s="6">
        <f>IFERROR(_xlfn.LET(_xlpm.x,VLOOKUP($C115,[1]Summary!$A$2:$J$118,10,0),IF(_xlpm.x=0,"",_xlpm.x)),"")</f>
        <v>6.7255682689216467</v>
      </c>
    </row>
    <row r="116" spans="1:26" x14ac:dyDescent="0.25">
      <c r="A116" s="2">
        <v>1000000000244</v>
      </c>
      <c r="B116" s="5" t="s">
        <v>242</v>
      </c>
      <c r="C116" s="2">
        <v>3000000000575</v>
      </c>
      <c r="D116" s="5" t="s">
        <v>243</v>
      </c>
      <c r="E116" s="1">
        <v>4</v>
      </c>
      <c r="F116" s="1" t="s">
        <v>28</v>
      </c>
      <c r="G116" s="1">
        <v>4</v>
      </c>
      <c r="H116" s="1">
        <v>2</v>
      </c>
      <c r="I116" s="1">
        <v>2</v>
      </c>
      <c r="J116" s="1"/>
      <c r="K116" s="1">
        <v>50</v>
      </c>
      <c r="L116" s="1" t="str">
        <f>IFERROR(_xlfn.LET(_xlpm.x,VLOOKUP($A116,'[1]Markings Threadings'!$B$3:$L$245,3,0),IF(_xlpm.x=0,"",_xlpm.x)),"")</f>
        <v>White</v>
      </c>
      <c r="M116" s="2">
        <f>IFERROR(_xlfn.LET(_xlpm.x,VLOOKUP($A116,'[1]Markings Threadings'!$B$3:$L$245,7,0),IF(_xlpm.x=0,"",_xlpm.x)),"")</f>
        <v>5000000000421</v>
      </c>
      <c r="N116" s="5" t="str">
        <f>IFERROR(_xlfn.LET(_xlpm.x,VLOOKUP($A116,'[1]Markings Threadings'!$B$3:$L$245,8,0),IF(_xlpm.x=0,"",_xlpm.x)),"")</f>
        <v>Elite XP Hog Growex  2 50kg. Mocha PP bag</v>
      </c>
      <c r="O116" s="2">
        <f>IFERROR(_xlfn.LET(_xlpm.x,VLOOKUP($A116,'[1]Markings Threadings'!$B$3:$L$245,10,0),IF(_xlpm.x=0,"",_xlpm.x)),"")</f>
        <v>5000000000475</v>
      </c>
      <c r="P116" s="5" t="str">
        <f>IFERROR(_xlfn.LET(_xlpm.x,VLOOKUP($A116,'[1]Markings Threadings'!$B$3:$L$245,11,0),IF(_xlpm.x=0,"",_xlpm.x)),"")</f>
        <v>Tag- Elite XP Growex 2, Pellet 50 kg</v>
      </c>
      <c r="Q116" s="1" t="str">
        <f>IFERROR(_xlfn.LET(_xlpm.x,VLOOKUP($A116,'[1]Markings Threadings'!$B$3:$L$245,4,0),IF(_xlpm.x=0,"",_xlpm.x)),"")</f>
        <v/>
      </c>
      <c r="R116" s="1" t="str">
        <f>IFERROR(_xlfn.LET(_xlpm.x,VLOOKUP($A116,'[1]Markings Threadings'!$B$3:$L$245,5,0),IF(_xlpm.x=0,"",_xlpm.x)),"")</f>
        <v/>
      </c>
      <c r="S116" s="1">
        <f>IFERROR(_xlfn.LET(_xlpm.x,VLOOKUP($A116,'[1]Markings Threadings'!$B$3:$L$245,6,0),IF(_xlpm.x=0,"",_xlpm.x)),"")</f>
        <v>2</v>
      </c>
      <c r="T116" s="6" t="str">
        <f>IFERROR(_xlfn.LET(_xlpm.x,VLOOKUP($C116,[1]Summary!$A$2:$J$118,4,0),IF(_xlpm.x=0,"",_xlpm.x)),"")</f>
        <v/>
      </c>
      <c r="U116" s="6">
        <f>IFERROR(_xlfn.LET(_xlpm.x,VLOOKUP($C116,[1]Summary!$A$2:$J$118,5,0),IF(_xlpm.x=0,"",_xlpm.x)),"")</f>
        <v>20.166307156512357</v>
      </c>
      <c r="V116" s="6" t="str">
        <f>IFERROR(_xlfn.LET(_xlpm.x,VLOOKUP($C116,[1]Summary!$A$2:$J$118,6,0),IF(_xlpm.x=0,"",_xlpm.x)),"")</f>
        <v/>
      </c>
      <c r="W116" s="6" t="str">
        <f>IFERROR(_xlfn.LET(_xlpm.x,VLOOKUP($C116,[1]Summary!$A$2:$J$118,7,0),IF(_xlpm.x=0,"",_xlpm.x)),"")</f>
        <v/>
      </c>
      <c r="X116" s="6" t="str">
        <f>IFERROR(_xlfn.LET(_xlpm.x,VLOOKUP($C116,[1]Summary!$A$2:$J$118,8,0),IF(_xlpm.x=0,"",_xlpm.x)),"")</f>
        <v/>
      </c>
      <c r="Y116" s="6" t="str">
        <f>IFERROR(_xlfn.LET(_xlpm.x,VLOOKUP($C116,[1]Summary!$A$2:$J$118,9,0),IF(_xlpm.x=0,"",_xlpm.x)),"")</f>
        <v/>
      </c>
      <c r="Z116" s="6" t="str">
        <f>IFERROR(_xlfn.LET(_xlpm.x,VLOOKUP($C116,[1]Summary!$A$2:$J$118,10,0),IF(_xlpm.x=0,"",_xlpm.x)),"")</f>
        <v/>
      </c>
    </row>
    <row r="117" spans="1:26" x14ac:dyDescent="0.25">
      <c r="A117" s="2">
        <v>1000000000243</v>
      </c>
      <c r="B117" s="5" t="s">
        <v>244</v>
      </c>
      <c r="C117" s="2">
        <v>3000000000573</v>
      </c>
      <c r="D117" s="5" t="s">
        <v>206</v>
      </c>
      <c r="E117" s="1">
        <v>4</v>
      </c>
      <c r="F117" s="1" t="s">
        <v>28</v>
      </c>
      <c r="G117" s="1">
        <v>4</v>
      </c>
      <c r="H117" s="1">
        <v>2</v>
      </c>
      <c r="I117" s="1">
        <v>2</v>
      </c>
      <c r="J117" s="1"/>
      <c r="K117" s="1">
        <v>50</v>
      </c>
      <c r="L117" s="1" t="str">
        <f>IFERROR(_xlfn.LET(_xlpm.x,VLOOKUP($A117,'[1]Markings Threadings'!$B$3:$L$245,3,0),IF(_xlpm.x=0,"",_xlpm.x)),"")</f>
        <v>White</v>
      </c>
      <c r="M117" s="2">
        <f>IFERROR(_xlfn.LET(_xlpm.x,VLOOKUP($A117,'[1]Markings Threadings'!$B$3:$L$245,7,0),IF(_xlpm.x=0,"",_xlpm.x)),"")</f>
        <v>5000000000423</v>
      </c>
      <c r="N117" s="5" t="str">
        <f>IFERROR(_xlfn.LET(_xlpm.x,VLOOKUP($A117,'[1]Markings Threadings'!$B$3:$L$245,8,0),IF(_xlpm.x=0,"",_xlpm.x)),"")</f>
        <v>Elite XP Hog Growex 50kg. Mocha PP bag</v>
      </c>
      <c r="O117" s="2">
        <f>IFERROR(_xlfn.LET(_xlpm.x,VLOOKUP($A117,'[1]Markings Threadings'!$B$3:$L$245,10,0),IF(_xlpm.x=0,"",_xlpm.x)),"")</f>
        <v>5000000000476</v>
      </c>
      <c r="P117" s="5" t="str">
        <f>IFERROR(_xlfn.LET(_xlpm.x,VLOOKUP($A117,'[1]Markings Threadings'!$B$3:$L$245,11,0),IF(_xlpm.x=0,"",_xlpm.x)),"")</f>
        <v>Tag- Elite XP Growex 1, Pellet 50 kg</v>
      </c>
      <c r="Q117" s="1" t="str">
        <f>IFERROR(_xlfn.LET(_xlpm.x,VLOOKUP($A117,'[1]Markings Threadings'!$B$3:$L$245,4,0),IF(_xlpm.x=0,"",_xlpm.x)),"")</f>
        <v/>
      </c>
      <c r="R117" s="1" t="str">
        <f>IFERROR(_xlfn.LET(_xlpm.x,VLOOKUP($A117,'[1]Markings Threadings'!$B$3:$L$245,5,0),IF(_xlpm.x=0,"",_xlpm.x)),"")</f>
        <v/>
      </c>
      <c r="S117" s="1">
        <f>IFERROR(_xlfn.LET(_xlpm.x,VLOOKUP($A117,'[1]Markings Threadings'!$B$3:$L$245,6,0),IF(_xlpm.x=0,"",_xlpm.x)),"")</f>
        <v>1</v>
      </c>
      <c r="T117" s="6" t="str">
        <f>IFERROR(_xlfn.LET(_xlpm.x,VLOOKUP($C117,[1]Summary!$A$2:$J$118,4,0),IF(_xlpm.x=0,"",_xlpm.x)),"")</f>
        <v/>
      </c>
      <c r="U117" s="6">
        <f>IFERROR(_xlfn.LET(_xlpm.x,VLOOKUP($C117,[1]Summary!$A$2:$J$118,5,0),IF(_xlpm.x=0,"",_xlpm.x)),"")</f>
        <v>20.158269557932371</v>
      </c>
      <c r="V117" s="6" t="str">
        <f>IFERROR(_xlfn.LET(_xlpm.x,VLOOKUP($C117,[1]Summary!$A$2:$J$118,6,0),IF(_xlpm.x=0,"",_xlpm.x)),"")</f>
        <v/>
      </c>
      <c r="W117" s="6" t="str">
        <f>IFERROR(_xlfn.LET(_xlpm.x,VLOOKUP($C117,[1]Summary!$A$2:$J$118,7,0),IF(_xlpm.x=0,"",_xlpm.x)),"")</f>
        <v/>
      </c>
      <c r="X117" s="6" t="str">
        <f>IFERROR(_xlfn.LET(_xlpm.x,VLOOKUP($C117,[1]Summary!$A$2:$J$118,8,0),IF(_xlpm.x=0,"",_xlpm.x)),"")</f>
        <v/>
      </c>
      <c r="Y117" s="6" t="str">
        <f>IFERROR(_xlfn.LET(_xlpm.x,VLOOKUP($C117,[1]Summary!$A$2:$J$118,9,0),IF(_xlpm.x=0,"",_xlpm.x)),"")</f>
        <v/>
      </c>
      <c r="Z117" s="6" t="str">
        <f>IFERROR(_xlfn.LET(_xlpm.x,VLOOKUP($C117,[1]Summary!$A$2:$J$118,10,0),IF(_xlpm.x=0,"",_xlpm.x)),"")</f>
        <v/>
      </c>
    </row>
    <row r="118" spans="1:26" x14ac:dyDescent="0.25">
      <c r="A118" s="2">
        <v>1000000000237</v>
      </c>
      <c r="B118" s="5" t="s">
        <v>245</v>
      </c>
      <c r="C118" s="2">
        <v>3000000000563</v>
      </c>
      <c r="D118" s="5" t="s">
        <v>246</v>
      </c>
      <c r="E118" s="1">
        <v>4</v>
      </c>
      <c r="F118" s="1" t="s">
        <v>28</v>
      </c>
      <c r="G118" s="1">
        <v>4</v>
      </c>
      <c r="H118" s="1">
        <v>2</v>
      </c>
      <c r="I118" s="1">
        <v>2</v>
      </c>
      <c r="J118" s="1"/>
      <c r="K118" s="1">
        <v>50</v>
      </c>
      <c r="L118" s="1" t="str">
        <f>IFERROR(_xlfn.LET(_xlpm.x,VLOOKUP($A118,'[1]Markings Threadings'!$B$3:$L$245,3,0),IF(_xlpm.x=0,"",_xlpm.x)),"")</f>
        <v>White</v>
      </c>
      <c r="M118" s="2">
        <f>IFERROR(_xlfn.LET(_xlpm.x,VLOOKUP($A118,'[1]Markings Threadings'!$B$3:$L$245,7,0),IF(_xlpm.x=0,"",_xlpm.x)),"")</f>
        <v>5000000000415</v>
      </c>
      <c r="N118" s="5" t="str">
        <f>IFERROR(_xlfn.LET(_xlpm.x,VLOOKUP($A118,'[1]Markings Threadings'!$B$3:$L$245,8,0),IF(_xlpm.x=0,"",_xlpm.x)),"")</f>
        <v>Elite XP Hog Lactatex 50kg. Mocha PP bag</v>
      </c>
      <c r="O118" s="2">
        <f>IFERROR(_xlfn.LET(_xlpm.x,VLOOKUP($A118,'[1]Markings Threadings'!$B$3:$L$245,10,0),IF(_xlpm.x=0,"",_xlpm.x)),"")</f>
        <v>5000000000480</v>
      </c>
      <c r="P118" s="5" t="str">
        <f>IFERROR(_xlfn.LET(_xlpm.x,VLOOKUP($A118,'[1]Markings Threadings'!$B$3:$L$245,11,0),IF(_xlpm.x=0,"",_xlpm.x)),"")</f>
        <v>Tag- Elite XP Lactatex, Pellet 50 kg</v>
      </c>
      <c r="Q118" s="1" t="str">
        <f>IFERROR(_xlfn.LET(_xlpm.x,VLOOKUP($A118,'[1]Markings Threadings'!$B$3:$L$245,4,0),IF(_xlpm.x=0,"",_xlpm.x)),"")</f>
        <v/>
      </c>
      <c r="R118" s="1" t="str">
        <f>IFERROR(_xlfn.LET(_xlpm.x,VLOOKUP($A118,'[1]Markings Threadings'!$B$3:$L$245,5,0),IF(_xlpm.x=0,"",_xlpm.x)),"")</f>
        <v/>
      </c>
      <c r="S118" s="1">
        <f>IFERROR(_xlfn.LET(_xlpm.x,VLOOKUP($A118,'[1]Markings Threadings'!$B$3:$L$245,6,0),IF(_xlpm.x=0,"",_xlpm.x)),"")</f>
        <v>1</v>
      </c>
      <c r="T118" s="6" t="str">
        <f>IFERROR(_xlfn.LET(_xlpm.x,VLOOKUP($C118,[1]Summary!$A$2:$J$118,4,0),IF(_xlpm.x=0,"",_xlpm.x)),"")</f>
        <v/>
      </c>
      <c r="U118" s="6">
        <f>IFERROR(_xlfn.LET(_xlpm.x,VLOOKUP($C118,[1]Summary!$A$2:$J$118,5,0),IF(_xlpm.x=0,"",_xlpm.x)),"")</f>
        <v>20.04536401731648</v>
      </c>
      <c r="V118" s="6" t="str">
        <f>IFERROR(_xlfn.LET(_xlpm.x,VLOOKUP($C118,[1]Summary!$A$2:$J$118,6,0),IF(_xlpm.x=0,"",_xlpm.x)),"")</f>
        <v/>
      </c>
      <c r="W118" s="6" t="str">
        <f>IFERROR(_xlfn.LET(_xlpm.x,VLOOKUP($C118,[1]Summary!$A$2:$J$118,7,0),IF(_xlpm.x=0,"",_xlpm.x)),"")</f>
        <v/>
      </c>
      <c r="X118" s="6" t="str">
        <f>IFERROR(_xlfn.LET(_xlpm.x,VLOOKUP($C118,[1]Summary!$A$2:$J$118,8,0),IF(_xlpm.x=0,"",_xlpm.x)),"")</f>
        <v/>
      </c>
      <c r="Y118" s="6" t="str">
        <f>IFERROR(_xlfn.LET(_xlpm.x,VLOOKUP($C118,[1]Summary!$A$2:$J$118,9,0),IF(_xlpm.x=0,"",_xlpm.x)),"")</f>
        <v/>
      </c>
      <c r="Z118" s="6" t="str">
        <f>IFERROR(_xlfn.LET(_xlpm.x,VLOOKUP($C118,[1]Summary!$A$2:$J$118,10,0),IF(_xlpm.x=0,"",_xlpm.x)),"")</f>
        <v/>
      </c>
    </row>
    <row r="119" spans="1:26" x14ac:dyDescent="0.25">
      <c r="A119" s="2">
        <v>1000000000235</v>
      </c>
      <c r="B119" s="5" t="s">
        <v>247</v>
      </c>
      <c r="C119" s="2">
        <v>3000000000559</v>
      </c>
      <c r="D119" s="5" t="s">
        <v>228</v>
      </c>
      <c r="E119" s="1">
        <v>4</v>
      </c>
      <c r="F119" s="1" t="s">
        <v>28</v>
      </c>
      <c r="G119" s="1">
        <v>4</v>
      </c>
      <c r="H119" s="1">
        <v>2</v>
      </c>
      <c r="I119" s="1">
        <v>2</v>
      </c>
      <c r="J119" s="1"/>
      <c r="K119" s="1">
        <v>50</v>
      </c>
      <c r="L119" s="1" t="str">
        <f>IFERROR(_xlfn.LET(_xlpm.x,VLOOKUP($A119,'[1]Markings Threadings'!$B$3:$L$245,3,0),IF(_xlpm.x=0,"",_xlpm.x)),"")</f>
        <v>White</v>
      </c>
      <c r="M119" s="2">
        <f>IFERROR(_xlfn.LET(_xlpm.x,VLOOKUP($A119,'[1]Markings Threadings'!$B$3:$L$245,7,0),IF(_xlpm.x=0,"",_xlpm.x)),"")</f>
        <v>5000000000417</v>
      </c>
      <c r="N119" s="5" t="str">
        <f>IFERROR(_xlfn.LET(_xlpm.x,VLOOKUP($A119,'[1]Markings Threadings'!$B$3:$L$245,8,0),IF(_xlpm.x=0,"",_xlpm.x)),"")</f>
        <v>Elite XP Hog GestaPro 50kg. Mocha PP bag</v>
      </c>
      <c r="O119" s="2">
        <f>IFERROR(_xlfn.LET(_xlpm.x,VLOOKUP($A119,'[1]Markings Threadings'!$B$3:$L$245,10,0),IF(_xlpm.x=0,"",_xlpm.x)),"")</f>
        <v>5000000000481</v>
      </c>
      <c r="P119" s="5" t="str">
        <f>IFERROR(_xlfn.LET(_xlpm.x,VLOOKUP($A119,'[1]Markings Threadings'!$B$3:$L$245,11,0),IF(_xlpm.x=0,"",_xlpm.x)),"")</f>
        <v>Tag- Elite XP GestaPro, Pellet 50 kg</v>
      </c>
      <c r="Q119" s="1" t="str">
        <f>IFERROR(_xlfn.LET(_xlpm.x,VLOOKUP($A119,'[1]Markings Threadings'!$B$3:$L$245,4,0),IF(_xlpm.x=0,"",_xlpm.x)),"")</f>
        <v/>
      </c>
      <c r="R119" s="1" t="str">
        <f>IFERROR(_xlfn.LET(_xlpm.x,VLOOKUP($A119,'[1]Markings Threadings'!$B$3:$L$245,5,0),IF(_xlpm.x=0,"",_xlpm.x)),"")</f>
        <v/>
      </c>
      <c r="S119" s="1">
        <f>IFERROR(_xlfn.LET(_xlpm.x,VLOOKUP($A119,'[1]Markings Threadings'!$B$3:$L$245,6,0),IF(_xlpm.x=0,"",_xlpm.x)),"")</f>
        <v>1</v>
      </c>
      <c r="T119" s="6" t="str">
        <f>IFERROR(_xlfn.LET(_xlpm.x,VLOOKUP($C119,[1]Summary!$A$2:$J$118,4,0),IF(_xlpm.x=0,"",_xlpm.x)),"")</f>
        <v/>
      </c>
      <c r="U119" s="6">
        <f>IFERROR(_xlfn.LET(_xlpm.x,VLOOKUP($C119,[1]Summary!$A$2:$J$118,5,0),IF(_xlpm.x=0,"",_xlpm.x)),"")</f>
        <v>20.059766571790824</v>
      </c>
      <c r="V119" s="6" t="str">
        <f>IFERROR(_xlfn.LET(_xlpm.x,VLOOKUP($C119,[1]Summary!$A$2:$J$118,6,0),IF(_xlpm.x=0,"",_xlpm.x)),"")</f>
        <v/>
      </c>
      <c r="W119" s="6" t="str">
        <f>IFERROR(_xlfn.LET(_xlpm.x,VLOOKUP($C119,[1]Summary!$A$2:$J$118,7,0),IF(_xlpm.x=0,"",_xlpm.x)),"")</f>
        <v/>
      </c>
      <c r="X119" s="6" t="str">
        <f>IFERROR(_xlfn.LET(_xlpm.x,VLOOKUP($C119,[1]Summary!$A$2:$J$118,8,0),IF(_xlpm.x=0,"",_xlpm.x)),"")</f>
        <v/>
      </c>
      <c r="Y119" s="6" t="str">
        <f>IFERROR(_xlfn.LET(_xlpm.x,VLOOKUP($C119,[1]Summary!$A$2:$J$118,9,0),IF(_xlpm.x=0,"",_xlpm.x)),"")</f>
        <v/>
      </c>
      <c r="Z119" s="6" t="str">
        <f>IFERROR(_xlfn.LET(_xlpm.x,VLOOKUP($C119,[1]Summary!$A$2:$J$118,10,0),IF(_xlpm.x=0,"",_xlpm.x)),"")</f>
        <v/>
      </c>
    </row>
    <row r="120" spans="1:26" x14ac:dyDescent="0.25">
      <c r="A120" s="2">
        <v>1000000000233</v>
      </c>
      <c r="B120" s="5" t="s">
        <v>248</v>
      </c>
      <c r="C120" s="2">
        <v>3000000000557</v>
      </c>
      <c r="D120" s="5" t="s">
        <v>249</v>
      </c>
      <c r="E120" s="1">
        <v>4</v>
      </c>
      <c r="F120" s="1" t="s">
        <v>28</v>
      </c>
      <c r="G120" s="1">
        <v>4</v>
      </c>
      <c r="H120" s="1">
        <v>2</v>
      </c>
      <c r="I120" s="1">
        <v>2</v>
      </c>
      <c r="J120" s="1"/>
      <c r="K120" s="1">
        <v>50</v>
      </c>
      <c r="L120" s="1" t="str">
        <f>IFERROR(_xlfn.LET(_xlpm.x,VLOOKUP($A120,'[1]Markings Threadings'!$B$3:$L$245,3,0),IF(_xlpm.x=0,"",_xlpm.x)),"")</f>
        <v>White</v>
      </c>
      <c r="M120" s="2">
        <f>IFERROR(_xlfn.LET(_xlpm.x,VLOOKUP($A120,'[1]Markings Threadings'!$B$3:$L$245,7,0),IF(_xlpm.x=0,"",_xlpm.x)),"")</f>
        <v>5000000000418</v>
      </c>
      <c r="N120" s="5" t="str">
        <f>IFERROR(_xlfn.LET(_xlpm.x,VLOOKUP($A120,'[1]Markings Threadings'!$B$3:$L$245,8,0),IF(_xlpm.x=0,"",_xlpm.x)),"")</f>
        <v>Elite XP Hog GestaPrime 50kg. Mocha PP bag</v>
      </c>
      <c r="O120" s="2">
        <f>IFERROR(_xlfn.LET(_xlpm.x,VLOOKUP($A120,'[1]Markings Threadings'!$B$3:$L$245,10,0),IF(_xlpm.x=0,"",_xlpm.x)),"")</f>
        <v>5000000000483</v>
      </c>
      <c r="P120" s="5" t="str">
        <f>IFERROR(_xlfn.LET(_xlpm.x,VLOOKUP($A120,'[1]Markings Threadings'!$B$3:$L$245,11,0),IF(_xlpm.x=0,"",_xlpm.x)),"")</f>
        <v>Tag- Elite XP GestaPrime, Pellet 50 kg</v>
      </c>
      <c r="Q120" s="1" t="str">
        <f>IFERROR(_xlfn.LET(_xlpm.x,VLOOKUP($A120,'[1]Markings Threadings'!$B$3:$L$245,4,0),IF(_xlpm.x=0,"",_xlpm.x)),"")</f>
        <v/>
      </c>
      <c r="R120" s="1" t="str">
        <f>IFERROR(_xlfn.LET(_xlpm.x,VLOOKUP($A120,'[1]Markings Threadings'!$B$3:$L$245,5,0),IF(_xlpm.x=0,"",_xlpm.x)),"")</f>
        <v/>
      </c>
      <c r="S120" s="1">
        <f>IFERROR(_xlfn.LET(_xlpm.x,VLOOKUP($A120,'[1]Markings Threadings'!$B$3:$L$245,6,0),IF(_xlpm.x=0,"",_xlpm.x)),"")</f>
        <v>1</v>
      </c>
      <c r="T120" s="6" t="str">
        <f>IFERROR(_xlfn.LET(_xlpm.x,VLOOKUP($C120,[1]Summary!$A$2:$J$118,4,0),IF(_xlpm.x=0,"",_xlpm.x)),"")</f>
        <v/>
      </c>
      <c r="U120" s="6">
        <f>IFERROR(_xlfn.LET(_xlpm.x,VLOOKUP($C120,[1]Summary!$A$2:$J$118,5,0),IF(_xlpm.x=0,"",_xlpm.x)),"")</f>
        <v>20.157052363394442</v>
      </c>
      <c r="V120" s="6" t="str">
        <f>IFERROR(_xlfn.LET(_xlpm.x,VLOOKUP($C120,[1]Summary!$A$2:$J$118,6,0),IF(_xlpm.x=0,"",_xlpm.x)),"")</f>
        <v/>
      </c>
      <c r="W120" s="6" t="str">
        <f>IFERROR(_xlfn.LET(_xlpm.x,VLOOKUP($C120,[1]Summary!$A$2:$J$118,7,0),IF(_xlpm.x=0,"",_xlpm.x)),"")</f>
        <v/>
      </c>
      <c r="X120" s="6" t="str">
        <f>IFERROR(_xlfn.LET(_xlpm.x,VLOOKUP($C120,[1]Summary!$A$2:$J$118,8,0),IF(_xlpm.x=0,"",_xlpm.x)),"")</f>
        <v/>
      </c>
      <c r="Y120" s="6" t="str">
        <f>IFERROR(_xlfn.LET(_xlpm.x,VLOOKUP($C120,[1]Summary!$A$2:$J$118,9,0),IF(_xlpm.x=0,"",_xlpm.x)),"")</f>
        <v/>
      </c>
      <c r="Z120" s="6" t="str">
        <f>IFERROR(_xlfn.LET(_xlpm.x,VLOOKUP($C120,[1]Summary!$A$2:$J$118,10,0),IF(_xlpm.x=0,"",_xlpm.x)),"")</f>
        <v/>
      </c>
    </row>
    <row r="121" spans="1:26" x14ac:dyDescent="0.25">
      <c r="A121" s="2">
        <v>1000000001401</v>
      </c>
      <c r="B121" s="5" t="s">
        <v>250</v>
      </c>
      <c r="C121" s="2">
        <v>3000000001112</v>
      </c>
      <c r="D121" s="5" t="s">
        <v>251</v>
      </c>
      <c r="E121" s="1">
        <v>4</v>
      </c>
      <c r="F121" s="1" t="s">
        <v>28</v>
      </c>
      <c r="G121" s="1">
        <v>4</v>
      </c>
      <c r="H121" s="1">
        <v>2</v>
      </c>
      <c r="I121" s="1">
        <v>2</v>
      </c>
      <c r="J121" s="1"/>
      <c r="K121" s="1">
        <v>50</v>
      </c>
      <c r="L121" s="1" t="str">
        <f>IFERROR(_xlfn.LET(_xlpm.x,VLOOKUP($A121,'[1]Markings Threadings'!$B$3:$L$245,3,0),IF(_xlpm.x=0,"",_xlpm.x)),"")</f>
        <v>White Blue</v>
      </c>
      <c r="M121" s="2">
        <f>IFERROR(_xlfn.LET(_xlpm.x,VLOOKUP($A121,'[1]Markings Threadings'!$B$3:$L$245,7,0),IF(_xlpm.x=0,"",_xlpm.x)),"")</f>
        <v>5000000000052</v>
      </c>
      <c r="N121" s="5" t="str">
        <f>IFERROR(_xlfn.LET(_xlpm.x,VLOOKUP($A121,'[1]Markings Threadings'!$B$3:$L$245,8,0),IF(_xlpm.x=0,"",_xlpm.x)),"")</f>
        <v>Sack Pork Solutions Breeder Hog 50kg</v>
      </c>
      <c r="O121" s="2">
        <f>IFERROR(_xlfn.LET(_xlpm.x,VLOOKUP($A121,'[1]Markings Threadings'!$B$3:$L$245,10,0),IF(_xlpm.x=0,"",_xlpm.x)),"")</f>
        <v>5000000000106</v>
      </c>
      <c r="P121" s="5" t="str">
        <f>IFERROR(_xlfn.LET(_xlpm.x,VLOOKUP($A121,'[1]Markings Threadings'!$B$3:$L$245,11,0),IF(_xlpm.x=0,"",_xlpm.x)),"")</f>
        <v>Tag - Pork Solutions Breeder Hog Gestation Pellet</v>
      </c>
      <c r="Q121" s="1">
        <f>IFERROR(_xlfn.LET(_xlpm.x,VLOOKUP($A121,'[1]Markings Threadings'!$B$3:$L$245,4,0),IF(_xlpm.x=0,"",_xlpm.x)),"")</f>
        <v>1401</v>
      </c>
      <c r="R121" s="1" t="str">
        <f>IFERROR(_xlfn.LET(_xlpm.x,VLOOKUP($A121,'[1]Markings Threadings'!$B$3:$L$245,5,0),IF(_xlpm.x=0,"",_xlpm.x)),"")</f>
        <v/>
      </c>
      <c r="S121" s="1">
        <f>IFERROR(_xlfn.LET(_xlpm.x,VLOOKUP($A121,'[1]Markings Threadings'!$B$3:$L$245,6,0),IF(_xlpm.x=0,"",_xlpm.x)),"")</f>
        <v>5</v>
      </c>
      <c r="T121" s="6" t="str">
        <f>IFERROR(_xlfn.LET(_xlpm.x,VLOOKUP($C121,[1]Summary!$A$2:$J$118,4,0),IF(_xlpm.x=0,"",_xlpm.x)),"")</f>
        <v/>
      </c>
      <c r="U121" s="6" t="str">
        <f>IFERROR(_xlfn.LET(_xlpm.x,VLOOKUP($C121,[1]Summary!$A$2:$J$118,5,0),IF(_xlpm.x=0,"",_xlpm.x)),"")</f>
        <v/>
      </c>
      <c r="V121" s="6" t="str">
        <f>IFERROR(_xlfn.LET(_xlpm.x,VLOOKUP($C121,[1]Summary!$A$2:$J$118,6,0),IF(_xlpm.x=0,"",_xlpm.x)),"")</f>
        <v/>
      </c>
      <c r="W121" s="6" t="str">
        <f>IFERROR(_xlfn.LET(_xlpm.x,VLOOKUP($C121,[1]Summary!$A$2:$J$118,7,0),IF(_xlpm.x=0,"",_xlpm.x)),"")</f>
        <v/>
      </c>
      <c r="X121" s="6" t="str">
        <f>IFERROR(_xlfn.LET(_xlpm.x,VLOOKUP($C121,[1]Summary!$A$2:$J$118,8,0),IF(_xlpm.x=0,"",_xlpm.x)),"")</f>
        <v/>
      </c>
      <c r="Y121" s="6" t="str">
        <f>IFERROR(_xlfn.LET(_xlpm.x,VLOOKUP($C121,[1]Summary!$A$2:$J$118,9,0),IF(_xlpm.x=0,"",_xlpm.x)),"")</f>
        <v/>
      </c>
      <c r="Z121" s="6" t="str">
        <f>IFERROR(_xlfn.LET(_xlpm.x,VLOOKUP($C121,[1]Summary!$A$2:$J$118,10,0),IF(_xlpm.x=0,"",_xlpm.x)),"")</f>
        <v/>
      </c>
    </row>
    <row r="122" spans="1:26" x14ac:dyDescent="0.25">
      <c r="A122" s="2">
        <v>1000000000236</v>
      </c>
      <c r="B122" s="5" t="s">
        <v>252</v>
      </c>
      <c r="C122" s="2">
        <v>3000000000561</v>
      </c>
      <c r="D122" s="5" t="s">
        <v>210</v>
      </c>
      <c r="E122" s="1">
        <v>4</v>
      </c>
      <c r="F122" s="1" t="s">
        <v>28</v>
      </c>
      <c r="G122" s="1">
        <v>4</v>
      </c>
      <c r="H122" s="1">
        <v>2</v>
      </c>
      <c r="I122" s="1">
        <v>2</v>
      </c>
      <c r="J122" s="1"/>
      <c r="K122" s="1">
        <v>50</v>
      </c>
      <c r="L122" s="1" t="str">
        <f>IFERROR(_xlfn.LET(_xlpm.x,VLOOKUP($A122,'[1]Markings Threadings'!$B$3:$L$245,3,0),IF(_xlpm.x=0,"",_xlpm.x)),"")</f>
        <v>White</v>
      </c>
      <c r="M122" s="2">
        <f>IFERROR(_xlfn.LET(_xlpm.x,VLOOKUP($A122,'[1]Markings Threadings'!$B$3:$L$245,7,0),IF(_xlpm.x=0,"",_xlpm.x)),"")</f>
        <v>5000000000416</v>
      </c>
      <c r="N122" s="5" t="str">
        <f>IFERROR(_xlfn.LET(_xlpm.x,VLOOKUP($A122,'[1]Markings Threadings'!$B$3:$L$245,8,0),IF(_xlpm.x=0,"",_xlpm.x)),"")</f>
        <v>Elite XP Hog Litter Developer 50kg. Mocha PP bag</v>
      </c>
      <c r="O122" s="2">
        <f>IFERROR(_xlfn.LET(_xlpm.x,VLOOKUP($A122,'[1]Markings Threadings'!$B$3:$L$245,10,0),IF(_xlpm.x=0,"",_xlpm.x)),"")</f>
        <v>5000000000482</v>
      </c>
      <c r="P122" s="5" t="str">
        <f>IFERROR(_xlfn.LET(_xlpm.x,VLOOKUP($A122,'[1]Markings Threadings'!$B$3:$L$245,11,0),IF(_xlpm.x=0,"",_xlpm.x)),"")</f>
        <v>Tag- Elite XP Litter Development, Pellet 50 kg</v>
      </c>
      <c r="Q122" s="1" t="str">
        <f>IFERROR(_xlfn.LET(_xlpm.x,VLOOKUP($A122,'[1]Markings Threadings'!$B$3:$L$245,4,0),IF(_xlpm.x=0,"",_xlpm.x)),"")</f>
        <v/>
      </c>
      <c r="R122" s="1" t="str">
        <f>IFERROR(_xlfn.LET(_xlpm.x,VLOOKUP($A122,'[1]Markings Threadings'!$B$3:$L$245,5,0),IF(_xlpm.x=0,"",_xlpm.x)),"")</f>
        <v/>
      </c>
      <c r="S122" s="1">
        <f>IFERROR(_xlfn.LET(_xlpm.x,VLOOKUP($A122,'[1]Markings Threadings'!$B$3:$L$245,6,0),IF(_xlpm.x=0,"",_xlpm.x)),"")</f>
        <v>1</v>
      </c>
      <c r="T122" s="6" t="str">
        <f>IFERROR(_xlfn.LET(_xlpm.x,VLOOKUP($C122,[1]Summary!$A$2:$J$118,4,0),IF(_xlpm.x=0,"",_xlpm.x)),"")</f>
        <v/>
      </c>
      <c r="U122" s="6">
        <f>IFERROR(_xlfn.LET(_xlpm.x,VLOOKUP($C122,[1]Summary!$A$2:$J$118,5,0),IF(_xlpm.x=0,"",_xlpm.x)),"")</f>
        <v>19.847961012443577</v>
      </c>
      <c r="V122" s="6" t="str">
        <f>IFERROR(_xlfn.LET(_xlpm.x,VLOOKUP($C122,[1]Summary!$A$2:$J$118,6,0),IF(_xlpm.x=0,"",_xlpm.x)),"")</f>
        <v/>
      </c>
      <c r="W122" s="6" t="str">
        <f>IFERROR(_xlfn.LET(_xlpm.x,VLOOKUP($C122,[1]Summary!$A$2:$J$118,7,0),IF(_xlpm.x=0,"",_xlpm.x)),"")</f>
        <v/>
      </c>
      <c r="X122" s="6" t="str">
        <f>IFERROR(_xlfn.LET(_xlpm.x,VLOOKUP($C122,[1]Summary!$A$2:$J$118,8,0),IF(_xlpm.x=0,"",_xlpm.x)),"")</f>
        <v/>
      </c>
      <c r="Y122" s="6" t="str">
        <f>IFERROR(_xlfn.LET(_xlpm.x,VLOOKUP($C122,[1]Summary!$A$2:$J$118,9,0),IF(_xlpm.x=0,"",_xlpm.x)),"")</f>
        <v/>
      </c>
      <c r="Z122" s="6" t="str">
        <f>IFERROR(_xlfn.LET(_xlpm.x,VLOOKUP($C122,[1]Summary!$A$2:$J$118,10,0),IF(_xlpm.x=0,"",_xlpm.x)),"")</f>
        <v/>
      </c>
    </row>
    <row r="123" spans="1:26" x14ac:dyDescent="0.25">
      <c r="A123" s="2">
        <v>1000000000940</v>
      </c>
      <c r="B123" s="5" t="s">
        <v>253</v>
      </c>
      <c r="C123" s="2">
        <v>3000000000613</v>
      </c>
      <c r="D123" s="5" t="s">
        <v>254</v>
      </c>
      <c r="E123" s="1">
        <v>4</v>
      </c>
      <c r="F123" s="1" t="s">
        <v>28</v>
      </c>
      <c r="G123" s="1">
        <v>4</v>
      </c>
      <c r="H123" s="1">
        <v>2</v>
      </c>
      <c r="I123" s="1">
        <v>2</v>
      </c>
      <c r="J123" s="1"/>
      <c r="K123" s="1">
        <v>50</v>
      </c>
      <c r="L123" s="1" t="str">
        <f>IFERROR(_xlfn.LET(_xlpm.x,VLOOKUP($A123,'[1]Markings Threadings'!$B$3:$L$245,3,0),IF(_xlpm.x=0,"",_xlpm.x)),"")</f>
        <v>White</v>
      </c>
      <c r="M123" s="2">
        <f>IFERROR(_xlfn.LET(_xlpm.x,VLOOKUP($A123,'[1]Markings Threadings'!$B$3:$L$245,7,0),IF(_xlpm.x=0,"",_xlpm.x)),"")</f>
        <v>5000000000351</v>
      </c>
      <c r="N123" s="5" t="str">
        <f>IFERROR(_xlfn.LET(_xlpm.x,VLOOKUP($A123,'[1]Markings Threadings'!$B$3:$L$245,8,0),IF(_xlpm.x=0,"",_xlpm.x)),"")</f>
        <v>Packaging: Classic Hog Finex, 50kg white</v>
      </c>
      <c r="O123" s="2">
        <f>IFERROR(_xlfn.LET(_xlpm.x,VLOOKUP($A123,'[1]Markings Threadings'!$B$3:$L$245,10,0),IF(_xlpm.x=0,"",_xlpm.x)),"")</f>
        <v>5000000000353</v>
      </c>
      <c r="P123" s="5" t="str">
        <f>IFERROR(_xlfn.LET(_xlpm.x,VLOOKUP($A123,'[1]Markings Threadings'!$B$3:$L$245,11,0),IF(_xlpm.x=0,"",_xlpm.x)),"")</f>
        <v>Tag - Classic Finex, Pellet 50kg</v>
      </c>
      <c r="Q123" s="1" t="str">
        <f>IFERROR(_xlfn.LET(_xlpm.x,VLOOKUP($A123,'[1]Markings Threadings'!$B$3:$L$245,4,0),IF(_xlpm.x=0,"",_xlpm.x)),"")</f>
        <v/>
      </c>
      <c r="R123" s="1" t="str">
        <f>IFERROR(_xlfn.LET(_xlpm.x,VLOOKUP($A123,'[1]Markings Threadings'!$B$3:$L$245,5,0),IF(_xlpm.x=0,"",_xlpm.x)),"")</f>
        <v/>
      </c>
      <c r="S123" s="1">
        <f>IFERROR(_xlfn.LET(_xlpm.x,VLOOKUP($A123,'[1]Markings Threadings'!$B$3:$L$245,6,0),IF(_xlpm.x=0,"",_xlpm.x)),"")</f>
        <v>1</v>
      </c>
      <c r="T123" s="6" t="str">
        <f>IFERROR(_xlfn.LET(_xlpm.x,VLOOKUP($C123,[1]Summary!$A$2:$J$118,4,0),IF(_xlpm.x=0,"",_xlpm.x)),"")</f>
        <v/>
      </c>
      <c r="U123" s="6">
        <f>IFERROR(_xlfn.LET(_xlpm.x,VLOOKUP($C123,[1]Summary!$A$2:$J$118,5,0),IF(_xlpm.x=0,"",_xlpm.x)),"")</f>
        <v>20.042797220959756</v>
      </c>
      <c r="V123" s="6" t="str">
        <f>IFERROR(_xlfn.LET(_xlpm.x,VLOOKUP($C123,[1]Summary!$A$2:$J$118,6,0),IF(_xlpm.x=0,"",_xlpm.x)),"")</f>
        <v/>
      </c>
      <c r="W123" s="6" t="str">
        <f>IFERROR(_xlfn.LET(_xlpm.x,VLOOKUP($C123,[1]Summary!$A$2:$J$118,7,0),IF(_xlpm.x=0,"",_xlpm.x)),"")</f>
        <v/>
      </c>
      <c r="X123" s="6" t="str">
        <f>IFERROR(_xlfn.LET(_xlpm.x,VLOOKUP($C123,[1]Summary!$A$2:$J$118,8,0),IF(_xlpm.x=0,"",_xlpm.x)),"")</f>
        <v/>
      </c>
      <c r="Y123" s="6" t="str">
        <f>IFERROR(_xlfn.LET(_xlpm.x,VLOOKUP($C123,[1]Summary!$A$2:$J$118,9,0),IF(_xlpm.x=0,"",_xlpm.x)),"")</f>
        <v/>
      </c>
      <c r="Z123" s="6" t="str">
        <f>IFERROR(_xlfn.LET(_xlpm.x,VLOOKUP($C123,[1]Summary!$A$2:$J$118,10,0),IF(_xlpm.x=0,"",_xlpm.x)),"")</f>
        <v/>
      </c>
    </row>
    <row r="124" spans="1:26" x14ac:dyDescent="0.25">
      <c r="A124" s="2">
        <v>3000000000051</v>
      </c>
      <c r="B124" s="5" t="s">
        <v>255</v>
      </c>
      <c r="C124" s="2">
        <v>3000000000051</v>
      </c>
      <c r="D124" s="5" t="s">
        <v>256</v>
      </c>
      <c r="E124" s="1">
        <v>3</v>
      </c>
      <c r="F124" s="1" t="s">
        <v>86</v>
      </c>
      <c r="G124" s="1">
        <v>4</v>
      </c>
      <c r="H124" s="1">
        <v>2</v>
      </c>
      <c r="I124" s="1">
        <v>2</v>
      </c>
      <c r="J124" s="1"/>
      <c r="K124" s="1">
        <v>50</v>
      </c>
      <c r="L124" s="1" t="str">
        <f>IFERROR(_xlfn.LET(_xlpm.x,VLOOKUP($A124,'[1]Markings Threadings'!$B$3:$L$245,3,0),IF(_xlpm.x=0,"",_xlpm.x)),"")</f>
        <v>Yellow</v>
      </c>
      <c r="M124" s="2">
        <f>IFERROR(_xlfn.LET(_xlpm.x,VLOOKUP($A124,'[1]Markings Threadings'!$B$3:$L$245,7,0),IF(_xlpm.x=0,"",_xlpm.x)),"")</f>
        <v>5000000000717</v>
      </c>
      <c r="N124" s="5" t="str">
        <f>IFERROR(_xlfn.LET(_xlpm.x,VLOOKUP($A124,'[1]Markings Threadings'!$B$3:$L$245,8,0),IF(_xlpm.x=0,"",_xlpm.x)),"")</f>
        <v>Empty Sack - Salto Baby Stag Developer, 50kg</v>
      </c>
      <c r="O124" s="2">
        <f>IFERROR(_xlfn.LET(_xlpm.x,VLOOKUP($A124,'[1]Markings Threadings'!$B$3:$L$245,10,0),IF(_xlpm.x=0,"",_xlpm.x)),"")</f>
        <v>5000000000720</v>
      </c>
      <c r="P124" s="5" t="str">
        <f>IFERROR(_xlfn.LET(_xlpm.x,VLOOKUP($A124,'[1]Markings Threadings'!$B$3:$L$245,11,0),IF(_xlpm.x=0,"",_xlpm.x)),"")</f>
        <v>Tag - Salto Baby Stag Developer, 50kg</v>
      </c>
      <c r="Q124" s="1" t="str">
        <f>IFERROR(_xlfn.LET(_xlpm.x,VLOOKUP($A124,'[1]Markings Threadings'!$B$3:$L$245,4,0),IF(_xlpm.x=0,"",_xlpm.x)),"")</f>
        <v>051</v>
      </c>
      <c r="R124" s="1" t="str">
        <f>IFERROR(_xlfn.LET(_xlpm.x,VLOOKUP($A124,'[1]Markings Threadings'!$B$3:$L$245,5,0),IF(_xlpm.x=0,"",_xlpm.x)),"")</f>
        <v/>
      </c>
      <c r="S124" s="1">
        <f>IFERROR(_xlfn.LET(_xlpm.x,VLOOKUP($A124,'[1]Markings Threadings'!$B$3:$L$245,6,0),IF(_xlpm.x=0,"",_xlpm.x)),"")</f>
        <v>2</v>
      </c>
      <c r="T124" s="6" t="str">
        <f>IFERROR(_xlfn.LET(_xlpm.x,VLOOKUP($C124,[1]Summary!$A$2:$J$118,4,0),IF(_xlpm.x=0,"",_xlpm.x)),"")</f>
        <v/>
      </c>
      <c r="U124" s="6" t="str">
        <f>IFERROR(_xlfn.LET(_xlpm.x,VLOOKUP($C124,[1]Summary!$A$2:$J$118,5,0),IF(_xlpm.x=0,"",_xlpm.x)),"")</f>
        <v/>
      </c>
      <c r="V124" s="6" t="str">
        <f>IFERROR(_xlfn.LET(_xlpm.x,VLOOKUP($C124,[1]Summary!$A$2:$J$118,6,0),IF(_xlpm.x=0,"",_xlpm.x)),"")</f>
        <v/>
      </c>
      <c r="W124" s="6" t="str">
        <f>IFERROR(_xlfn.LET(_xlpm.x,VLOOKUP($C124,[1]Summary!$A$2:$J$118,7,0),IF(_xlpm.x=0,"",_xlpm.x)),"")</f>
        <v/>
      </c>
      <c r="X124" s="6" t="str">
        <f>IFERROR(_xlfn.LET(_xlpm.x,VLOOKUP($C124,[1]Summary!$A$2:$J$118,8,0),IF(_xlpm.x=0,"",_xlpm.x)),"")</f>
        <v/>
      </c>
      <c r="Y124" s="6" t="str">
        <f>IFERROR(_xlfn.LET(_xlpm.x,VLOOKUP($C124,[1]Summary!$A$2:$J$118,9,0),IF(_xlpm.x=0,"",_xlpm.x)),"")</f>
        <v/>
      </c>
      <c r="Z124" s="6" t="str">
        <f>IFERROR(_xlfn.LET(_xlpm.x,VLOOKUP($C124,[1]Summary!$A$2:$J$118,10,0),IF(_xlpm.x=0,"",_xlpm.x)),"")</f>
        <v/>
      </c>
    </row>
    <row r="125" spans="1:26" x14ac:dyDescent="0.25">
      <c r="A125" s="2">
        <v>3000000000480</v>
      </c>
      <c r="B125" s="5" t="s">
        <v>257</v>
      </c>
      <c r="C125" s="2">
        <v>3000000000480</v>
      </c>
      <c r="D125" s="5" t="s">
        <v>257</v>
      </c>
      <c r="E125" s="1">
        <v>3</v>
      </c>
      <c r="F125" s="1" t="s">
        <v>86</v>
      </c>
      <c r="G125" s="1">
        <v>4</v>
      </c>
      <c r="H125" s="1">
        <v>2</v>
      </c>
      <c r="I125" s="1">
        <v>2</v>
      </c>
      <c r="J125" s="1"/>
      <c r="K125" s="1">
        <v>50</v>
      </c>
      <c r="L125" s="1" t="str">
        <f>IFERROR(_xlfn.LET(_xlpm.x,VLOOKUP($A125,'[1]Markings Threadings'!$B$3:$L$245,3,0),IF(_xlpm.x=0,"",_xlpm.x)),"")</f>
        <v>Red</v>
      </c>
      <c r="M125" s="2">
        <f>IFERROR(_xlfn.LET(_xlpm.x,VLOOKUP($A125,'[1]Markings Threadings'!$B$3:$L$245,7,0),IF(_xlpm.x=0,"",_xlpm.x)),"")</f>
        <v>5000000000041</v>
      </c>
      <c r="N125" s="5" t="str">
        <f>IFERROR(_xlfn.LET(_xlpm.x,VLOOKUP($A125,'[1]Markings Threadings'!$B$3:$L$245,8,0),IF(_xlpm.x=0,"",_xlpm.x)),"")</f>
        <v>Sack Plain Green 50 kg</v>
      </c>
      <c r="O125" s="2">
        <f>IFERROR(_xlfn.LET(_xlpm.x,VLOOKUP($A125,'[1]Markings Threadings'!$B$3:$L$245,10,0),IF(_xlpm.x=0,"",_xlpm.x)),"")</f>
        <v>5000000000152</v>
      </c>
      <c r="P125" s="5" t="str">
        <f>IFERROR(_xlfn.LET(_xlpm.x,VLOOKUP($A125,'[1]Markings Threadings'!$B$3:$L$245,11,0),IF(_xlpm.x=0,"",_xlpm.x)),"")</f>
        <v>Tag - Gallimax 2 Plus Ready Mix, 50kg</v>
      </c>
      <c r="Q125" s="1" t="str">
        <f>IFERROR(_xlfn.LET(_xlpm.x,VLOOKUP($A125,'[1]Markings Threadings'!$B$3:$L$245,4,0),IF(_xlpm.x=0,"",_xlpm.x)),"")</f>
        <v>2+ RED pellet</v>
      </c>
      <c r="R125" s="1" t="str">
        <f>IFERROR(_xlfn.LET(_xlpm.x,VLOOKUP($A125,'[1]Markings Threadings'!$B$3:$L$245,5,0),IF(_xlpm.x=0,"",_xlpm.x)),"")</f>
        <v/>
      </c>
      <c r="S125" s="1">
        <f>IFERROR(_xlfn.LET(_xlpm.x,VLOOKUP($A125,'[1]Markings Threadings'!$B$3:$L$245,6,0),IF(_xlpm.x=0,"",_xlpm.x)),"")</f>
        <v>2</v>
      </c>
      <c r="T125" s="6">
        <f>IFERROR(_xlfn.LET(_xlpm.x,VLOOKUP($C125,[1]Summary!$A$2:$J$118,4,0),IF(_xlpm.x=0,"",_xlpm.x)),"")</f>
        <v>19.08708087341541</v>
      </c>
      <c r="U125" s="6" t="str">
        <f>IFERROR(_xlfn.LET(_xlpm.x,VLOOKUP($C125,[1]Summary!$A$2:$J$118,5,0),IF(_xlpm.x=0,"",_xlpm.x)),"")</f>
        <v/>
      </c>
      <c r="V125" s="6" t="str">
        <f>IFERROR(_xlfn.LET(_xlpm.x,VLOOKUP($C125,[1]Summary!$A$2:$J$118,6,0),IF(_xlpm.x=0,"",_xlpm.x)),"")</f>
        <v/>
      </c>
      <c r="W125" s="6" t="str">
        <f>IFERROR(_xlfn.LET(_xlpm.x,VLOOKUP($C125,[1]Summary!$A$2:$J$118,7,0),IF(_xlpm.x=0,"",_xlpm.x)),"")</f>
        <v/>
      </c>
      <c r="X125" s="6" t="str">
        <f>IFERROR(_xlfn.LET(_xlpm.x,VLOOKUP($C125,[1]Summary!$A$2:$J$118,8,0),IF(_xlpm.x=0,"",_xlpm.x)),"")</f>
        <v/>
      </c>
      <c r="Y125" s="6" t="str">
        <f>IFERROR(_xlfn.LET(_xlpm.x,VLOOKUP($C125,[1]Summary!$A$2:$J$118,9,0),IF(_xlpm.x=0,"",_xlpm.x)),"")</f>
        <v/>
      </c>
      <c r="Z125" s="6" t="str">
        <f>IFERROR(_xlfn.LET(_xlpm.x,VLOOKUP($C125,[1]Summary!$A$2:$J$118,10,0),IF(_xlpm.x=0,"",_xlpm.x)),"")</f>
        <v/>
      </c>
    </row>
    <row r="126" spans="1:26" x14ac:dyDescent="0.25">
      <c r="A126" s="2">
        <v>3000000000033</v>
      </c>
      <c r="B126" s="5" t="s">
        <v>258</v>
      </c>
      <c r="C126" s="2">
        <v>3000000000033</v>
      </c>
      <c r="D126" s="5" t="s">
        <v>259</v>
      </c>
      <c r="E126" s="1">
        <v>3</v>
      </c>
      <c r="F126" s="1" t="s">
        <v>86</v>
      </c>
      <c r="G126" s="1">
        <v>4</v>
      </c>
      <c r="H126" s="1">
        <v>2</v>
      </c>
      <c r="I126" s="1">
        <v>2</v>
      </c>
      <c r="J126" s="1"/>
      <c r="K126" s="1">
        <v>50</v>
      </c>
      <c r="L126" s="1" t="str">
        <f>IFERROR(_xlfn.LET(_xlpm.x,VLOOKUP($A126,'[1]Markings Threadings'!$B$3:$L$245,3,0),IF(_xlpm.x=0,"",_xlpm.x)),"")</f>
        <v>Green</v>
      </c>
      <c r="M126" s="2">
        <f>IFERROR(_xlfn.LET(_xlpm.x,VLOOKUP($A126,'[1]Markings Threadings'!$B$3:$L$245,7,0),IF(_xlpm.x=0,"",_xlpm.x)),"")</f>
        <v>5000000000718</v>
      </c>
      <c r="N126" s="5" t="str">
        <f>IFERROR(_xlfn.LET(_xlpm.x,VLOOKUP($A126,'[1]Markings Threadings'!$B$3:$L$245,8,0),IF(_xlpm.x=0,"",_xlpm.x)),"")</f>
        <v>Empty Sack - Salto Stag Developer, 50kg</v>
      </c>
      <c r="O126" s="2">
        <f>IFERROR(_xlfn.LET(_xlpm.x,VLOOKUP($A126,'[1]Markings Threadings'!$B$3:$L$245,10,0),IF(_xlpm.x=0,"",_xlpm.x)),"")</f>
        <v>5000000000721</v>
      </c>
      <c r="P126" s="5" t="str">
        <f>IFERROR(_xlfn.LET(_xlpm.x,VLOOKUP($A126,'[1]Markings Threadings'!$B$3:$L$245,11,0),IF(_xlpm.x=0,"",_xlpm.x)),"")</f>
        <v>Tag - Salto Stag Developer, 50kg</v>
      </c>
      <c r="Q126" s="1" t="str">
        <f>IFERROR(_xlfn.LET(_xlpm.x,VLOOKUP($A126,'[1]Markings Threadings'!$B$3:$L$245,4,0),IF(_xlpm.x=0,"",_xlpm.x)),"")</f>
        <v>033</v>
      </c>
      <c r="R126" s="1" t="str">
        <f>IFERROR(_xlfn.LET(_xlpm.x,VLOOKUP($A126,'[1]Markings Threadings'!$B$3:$L$245,5,0),IF(_xlpm.x=0,"",_xlpm.x)),"")</f>
        <v/>
      </c>
      <c r="S126" s="1">
        <f>IFERROR(_xlfn.LET(_xlpm.x,VLOOKUP($A126,'[1]Markings Threadings'!$B$3:$L$245,6,0),IF(_xlpm.x=0,"",_xlpm.x)),"")</f>
        <v>2</v>
      </c>
      <c r="T126" s="6">
        <f>IFERROR(_xlfn.LET(_xlpm.x,VLOOKUP($C126,[1]Summary!$A$2:$J$118,4,0),IF(_xlpm.x=0,"",_xlpm.x)),"")</f>
        <v>19.084082256383439</v>
      </c>
      <c r="U126" s="6" t="str">
        <f>IFERROR(_xlfn.LET(_xlpm.x,VLOOKUP($C126,[1]Summary!$A$2:$J$118,5,0),IF(_xlpm.x=0,"",_xlpm.x)),"")</f>
        <v/>
      </c>
      <c r="V126" s="6" t="str">
        <f>IFERROR(_xlfn.LET(_xlpm.x,VLOOKUP($C126,[1]Summary!$A$2:$J$118,6,0),IF(_xlpm.x=0,"",_xlpm.x)),"")</f>
        <v/>
      </c>
      <c r="W126" s="6" t="str">
        <f>IFERROR(_xlfn.LET(_xlpm.x,VLOOKUP($C126,[1]Summary!$A$2:$J$118,7,0),IF(_xlpm.x=0,"",_xlpm.x)),"")</f>
        <v/>
      </c>
      <c r="X126" s="6" t="str">
        <f>IFERROR(_xlfn.LET(_xlpm.x,VLOOKUP($C126,[1]Summary!$A$2:$J$118,8,0),IF(_xlpm.x=0,"",_xlpm.x)),"")</f>
        <v/>
      </c>
      <c r="Y126" s="6" t="str">
        <f>IFERROR(_xlfn.LET(_xlpm.x,VLOOKUP($C126,[1]Summary!$A$2:$J$118,9,0),IF(_xlpm.x=0,"",_xlpm.x)),"")</f>
        <v/>
      </c>
      <c r="Z126" s="6" t="str">
        <f>IFERROR(_xlfn.LET(_xlpm.x,VLOOKUP($C126,[1]Summary!$A$2:$J$118,10,0),IF(_xlpm.x=0,"",_xlpm.x)),"")</f>
        <v/>
      </c>
    </row>
    <row r="127" spans="1:26" x14ac:dyDescent="0.25">
      <c r="A127" s="2">
        <v>1000000000219</v>
      </c>
      <c r="B127" s="5" t="s">
        <v>260</v>
      </c>
      <c r="C127" s="2">
        <v>3000000000244</v>
      </c>
      <c r="D127" s="5" t="s">
        <v>261</v>
      </c>
      <c r="E127" s="1">
        <v>3</v>
      </c>
      <c r="F127" s="1" t="s">
        <v>86</v>
      </c>
      <c r="G127" s="1">
        <v>4</v>
      </c>
      <c r="H127" s="1">
        <v>2</v>
      </c>
      <c r="I127" s="1">
        <v>2</v>
      </c>
      <c r="J127" s="1"/>
      <c r="K127" s="1">
        <v>50</v>
      </c>
      <c r="L127" s="1" t="str">
        <f>IFERROR(_xlfn.LET(_xlpm.x,VLOOKUP($A127,'[1]Markings Threadings'!$B$3:$L$245,3,0),IF(_xlpm.x=0,"",_xlpm.x)),"")</f>
        <v>White</v>
      </c>
      <c r="M127" s="2">
        <f>IFERROR(_xlfn.LET(_xlpm.x,VLOOKUP($A127,'[1]Markings Threadings'!$B$3:$L$245,7,0),IF(_xlpm.x=0,"",_xlpm.x)),"")</f>
        <v>5000000000064</v>
      </c>
      <c r="N127" s="5" t="str">
        <f>IFERROR(_xlfn.LET(_xlpm.x,VLOOKUP($A127,'[1]Markings Threadings'!$B$3:$L$245,8,0),IF(_xlpm.x=0,"",_xlpm.x)),"")</f>
        <v>Empty Sack - Gallimax 3 Maintenance Mini Pellet 50 kg</v>
      </c>
      <c r="O127" s="2">
        <f>IFERROR(_xlfn.LET(_xlpm.x,VLOOKUP($A127,'[1]Markings Threadings'!$B$3:$L$245,10,0),IF(_xlpm.x=0,"",_xlpm.x)),"")</f>
        <v>5000000000129</v>
      </c>
      <c r="P127" s="5" t="str">
        <f>IFERROR(_xlfn.LET(_xlpm.x,VLOOKUP($A127,'[1]Markings Threadings'!$B$3:$L$245,11,0),IF(_xlpm.x=0,"",_xlpm.x)),"")</f>
        <v>Tag - Gallimax 3 Maintenance mini Pellet</v>
      </c>
      <c r="Q127" s="1" t="str">
        <f>IFERROR(_xlfn.LET(_xlpm.x,VLOOKUP($A127,'[1]Markings Threadings'!$B$3:$L$245,4,0),IF(_xlpm.x=0,"",_xlpm.x)),"")</f>
        <v/>
      </c>
      <c r="R127" s="1" t="str">
        <f>IFERROR(_xlfn.LET(_xlpm.x,VLOOKUP($A127,'[1]Markings Threadings'!$B$3:$L$245,5,0),IF(_xlpm.x=0,"",_xlpm.x)),"")</f>
        <v/>
      </c>
      <c r="S127" s="1">
        <f>IFERROR(_xlfn.LET(_xlpm.x,VLOOKUP($A127,'[1]Markings Threadings'!$B$3:$L$245,6,0),IF(_xlpm.x=0,"",_xlpm.x)),"")</f>
        <v>1</v>
      </c>
      <c r="T127" s="6">
        <f>IFERROR(_xlfn.LET(_xlpm.x,VLOOKUP($C127,[1]Summary!$A$2:$J$118,4,0),IF(_xlpm.x=0,"",_xlpm.x)),"")</f>
        <v>19.1416027317233</v>
      </c>
      <c r="U127" s="6" t="str">
        <f>IFERROR(_xlfn.LET(_xlpm.x,VLOOKUP($C127,[1]Summary!$A$2:$J$118,5,0),IF(_xlpm.x=0,"",_xlpm.x)),"")</f>
        <v/>
      </c>
      <c r="V127" s="6" t="str">
        <f>IFERROR(_xlfn.LET(_xlpm.x,VLOOKUP($C127,[1]Summary!$A$2:$J$118,6,0),IF(_xlpm.x=0,"",_xlpm.x)),"")</f>
        <v/>
      </c>
      <c r="W127" s="6" t="str">
        <f>IFERROR(_xlfn.LET(_xlpm.x,VLOOKUP($C127,[1]Summary!$A$2:$J$118,7,0),IF(_xlpm.x=0,"",_xlpm.x)),"")</f>
        <v/>
      </c>
      <c r="X127" s="6" t="str">
        <f>IFERROR(_xlfn.LET(_xlpm.x,VLOOKUP($C127,[1]Summary!$A$2:$J$118,8,0),IF(_xlpm.x=0,"",_xlpm.x)),"")</f>
        <v/>
      </c>
      <c r="Y127" s="6" t="str">
        <f>IFERROR(_xlfn.LET(_xlpm.x,VLOOKUP($C127,[1]Summary!$A$2:$J$118,9,0),IF(_xlpm.x=0,"",_xlpm.x)),"")</f>
        <v/>
      </c>
      <c r="Z127" s="6" t="str">
        <f>IFERROR(_xlfn.LET(_xlpm.x,VLOOKUP($C127,[1]Summary!$A$2:$J$118,10,0),IF(_xlpm.x=0,"",_xlpm.x)),"")</f>
        <v/>
      </c>
    </row>
    <row r="128" spans="1:26" x14ac:dyDescent="0.25">
      <c r="A128" s="2">
        <v>3000000000248</v>
      </c>
      <c r="B128" s="5" t="s">
        <v>262</v>
      </c>
      <c r="C128" s="2">
        <v>3000000000248</v>
      </c>
      <c r="D128" s="5" t="s">
        <v>262</v>
      </c>
      <c r="E128" s="1">
        <v>3</v>
      </c>
      <c r="F128" s="1" t="s">
        <v>86</v>
      </c>
      <c r="G128" s="1">
        <v>4</v>
      </c>
      <c r="H128" s="1">
        <v>2</v>
      </c>
      <c r="I128" s="1">
        <v>2</v>
      </c>
      <c r="J128" s="1"/>
      <c r="K128" s="1">
        <v>50</v>
      </c>
      <c r="L128" s="1" t="str">
        <f>IFERROR(_xlfn.LET(_xlpm.x,VLOOKUP($A128,'[1]Markings Threadings'!$B$3:$L$245,3,0),IF(_xlpm.x=0,"",_xlpm.x)),"")</f>
        <v>White</v>
      </c>
      <c r="M128" s="2">
        <f>IFERROR(_xlfn.LET(_xlpm.x,VLOOKUP($A128,'[1]Markings Threadings'!$B$3:$L$245,7,0),IF(_xlpm.x=0,"",_xlpm.x)),"")</f>
        <v>5000000000041</v>
      </c>
      <c r="N128" s="5" t="str">
        <f>IFERROR(_xlfn.LET(_xlpm.x,VLOOKUP($A128,'[1]Markings Threadings'!$B$3:$L$245,8,0),IF(_xlpm.x=0,"",_xlpm.x)),"")</f>
        <v>Sack Plain Green 50 kg</v>
      </c>
      <c r="O128" s="2">
        <f>IFERROR(_xlfn.LET(_xlpm.x,VLOOKUP($A128,'[1]Markings Threadings'!$B$3:$L$245,10,0),IF(_xlpm.x=0,"",_xlpm.x)),"")</f>
        <v>5000000000152</v>
      </c>
      <c r="P128" s="5" t="str">
        <f>IFERROR(_xlfn.LET(_xlpm.x,VLOOKUP($A128,'[1]Markings Threadings'!$B$3:$L$245,11,0),IF(_xlpm.x=0,"",_xlpm.x)),"")</f>
        <v>Tag - Gallimax 2 Plus Ready Mix, 50kg</v>
      </c>
      <c r="Q128" s="1" t="str">
        <f>IFERROR(_xlfn.LET(_xlpm.x,VLOOKUP($A128,'[1]Markings Threadings'!$B$3:$L$245,4,0),IF(_xlpm.x=0,"",_xlpm.x)),"")</f>
        <v>2+ pellet</v>
      </c>
      <c r="R128" s="1" t="str">
        <f>IFERROR(_xlfn.LET(_xlpm.x,VLOOKUP($A128,'[1]Markings Threadings'!$B$3:$L$245,5,0),IF(_xlpm.x=0,"",_xlpm.x)),"")</f>
        <v/>
      </c>
      <c r="S128" s="1">
        <f>IFERROR(_xlfn.LET(_xlpm.x,VLOOKUP($A128,'[1]Markings Threadings'!$B$3:$L$245,6,0),IF(_xlpm.x=0,"",_xlpm.x)),"")</f>
        <v>2</v>
      </c>
      <c r="T128" s="6">
        <f>IFERROR(_xlfn.LET(_xlpm.x,VLOOKUP($C128,[1]Summary!$A$2:$J$118,4,0),IF(_xlpm.x=0,"",_xlpm.x)),"")</f>
        <v>19.295779887551536</v>
      </c>
      <c r="U128" s="6" t="str">
        <f>IFERROR(_xlfn.LET(_xlpm.x,VLOOKUP($C128,[1]Summary!$A$2:$J$118,5,0),IF(_xlpm.x=0,"",_xlpm.x)),"")</f>
        <v/>
      </c>
      <c r="V128" s="6" t="str">
        <f>IFERROR(_xlfn.LET(_xlpm.x,VLOOKUP($C128,[1]Summary!$A$2:$J$118,6,0),IF(_xlpm.x=0,"",_xlpm.x)),"")</f>
        <v/>
      </c>
      <c r="W128" s="6" t="str">
        <f>IFERROR(_xlfn.LET(_xlpm.x,VLOOKUP($C128,[1]Summary!$A$2:$J$118,7,0),IF(_xlpm.x=0,"",_xlpm.x)),"")</f>
        <v/>
      </c>
      <c r="X128" s="6" t="str">
        <f>IFERROR(_xlfn.LET(_xlpm.x,VLOOKUP($C128,[1]Summary!$A$2:$J$118,8,0),IF(_xlpm.x=0,"",_xlpm.x)),"")</f>
        <v/>
      </c>
      <c r="Y128" s="6" t="str">
        <f>IFERROR(_xlfn.LET(_xlpm.x,VLOOKUP($C128,[1]Summary!$A$2:$J$118,9,0),IF(_xlpm.x=0,"",_xlpm.x)),"")</f>
        <v/>
      </c>
      <c r="Z128" s="6" t="str">
        <f>IFERROR(_xlfn.LET(_xlpm.x,VLOOKUP($C128,[1]Summary!$A$2:$J$118,10,0),IF(_xlpm.x=0,"",_xlpm.x)),"")</f>
        <v/>
      </c>
    </row>
    <row r="129" spans="1:26" x14ac:dyDescent="0.25">
      <c r="A129" s="2">
        <v>1000000000970</v>
      </c>
      <c r="B129" s="5" t="s">
        <v>263</v>
      </c>
      <c r="C129" s="2">
        <v>3000000000194</v>
      </c>
      <c r="D129" s="5" t="s">
        <v>264</v>
      </c>
      <c r="E129" s="1">
        <v>3</v>
      </c>
      <c r="F129" s="1" t="s">
        <v>47</v>
      </c>
      <c r="G129" s="1">
        <v>4</v>
      </c>
      <c r="H129" s="1">
        <v>2</v>
      </c>
      <c r="I129" s="1">
        <v>2</v>
      </c>
      <c r="J129" s="1"/>
      <c r="K129" s="1">
        <v>50</v>
      </c>
      <c r="L129" s="1" t="str">
        <f>IFERROR(_xlfn.LET(_xlpm.x,VLOOKUP($A129,'[1]Markings Threadings'!$B$3:$L$245,3,0),IF(_xlpm.x=0,"",_xlpm.x)),"")</f>
        <v>Red White</v>
      </c>
      <c r="M129" s="2">
        <f>IFERROR(_xlfn.LET(_xlpm.x,VLOOKUP($A129,'[1]Markings Threadings'!$B$3:$L$245,7,0),IF(_xlpm.x=0,"",_xlpm.x)),"")</f>
        <v>5000000000558</v>
      </c>
      <c r="N129" s="5" t="str">
        <f>IFERROR(_xlfn.LET(_xlpm.x,VLOOKUP($A129,'[1]Markings Threadings'!$B$3:$L$245,8,0),IF(_xlpm.x=0,"",_xlpm.x)),"")</f>
        <v>v2 - Poultry Solutions Broiler Starter, 50kg</v>
      </c>
      <c r="O129" s="2">
        <f>IFERROR(_xlfn.LET(_xlpm.x,VLOOKUP($A129,'[1]Markings Threadings'!$B$3:$L$245,10,0),IF(_xlpm.x=0,"",_xlpm.x)),"")</f>
        <v>5000000000113</v>
      </c>
      <c r="P129" s="5" t="str">
        <f>IFERROR(_xlfn.LET(_xlpm.x,VLOOKUP($A129,'[1]Markings Threadings'!$B$3:$L$245,11,0),IF(_xlpm.x=0,"",_xlpm.x)),"")</f>
        <v>Tag - Poultry Solutions Broiler Starter Crumble</v>
      </c>
      <c r="Q129" s="1" t="str">
        <f>IFERROR(_xlfn.LET(_xlpm.x,VLOOKUP($A129,'[1]Markings Threadings'!$B$3:$L$245,4,0),IF(_xlpm.x=0,"",_xlpm.x)),"")</f>
        <v>970 STR ABFI</v>
      </c>
      <c r="R129" s="1" t="str">
        <f>IFERROR(_xlfn.LET(_xlpm.x,VLOOKUP($A129,'[1]Markings Threadings'!$B$3:$L$245,5,0),IF(_xlpm.x=0,"",_xlpm.x)),"")</f>
        <v/>
      </c>
      <c r="S129" s="1">
        <f>IFERROR(_xlfn.LET(_xlpm.x,VLOOKUP($A129,'[1]Markings Threadings'!$B$3:$L$245,6,0),IF(_xlpm.x=0,"",_xlpm.x)),"")</f>
        <v>7</v>
      </c>
      <c r="T129" s="6" t="str">
        <f>IFERROR(_xlfn.LET(_xlpm.x,VLOOKUP($C129,[1]Summary!$A$2:$J$118,4,0),IF(_xlpm.x=0,"",_xlpm.x)),"")</f>
        <v/>
      </c>
      <c r="U129" s="6" t="str">
        <f>IFERROR(_xlfn.LET(_xlpm.x,VLOOKUP($C129,[1]Summary!$A$2:$J$118,5,0),IF(_xlpm.x=0,"",_xlpm.x)),"")</f>
        <v/>
      </c>
      <c r="V129" s="6">
        <f>IFERROR(_xlfn.LET(_xlpm.x,VLOOKUP($C129,[1]Summary!$A$2:$J$118,6,0),IF(_xlpm.x=0,"",_xlpm.x)),"")</f>
        <v>7.4493101886792452</v>
      </c>
      <c r="W129" s="6" t="str">
        <f>IFERROR(_xlfn.LET(_xlpm.x,VLOOKUP($C129,[1]Summary!$A$2:$J$118,7,0),IF(_xlpm.x=0,"",_xlpm.x)),"")</f>
        <v/>
      </c>
      <c r="X129" s="6" t="str">
        <f>IFERROR(_xlfn.LET(_xlpm.x,VLOOKUP($C129,[1]Summary!$A$2:$J$118,8,0),IF(_xlpm.x=0,"",_xlpm.x)),"")</f>
        <v/>
      </c>
      <c r="Y129" s="6" t="str">
        <f>IFERROR(_xlfn.LET(_xlpm.x,VLOOKUP($C129,[1]Summary!$A$2:$J$118,9,0),IF(_xlpm.x=0,"",_xlpm.x)),"")</f>
        <v/>
      </c>
      <c r="Z129" s="6" t="str">
        <f>IFERROR(_xlfn.LET(_xlpm.x,VLOOKUP($C129,[1]Summary!$A$2:$J$118,10,0),IF(_xlpm.x=0,"",_xlpm.x)),"")</f>
        <v/>
      </c>
    </row>
    <row r="130" spans="1:26" x14ac:dyDescent="0.25">
      <c r="A130" s="2">
        <v>1000000001009</v>
      </c>
      <c r="B130" s="5" t="s">
        <v>265</v>
      </c>
      <c r="C130" s="2">
        <v>3000000000176</v>
      </c>
      <c r="D130" s="5" t="s">
        <v>266</v>
      </c>
      <c r="E130" s="1"/>
      <c r="F130" s="1" t="s">
        <v>44</v>
      </c>
      <c r="G130" s="1">
        <v>3</v>
      </c>
      <c r="H130" s="1">
        <v>2</v>
      </c>
      <c r="I130" s="1">
        <v>2</v>
      </c>
      <c r="J130" s="1"/>
      <c r="K130" s="1">
        <v>500</v>
      </c>
      <c r="L130" s="1" t="str">
        <f>IFERROR(_xlfn.LET(_xlpm.x,VLOOKUP($A130,'[1]Markings Threadings'!$B$3:$L$245,3,0),IF(_xlpm.x=0,"",_xlpm.x)),"")</f>
        <v>White</v>
      </c>
      <c r="M130" s="2">
        <f>IFERROR(_xlfn.LET(_xlpm.x,VLOOKUP($A130,'[1]Markings Threadings'!$B$3:$L$245,7,0),IF(_xlpm.x=0,"",_xlpm.x)),"")</f>
        <v>5000000000601</v>
      </c>
      <c r="N130" s="5" t="str">
        <f>IFERROR(_xlfn.LET(_xlpm.x,VLOOKUP($A130,'[1]Markings Threadings'!$B$3:$L$245,8,0),IF(_xlpm.x=0,"",_xlpm.x)),"")</f>
        <v>Tote Bag 1000 kg</v>
      </c>
      <c r="O130" s="2" t="str">
        <f>IFERROR(_xlfn.LET(_xlpm.x,VLOOKUP($A130,'[1]Markings Threadings'!$B$3:$L$245,10,0),IF(_xlpm.x=0,"",_xlpm.x)),"")</f>
        <v/>
      </c>
      <c r="P130" s="5" t="str">
        <f>IFERROR(_xlfn.LET(_xlpm.x,VLOOKUP($A130,'[1]Markings Threadings'!$B$3:$L$245,11,0),IF(_xlpm.x=0,"",_xlpm.x)),"")</f>
        <v>-</v>
      </c>
      <c r="Q130" s="1" t="str">
        <f>IFERROR(_xlfn.LET(_xlpm.x,VLOOKUP($A130,'[1]Markings Threadings'!$B$3:$L$245,4,0),IF(_xlpm.x=0,"",_xlpm.x)),"")</f>
        <v/>
      </c>
      <c r="R130" s="1" t="str">
        <f>IFERROR(_xlfn.LET(_xlpm.x,VLOOKUP($A130,'[1]Markings Threadings'!$B$3:$L$245,5,0),IF(_xlpm.x=0,"",_xlpm.x)),"")</f>
        <v/>
      </c>
      <c r="S130" s="1">
        <f>IFERROR(_xlfn.LET(_xlpm.x,VLOOKUP($A130,'[1]Markings Threadings'!$B$3:$L$245,6,0),IF(_xlpm.x=0,"",_xlpm.x)),"")</f>
        <v>12</v>
      </c>
      <c r="T130" s="6" t="str">
        <f>IFERROR(_xlfn.LET(_xlpm.x,VLOOKUP($C130,[1]Summary!$A$2:$J$118,4,0),IF(_xlpm.x=0,"",_xlpm.x)),"")</f>
        <v/>
      </c>
      <c r="U130" s="6" t="str">
        <f>IFERROR(_xlfn.LET(_xlpm.x,VLOOKUP($C130,[1]Summary!$A$2:$J$118,5,0),IF(_xlpm.x=0,"",_xlpm.x)),"")</f>
        <v/>
      </c>
      <c r="V130" s="6" t="str">
        <f>IFERROR(_xlfn.LET(_xlpm.x,VLOOKUP($C130,[1]Summary!$A$2:$J$118,6,0),IF(_xlpm.x=0,"",_xlpm.x)),"")</f>
        <v/>
      </c>
      <c r="W130" s="6" t="str">
        <f>IFERROR(_xlfn.LET(_xlpm.x,VLOOKUP($C130,[1]Summary!$A$2:$J$118,7,0),IF(_xlpm.x=0,"",_xlpm.x)),"")</f>
        <v/>
      </c>
      <c r="X130" s="6" t="str">
        <f>IFERROR(_xlfn.LET(_xlpm.x,VLOOKUP($C130,[1]Summary!$A$2:$J$118,8,0),IF(_xlpm.x=0,"",_xlpm.x)),"")</f>
        <v/>
      </c>
      <c r="Y130" s="6" t="str">
        <f>IFERROR(_xlfn.LET(_xlpm.x,VLOOKUP($C130,[1]Summary!$A$2:$J$118,9,0),IF(_xlpm.x=0,"",_xlpm.x)),"")</f>
        <v/>
      </c>
      <c r="Z130" s="6" t="str">
        <f>IFERROR(_xlfn.LET(_xlpm.x,VLOOKUP($C130,[1]Summary!$A$2:$J$118,10,0),IF(_xlpm.x=0,"",_xlpm.x)),"")</f>
        <v/>
      </c>
    </row>
    <row r="131" spans="1:26" x14ac:dyDescent="0.25">
      <c r="A131" s="2">
        <v>1000000000985</v>
      </c>
      <c r="B131" s="5" t="s">
        <v>267</v>
      </c>
      <c r="C131" s="2">
        <v>3000000000266</v>
      </c>
      <c r="D131" s="5" t="s">
        <v>268</v>
      </c>
      <c r="E131" s="1">
        <v>4</v>
      </c>
      <c r="F131" s="1" t="s">
        <v>54</v>
      </c>
      <c r="G131" s="1">
        <v>4</v>
      </c>
      <c r="H131" s="1">
        <v>2</v>
      </c>
      <c r="I131" s="1">
        <v>2</v>
      </c>
      <c r="J131" s="1"/>
      <c r="K131" s="1">
        <v>50</v>
      </c>
      <c r="L131" s="1" t="str">
        <f>IFERROR(_xlfn.LET(_xlpm.x,VLOOKUP($A131,'[1]Markings Threadings'!$B$3:$L$245,3,0),IF(_xlpm.x=0,"",_xlpm.x)),"")</f>
        <v>Green</v>
      </c>
      <c r="M131" s="2">
        <f>IFERROR(_xlfn.LET(_xlpm.x,VLOOKUP($A131,'[1]Markings Threadings'!$B$3:$L$245,7,0),IF(_xlpm.x=0,"",_xlpm.x)),"")</f>
        <v>5000000000556</v>
      </c>
      <c r="N131" s="5" t="str">
        <f>IFERROR(_xlfn.LET(_xlpm.x,VLOOKUP($A131,'[1]Markings Threadings'!$B$3:$L$245,8,0),IF(_xlpm.x=0,"",_xlpm.x)),"")</f>
        <v>v2 - Poultry Solutions Breeder Layer Male, 50kg</v>
      </c>
      <c r="O131" s="2">
        <f>IFERROR(_xlfn.LET(_xlpm.x,VLOOKUP($A131,'[1]Markings Threadings'!$B$3:$L$245,10,0),IF(_xlpm.x=0,"",_xlpm.x)),"")</f>
        <v>5000000000498</v>
      </c>
      <c r="P131" s="5" t="str">
        <f>IFERROR(_xlfn.LET(_xlpm.x,VLOOKUP($A131,'[1]Markings Threadings'!$B$3:$L$245,11,0),IF(_xlpm.x=0,"",_xlpm.x)),"")</f>
        <v>Tag - Poultry Breeder Layer Male, Mash</v>
      </c>
      <c r="Q131" s="1">
        <f>IFERROR(_xlfn.LET(_xlpm.x,VLOOKUP($A131,'[1]Markings Threadings'!$B$3:$L$245,4,0),IF(_xlpm.x=0,"",_xlpm.x)),"")</f>
        <v>985</v>
      </c>
      <c r="R131" s="1" t="str">
        <f>IFERROR(_xlfn.LET(_xlpm.x,VLOOKUP($A131,'[1]Markings Threadings'!$B$3:$L$245,5,0),IF(_xlpm.x=0,"",_xlpm.x)),"")</f>
        <v/>
      </c>
      <c r="S131" s="1">
        <f>IFERROR(_xlfn.LET(_xlpm.x,VLOOKUP($A131,'[1]Markings Threadings'!$B$3:$L$245,6,0),IF(_xlpm.x=0,"",_xlpm.x)),"")</f>
        <v>4</v>
      </c>
      <c r="T131" s="6" t="str">
        <f>IFERROR(_xlfn.LET(_xlpm.x,VLOOKUP($C131,[1]Summary!$A$2:$J$118,4,0),IF(_xlpm.x=0,"",_xlpm.x)),"")</f>
        <v/>
      </c>
      <c r="U131" s="6" t="str">
        <f>IFERROR(_xlfn.LET(_xlpm.x,VLOOKUP($C131,[1]Summary!$A$2:$J$118,5,0),IF(_xlpm.x=0,"",_xlpm.x)),"")</f>
        <v/>
      </c>
      <c r="V131" s="6">
        <f>IFERROR(_xlfn.LET(_xlpm.x,VLOOKUP($C131,[1]Summary!$A$2:$J$118,6,0),IF(_xlpm.x=0,"",_xlpm.x)),"")</f>
        <v>7.6358749090909015</v>
      </c>
      <c r="W131" s="6">
        <f>IFERROR(_xlfn.LET(_xlpm.x,VLOOKUP($C131,[1]Summary!$A$2:$J$118,7,0),IF(_xlpm.x=0,"",_xlpm.x)),"")</f>
        <v>7.647461972685889</v>
      </c>
      <c r="X131" s="6" t="str">
        <f>IFERROR(_xlfn.LET(_xlpm.x,VLOOKUP($C131,[1]Summary!$A$2:$J$118,8,0),IF(_xlpm.x=0,"",_xlpm.x)),"")</f>
        <v/>
      </c>
      <c r="Y131" s="6" t="str">
        <f>IFERROR(_xlfn.LET(_xlpm.x,VLOOKUP($C131,[1]Summary!$A$2:$J$118,9,0),IF(_xlpm.x=0,"",_xlpm.x)),"")</f>
        <v/>
      </c>
      <c r="Z131" s="6" t="str">
        <f>IFERROR(_xlfn.LET(_xlpm.x,VLOOKUP($C131,[1]Summary!$A$2:$J$118,10,0),IF(_xlpm.x=0,"",_xlpm.x)),"")</f>
        <v/>
      </c>
    </row>
    <row r="132" spans="1:26" x14ac:dyDescent="0.25">
      <c r="A132" s="2">
        <v>1000000000983</v>
      </c>
      <c r="B132" s="5" t="s">
        <v>269</v>
      </c>
      <c r="C132" s="2">
        <v>3000000000262</v>
      </c>
      <c r="D132" s="5" t="s">
        <v>270</v>
      </c>
      <c r="E132" s="1">
        <v>4</v>
      </c>
      <c r="F132" s="1" t="s">
        <v>54</v>
      </c>
      <c r="G132" s="1">
        <v>4</v>
      </c>
      <c r="H132" s="1">
        <v>2</v>
      </c>
      <c r="I132" s="1">
        <v>2</v>
      </c>
      <c r="J132" s="1"/>
      <c r="K132" s="1">
        <v>50</v>
      </c>
      <c r="L132" s="1" t="str">
        <f>IFERROR(_xlfn.LET(_xlpm.x,VLOOKUP($A132,'[1]Markings Threadings'!$B$3:$L$245,3,0),IF(_xlpm.x=0,"",_xlpm.x)),"")</f>
        <v>Green</v>
      </c>
      <c r="M132" s="2">
        <f>IFERROR(_xlfn.LET(_xlpm.x,VLOOKUP($A132,'[1]Markings Threadings'!$B$3:$L$245,7,0),IF(_xlpm.x=0,"",_xlpm.x)),"")</f>
        <v>5000000000555</v>
      </c>
      <c r="N132" s="5" t="str">
        <f>IFERROR(_xlfn.LET(_xlpm.x,VLOOKUP($A132,'[1]Markings Threadings'!$B$3:$L$245,8,0),IF(_xlpm.x=0,"",_xlpm.x)),"")</f>
        <v>v2 - Poultry Solutions Breeder Layer 1, 50kg</v>
      </c>
      <c r="O132" s="2">
        <f>IFERROR(_xlfn.LET(_xlpm.x,VLOOKUP($A132,'[1]Markings Threadings'!$B$3:$L$245,10,0),IF(_xlpm.x=0,"",_xlpm.x)),"")</f>
        <v>5000000000614</v>
      </c>
      <c r="P132" s="5" t="str">
        <f>IFERROR(_xlfn.LET(_xlpm.x,VLOOKUP($A132,'[1]Markings Threadings'!$B$3:$L$245,11,0),IF(_xlpm.x=0,"",_xlpm.x)),"")</f>
        <v>Poultry Solutions Breeder Layer 1 Crumble, 50kg</v>
      </c>
      <c r="Q132" s="1" t="str">
        <f>IFERROR(_xlfn.LET(_xlpm.x,VLOOKUP($A132,'[1]Markings Threadings'!$B$3:$L$245,4,0),IF(_xlpm.x=0,"",_xlpm.x)),"")</f>
        <v>983 COBB L-1</v>
      </c>
      <c r="R132" s="1" t="str">
        <f>IFERROR(_xlfn.LET(_xlpm.x,VLOOKUP($A132,'[1]Markings Threadings'!$B$3:$L$245,5,0),IF(_xlpm.x=0,"",_xlpm.x)),"")</f>
        <v/>
      </c>
      <c r="S132" s="1">
        <f>IFERROR(_xlfn.LET(_xlpm.x,VLOOKUP($A132,'[1]Markings Threadings'!$B$3:$L$245,6,0),IF(_xlpm.x=0,"",_xlpm.x)),"")</f>
        <v>6</v>
      </c>
      <c r="T132" s="6" t="str">
        <f>IFERROR(_xlfn.LET(_xlpm.x,VLOOKUP($C132,[1]Summary!$A$2:$J$118,4,0),IF(_xlpm.x=0,"",_xlpm.x)),"")</f>
        <v/>
      </c>
      <c r="U132" s="6" t="str">
        <f>IFERROR(_xlfn.LET(_xlpm.x,VLOOKUP($C132,[1]Summary!$A$2:$J$118,5,0),IF(_xlpm.x=0,"",_xlpm.x)),"")</f>
        <v/>
      </c>
      <c r="V132" s="6">
        <f>IFERROR(_xlfn.LET(_xlpm.x,VLOOKUP($C132,[1]Summary!$A$2:$J$118,6,0),IF(_xlpm.x=0,"",_xlpm.x)),"")</f>
        <v>7.4361437746478876</v>
      </c>
      <c r="W132" s="6">
        <f>IFERROR(_xlfn.LET(_xlpm.x,VLOOKUP($C132,[1]Summary!$A$2:$J$118,7,0),IF(_xlpm.x=0,"",_xlpm.x)),"")</f>
        <v>8.2459177251184865</v>
      </c>
      <c r="X132" s="6" t="str">
        <f>IFERROR(_xlfn.LET(_xlpm.x,VLOOKUP($C132,[1]Summary!$A$2:$J$118,8,0),IF(_xlpm.x=0,"",_xlpm.x)),"")</f>
        <v/>
      </c>
      <c r="Y132" s="6">
        <f>IFERROR(_xlfn.LET(_xlpm.x,VLOOKUP($C132,[1]Summary!$A$2:$J$118,9,0),IF(_xlpm.x=0,"",_xlpm.x)),"")</f>
        <v>8.0336009552238803</v>
      </c>
      <c r="Z132" s="6" t="str">
        <f>IFERROR(_xlfn.LET(_xlpm.x,VLOOKUP($C132,[1]Summary!$A$2:$J$118,10,0),IF(_xlpm.x=0,"",_xlpm.x)),"")</f>
        <v/>
      </c>
    </row>
    <row r="133" spans="1:26" x14ac:dyDescent="0.25">
      <c r="A133" s="2">
        <v>1000000000969</v>
      </c>
      <c r="B133" s="5" t="s">
        <v>113</v>
      </c>
      <c r="C133" s="2">
        <v>3000000000192</v>
      </c>
      <c r="D133" s="5" t="s">
        <v>271</v>
      </c>
      <c r="E133" s="1">
        <v>3</v>
      </c>
      <c r="F133" s="1" t="s">
        <v>47</v>
      </c>
      <c r="G133" s="1">
        <v>4</v>
      </c>
      <c r="H133" s="1">
        <v>2</v>
      </c>
      <c r="I133" s="1">
        <v>2</v>
      </c>
      <c r="J133" s="1"/>
      <c r="K133" s="1">
        <v>50</v>
      </c>
      <c r="L133" s="1" t="str">
        <f>IFERROR(_xlfn.LET(_xlpm.x,VLOOKUP($A133,'[1]Markings Threadings'!$B$3:$L$245,3,0),IF(_xlpm.x=0,"",_xlpm.x)),"")</f>
        <v>Red White</v>
      </c>
      <c r="M133" s="2">
        <f>IFERROR(_xlfn.LET(_xlpm.x,VLOOKUP($A133,'[1]Markings Threadings'!$B$3:$L$245,7,0),IF(_xlpm.x=0,"",_xlpm.x)),"")</f>
        <v>5000000000557</v>
      </c>
      <c r="N133" s="5" t="str">
        <f>IFERROR(_xlfn.LET(_xlpm.x,VLOOKUP($A133,'[1]Markings Threadings'!$B$3:$L$245,8,0),IF(_xlpm.x=0,"",_xlpm.x)),"")</f>
        <v>v2 - Poultry Solutions Broiler Booster, 50kg</v>
      </c>
      <c r="O133" s="2">
        <f>IFERROR(_xlfn.LET(_xlpm.x,VLOOKUP($A133,'[1]Markings Threadings'!$B$3:$L$245,10,0),IF(_xlpm.x=0,"",_xlpm.x)),"")</f>
        <v>5000000000154</v>
      </c>
      <c r="P133" s="5" t="str">
        <f>IFERROR(_xlfn.LET(_xlpm.x,VLOOKUP($A133,'[1]Markings Threadings'!$B$3:$L$245,11,0),IF(_xlpm.x=0,"",_xlpm.x)),"")</f>
        <v>Tag - Poultry Solutions Broiler Booster, 50kg</v>
      </c>
      <c r="Q133" s="1" t="str">
        <f>IFERROR(_xlfn.LET(_xlpm.x,VLOOKUP($A133,'[1]Markings Threadings'!$B$3:$L$245,4,0),IF(_xlpm.x=0,"",_xlpm.x)),"")</f>
        <v>969 BSTR ABFI</v>
      </c>
      <c r="R133" s="1" t="str">
        <f>IFERROR(_xlfn.LET(_xlpm.x,VLOOKUP($A133,'[1]Markings Threadings'!$B$3:$L$245,5,0),IF(_xlpm.x=0,"",_xlpm.x)),"")</f>
        <v/>
      </c>
      <c r="S133" s="1">
        <f>IFERROR(_xlfn.LET(_xlpm.x,VLOOKUP($A133,'[1]Markings Threadings'!$B$3:$L$245,6,0),IF(_xlpm.x=0,"",_xlpm.x)),"")</f>
        <v>6</v>
      </c>
      <c r="T133" s="6" t="str">
        <f>IFERROR(_xlfn.LET(_xlpm.x,VLOOKUP($C133,[1]Summary!$A$2:$J$118,4,0),IF(_xlpm.x=0,"",_xlpm.x)),"")</f>
        <v/>
      </c>
      <c r="U133" s="6" t="str">
        <f>IFERROR(_xlfn.LET(_xlpm.x,VLOOKUP($C133,[1]Summary!$A$2:$J$118,5,0),IF(_xlpm.x=0,"",_xlpm.x)),"")</f>
        <v/>
      </c>
      <c r="V133" s="6" t="str">
        <f>IFERROR(_xlfn.LET(_xlpm.x,VLOOKUP($C133,[1]Summary!$A$2:$J$118,6,0),IF(_xlpm.x=0,"",_xlpm.x)),"")</f>
        <v/>
      </c>
      <c r="W133" s="6">
        <f>IFERROR(_xlfn.LET(_xlpm.x,VLOOKUP($C133,[1]Summary!$A$2:$J$118,7,0),IF(_xlpm.x=0,"",_xlpm.x)),"")</f>
        <v>8.6063457103448293</v>
      </c>
      <c r="X133" s="6" t="str">
        <f>IFERROR(_xlfn.LET(_xlpm.x,VLOOKUP($C133,[1]Summary!$A$2:$J$118,8,0),IF(_xlpm.x=0,"",_xlpm.x)),"")</f>
        <v/>
      </c>
      <c r="Y133" s="6" t="str">
        <f>IFERROR(_xlfn.LET(_xlpm.x,VLOOKUP($C133,[1]Summary!$A$2:$J$118,9,0),IF(_xlpm.x=0,"",_xlpm.x)),"")</f>
        <v/>
      </c>
      <c r="Z133" s="6" t="str">
        <f>IFERROR(_xlfn.LET(_xlpm.x,VLOOKUP($C133,[1]Summary!$A$2:$J$118,10,0),IF(_xlpm.x=0,"",_xlpm.x)),"")</f>
        <v/>
      </c>
    </row>
    <row r="134" spans="1:26" x14ac:dyDescent="0.25">
      <c r="A134" s="2">
        <v>3000000000072</v>
      </c>
      <c r="B134" s="5" t="s">
        <v>272</v>
      </c>
      <c r="C134" s="2">
        <v>3000000000072</v>
      </c>
      <c r="D134" s="5" t="s">
        <v>273</v>
      </c>
      <c r="E134" s="1">
        <v>3</v>
      </c>
      <c r="F134" s="1" t="s">
        <v>86</v>
      </c>
      <c r="G134" s="1">
        <v>4</v>
      </c>
      <c r="H134" s="1">
        <v>2</v>
      </c>
      <c r="I134" s="1">
        <v>2</v>
      </c>
      <c r="J134" s="1"/>
      <c r="K134" s="1">
        <v>50</v>
      </c>
      <c r="L134" s="1" t="str">
        <f>IFERROR(_xlfn.LET(_xlpm.x,VLOOKUP($A134,'[1]Markings Threadings'!$B$3:$L$245,3,0),IF(_xlpm.x=0,"",_xlpm.x)),"")</f>
        <v>White</v>
      </c>
      <c r="M134" s="2" t="str">
        <f>IFERROR(_xlfn.LET(_xlpm.x,VLOOKUP($A134,'[1]Markings Threadings'!$B$3:$L$245,7,0),IF(_xlpm.x=0,"",_xlpm.x)),"")</f>
        <v/>
      </c>
      <c r="N134" s="5" t="str">
        <f>IFERROR(_xlfn.LET(_xlpm.x,VLOOKUP($A134,'[1]Markings Threadings'!$B$3:$L$245,8,0),IF(_xlpm.x=0,"",_xlpm.x)),"")</f>
        <v/>
      </c>
      <c r="O134" s="2" t="str">
        <f>IFERROR(_xlfn.LET(_xlpm.x,VLOOKUP($A134,'[1]Markings Threadings'!$B$3:$L$245,10,0),IF(_xlpm.x=0,"",_xlpm.x)),"")</f>
        <v/>
      </c>
      <c r="P134" s="5" t="str">
        <f>IFERROR(_xlfn.LET(_xlpm.x,VLOOKUP($A134,'[1]Markings Threadings'!$B$3:$L$245,11,0),IF(_xlpm.x=0,"",_xlpm.x)),"")</f>
        <v/>
      </c>
      <c r="Q134" s="1" t="str">
        <f>IFERROR(_xlfn.LET(_xlpm.x,VLOOKUP($A134,'[1]Markings Threadings'!$B$3:$L$245,4,0),IF(_xlpm.x=0,"",_xlpm.x)),"")</f>
        <v>072</v>
      </c>
      <c r="R134" s="1" t="str">
        <f>IFERROR(_xlfn.LET(_xlpm.x,VLOOKUP($A134,'[1]Markings Threadings'!$B$3:$L$245,5,0),IF(_xlpm.x=0,"",_xlpm.x)),"")</f>
        <v/>
      </c>
      <c r="S134" s="1" t="str">
        <f>IFERROR(_xlfn.LET(_xlpm.x,VLOOKUP($A134,'[1]Markings Threadings'!$B$3:$L$245,6,0),IF(_xlpm.x=0,"",_xlpm.x)),"")</f>
        <v/>
      </c>
      <c r="T134" s="6">
        <f>IFERROR(_xlfn.LET(_xlpm.x,VLOOKUP($C134,[1]Summary!$A$2:$J$118,4,0),IF(_xlpm.x=0,"",_xlpm.x)),"")</f>
        <v>19.663669007990393</v>
      </c>
      <c r="U134" s="6" t="str">
        <f>IFERROR(_xlfn.LET(_xlpm.x,VLOOKUP($C134,[1]Summary!$A$2:$J$118,5,0),IF(_xlpm.x=0,"",_xlpm.x)),"")</f>
        <v/>
      </c>
      <c r="V134" s="6" t="str">
        <f>IFERROR(_xlfn.LET(_xlpm.x,VLOOKUP($C134,[1]Summary!$A$2:$J$118,6,0),IF(_xlpm.x=0,"",_xlpm.x)),"")</f>
        <v/>
      </c>
      <c r="W134" s="6" t="str">
        <f>IFERROR(_xlfn.LET(_xlpm.x,VLOOKUP($C134,[1]Summary!$A$2:$J$118,7,0),IF(_xlpm.x=0,"",_xlpm.x)),"")</f>
        <v/>
      </c>
      <c r="X134" s="6" t="str">
        <f>IFERROR(_xlfn.LET(_xlpm.x,VLOOKUP($C134,[1]Summary!$A$2:$J$118,8,0),IF(_xlpm.x=0,"",_xlpm.x)),"")</f>
        <v/>
      </c>
      <c r="Y134" s="6" t="str">
        <f>IFERROR(_xlfn.LET(_xlpm.x,VLOOKUP($C134,[1]Summary!$A$2:$J$118,9,0),IF(_xlpm.x=0,"",_xlpm.x)),"")</f>
        <v/>
      </c>
      <c r="Z134" s="6" t="str">
        <f>IFERROR(_xlfn.LET(_xlpm.x,VLOOKUP($C134,[1]Summary!$A$2:$J$118,10,0),IF(_xlpm.x=0,"",_xlpm.x)),"")</f>
        <v/>
      </c>
    </row>
    <row r="135" spans="1:26" x14ac:dyDescent="0.25">
      <c r="A135" s="2">
        <v>1000000000911</v>
      </c>
      <c r="B135" s="5" t="s">
        <v>274</v>
      </c>
      <c r="C135" s="2">
        <v>3000000000336</v>
      </c>
      <c r="D135" s="5" t="s">
        <v>275</v>
      </c>
      <c r="E135" s="1">
        <v>3</v>
      </c>
      <c r="F135" s="1" t="s">
        <v>86</v>
      </c>
      <c r="G135" s="1">
        <v>4</v>
      </c>
      <c r="H135" s="1">
        <v>2</v>
      </c>
      <c r="I135" s="1">
        <v>2</v>
      </c>
      <c r="J135" s="1"/>
      <c r="K135" s="1">
        <v>50</v>
      </c>
      <c r="L135" s="1" t="str">
        <f>IFERROR(_xlfn.LET(_xlpm.x,VLOOKUP($A135,'[1]Markings Threadings'!$B$3:$L$245,3,0),IF(_xlpm.x=0,"",_xlpm.x)),"")</f>
        <v>Blue</v>
      </c>
      <c r="M135" s="2">
        <f>IFERROR(_xlfn.LET(_xlpm.x,VLOOKUP($A135,'[1]Markings Threadings'!$B$3:$L$245,7,0),IF(_xlpm.x=0,"",_xlpm.x)),"")</f>
        <v>5000000000559</v>
      </c>
      <c r="N135" s="5" t="str">
        <f>IFERROR(_xlfn.LET(_xlpm.x,VLOOKUP($A135,'[1]Markings Threadings'!$B$3:$L$245,8,0),IF(_xlpm.x=0,"",_xlpm.x)),"")</f>
        <v>v2 - Poultry Solutions Broiler Finisher, 50kg</v>
      </c>
      <c r="O135" s="2">
        <f>IFERROR(_xlfn.LET(_xlpm.x,VLOOKUP($A135,'[1]Markings Threadings'!$B$3:$L$245,10,0),IF(_xlpm.x=0,"",_xlpm.x)),"")</f>
        <v>5000000000115</v>
      </c>
      <c r="P135" s="5" t="str">
        <f>IFERROR(_xlfn.LET(_xlpm.x,VLOOKUP($A135,'[1]Markings Threadings'!$B$3:$L$245,11,0),IF(_xlpm.x=0,"",_xlpm.x)),"")</f>
        <v>Tag - Poultry Solutions Broiler Finisher Crumble</v>
      </c>
      <c r="Q135" s="1" t="str">
        <f>IFERROR(_xlfn.LET(_xlpm.x,VLOOKUP($A135,'[1]Markings Threadings'!$B$3:$L$245,4,0),IF(_xlpm.x=0,"",_xlpm.x)),"")</f>
        <v>911 FIN (NM-P)</v>
      </c>
      <c r="R135" s="1" t="str">
        <f>IFERROR(_xlfn.LET(_xlpm.x,VLOOKUP($A135,'[1]Markings Threadings'!$B$3:$L$245,5,0),IF(_xlpm.x=0,"",_xlpm.x)),"")</f>
        <v/>
      </c>
      <c r="S135" s="1">
        <f>IFERROR(_xlfn.LET(_xlpm.x,VLOOKUP($A135,'[1]Markings Threadings'!$B$3:$L$245,6,0),IF(_xlpm.x=0,"",_xlpm.x)),"")</f>
        <v>7</v>
      </c>
      <c r="T135" s="6" t="str">
        <f>IFERROR(_xlfn.LET(_xlpm.x,VLOOKUP($C135,[1]Summary!$A$2:$J$118,4,0),IF(_xlpm.x=0,"",_xlpm.x)),"")</f>
        <v/>
      </c>
      <c r="U135" s="6" t="str">
        <f>IFERROR(_xlfn.LET(_xlpm.x,VLOOKUP($C135,[1]Summary!$A$2:$J$118,5,0),IF(_xlpm.x=0,"",_xlpm.x)),"")</f>
        <v/>
      </c>
      <c r="V135" s="6" t="str">
        <f>IFERROR(_xlfn.LET(_xlpm.x,VLOOKUP($C135,[1]Summary!$A$2:$J$118,6,0),IF(_xlpm.x=0,"",_xlpm.x)),"")</f>
        <v/>
      </c>
      <c r="W135" s="6" t="str">
        <f>IFERROR(_xlfn.LET(_xlpm.x,VLOOKUP($C135,[1]Summary!$A$2:$J$118,7,0),IF(_xlpm.x=0,"",_xlpm.x)),"")</f>
        <v/>
      </c>
      <c r="X135" s="6" t="str">
        <f>IFERROR(_xlfn.LET(_xlpm.x,VLOOKUP($C135,[1]Summary!$A$2:$J$118,8,0),IF(_xlpm.x=0,"",_xlpm.x)),"")</f>
        <v/>
      </c>
      <c r="Y135" s="6">
        <f>IFERROR(_xlfn.LET(_xlpm.x,VLOOKUP($C135,[1]Summary!$A$2:$J$118,9,0),IF(_xlpm.x=0,"",_xlpm.x)),"")</f>
        <v>7.9994879999999986</v>
      </c>
      <c r="Z135" s="6">
        <f>IFERROR(_xlfn.LET(_xlpm.x,VLOOKUP($C135,[1]Summary!$A$2:$J$118,10,0),IF(_xlpm.x=0,"",_xlpm.x)),"")</f>
        <v>8.4645745116279052</v>
      </c>
    </row>
    <row r="136" spans="1:26" x14ac:dyDescent="0.25">
      <c r="A136" s="2">
        <v>3000000000567</v>
      </c>
      <c r="B136" s="5" t="s">
        <v>276</v>
      </c>
      <c r="C136" s="2">
        <v>3000000000567</v>
      </c>
      <c r="D136" s="5" t="s">
        <v>277</v>
      </c>
      <c r="E136" s="1">
        <v>3</v>
      </c>
      <c r="F136" s="1" t="s">
        <v>37</v>
      </c>
      <c r="G136" s="1">
        <v>4</v>
      </c>
      <c r="H136" s="1">
        <v>2</v>
      </c>
      <c r="I136" s="1">
        <v>2</v>
      </c>
      <c r="J136" s="1"/>
      <c r="K136" s="1">
        <v>50</v>
      </c>
      <c r="L136" s="1" t="str">
        <f>IFERROR(_xlfn.LET(_xlpm.x,VLOOKUP($A136,'[1]Markings Threadings'!$B$3:$L$245,3,0),IF(_xlpm.x=0,"",_xlpm.x)),"")</f>
        <v>BLUE</v>
      </c>
      <c r="M136" s="2" t="str">
        <f>IFERROR(_xlfn.LET(_xlpm.x,VLOOKUP($A136,'[1]Markings Threadings'!$B$3:$L$245,7,0),IF(_xlpm.x=0,"",_xlpm.x)),"")</f>
        <v/>
      </c>
      <c r="N136" s="5" t="str">
        <f>IFERROR(_xlfn.LET(_xlpm.x,VLOOKUP($A136,'[1]Markings Threadings'!$B$3:$L$245,8,0),IF(_xlpm.x=0,"",_xlpm.x)),"")</f>
        <v/>
      </c>
      <c r="O136" s="2" t="str">
        <f>IFERROR(_xlfn.LET(_xlpm.x,VLOOKUP($A136,'[1]Markings Threadings'!$B$3:$L$245,10,0),IF(_xlpm.x=0,"",_xlpm.x)),"")</f>
        <v/>
      </c>
      <c r="P136" s="5" t="str">
        <f>IFERROR(_xlfn.LET(_xlpm.x,VLOOKUP($A136,'[1]Markings Threadings'!$B$3:$L$245,11,0),IF(_xlpm.x=0,"",_xlpm.x)),"")</f>
        <v/>
      </c>
      <c r="Q136" s="1">
        <f>IFERROR(_xlfn.LET(_xlpm.x,VLOOKUP($A136,'[1]Markings Threadings'!$B$3:$L$245,4,0),IF(_xlpm.x=0,"",_xlpm.x)),"")</f>
        <v>567</v>
      </c>
      <c r="R136" s="1" t="str">
        <f>IFERROR(_xlfn.LET(_xlpm.x,VLOOKUP($A136,'[1]Markings Threadings'!$B$3:$L$245,5,0),IF(_xlpm.x=0,"",_xlpm.x)),"")</f>
        <v/>
      </c>
      <c r="S136" s="1" t="str">
        <f>IFERROR(_xlfn.LET(_xlpm.x,VLOOKUP($A136,'[1]Markings Threadings'!$B$3:$L$245,6,0),IF(_xlpm.x=0,"",_xlpm.x)),"")</f>
        <v/>
      </c>
      <c r="T136" s="6" t="str">
        <f>IFERROR(_xlfn.LET(_xlpm.x,VLOOKUP($C136,[1]Summary!$A$2:$J$118,4,0),IF(_xlpm.x=0,"",_xlpm.x)),"")</f>
        <v/>
      </c>
      <c r="U136" s="6" t="str">
        <f>IFERROR(_xlfn.LET(_xlpm.x,VLOOKUP($C136,[1]Summary!$A$2:$J$118,5,0),IF(_xlpm.x=0,"",_xlpm.x)),"")</f>
        <v/>
      </c>
      <c r="V136" s="6" t="str">
        <f>IFERROR(_xlfn.LET(_xlpm.x,VLOOKUP($C136,[1]Summary!$A$2:$J$118,6,0),IF(_xlpm.x=0,"",_xlpm.x)),"")</f>
        <v/>
      </c>
      <c r="W136" s="6" t="str">
        <f>IFERROR(_xlfn.LET(_xlpm.x,VLOOKUP($C136,[1]Summary!$A$2:$J$118,7,0),IF(_xlpm.x=0,"",_xlpm.x)),"")</f>
        <v/>
      </c>
      <c r="X136" s="6" t="str">
        <f>IFERROR(_xlfn.LET(_xlpm.x,VLOOKUP($C136,[1]Summary!$A$2:$J$118,8,0),IF(_xlpm.x=0,"",_xlpm.x)),"")</f>
        <v/>
      </c>
      <c r="Y136" s="6">
        <f>IFERROR(_xlfn.LET(_xlpm.x,VLOOKUP($C136,[1]Summary!$A$2:$J$118,9,0),IF(_xlpm.x=0,"",_xlpm.x)),"")</f>
        <v>6.5007125959367951</v>
      </c>
      <c r="Z136" s="6">
        <f>IFERROR(_xlfn.LET(_xlpm.x,VLOOKUP($C136,[1]Summary!$A$2:$J$118,10,0),IF(_xlpm.x=0,"",_xlpm.x)),"")</f>
        <v>6.5671997113545872</v>
      </c>
    </row>
    <row r="137" spans="1:26" x14ac:dyDescent="0.25">
      <c r="A137" s="2">
        <v>1000000000240</v>
      </c>
      <c r="B137" s="5" t="s">
        <v>278</v>
      </c>
      <c r="C137" s="2">
        <v>3000000000569</v>
      </c>
      <c r="D137" s="5" t="s">
        <v>279</v>
      </c>
      <c r="E137" s="1">
        <v>3</v>
      </c>
      <c r="F137" s="1" t="s">
        <v>37</v>
      </c>
      <c r="G137" s="1">
        <v>4</v>
      </c>
      <c r="H137" s="1">
        <v>2</v>
      </c>
      <c r="I137" s="1">
        <v>2</v>
      </c>
      <c r="J137" s="1"/>
      <c r="K137" s="1">
        <v>25</v>
      </c>
      <c r="L137" s="1" t="str">
        <f>IFERROR(_xlfn.LET(_xlpm.x,VLOOKUP($A137,'[1]Markings Threadings'!$B$3:$L$245,3,0),IF(_xlpm.x=0,"",_xlpm.x)),"")</f>
        <v>White</v>
      </c>
      <c r="M137" s="2">
        <f>IFERROR(_xlfn.LET(_xlpm.x,VLOOKUP($A137,'[1]Markings Threadings'!$B$3:$L$245,7,0),IF(_xlpm.x=0,"",_xlpm.x)),"")</f>
        <v>5000000000422</v>
      </c>
      <c r="N137" s="5" t="str">
        <f>IFERROR(_xlfn.LET(_xlpm.x,VLOOKUP($A137,'[1]Markings Threadings'!$B$3:$L$245,8,0),IF(_xlpm.x=0,"",_xlpm.x)),"")</f>
        <v>Elite XP Hog Pre-startex, 25kg mocha PP bag</v>
      </c>
      <c r="O137" s="2">
        <f>IFERROR(_xlfn.LET(_xlpm.x,VLOOKUP($A137,'[1]Markings Threadings'!$B$3:$L$245,10,0),IF(_xlpm.x=0,"",_xlpm.x)),"")</f>
        <v>5000000000478</v>
      </c>
      <c r="P137" s="5" t="str">
        <f>IFERROR(_xlfn.LET(_xlpm.x,VLOOKUP($A137,'[1]Markings Threadings'!$B$3:$L$245,11,0),IF(_xlpm.x=0,"",_xlpm.x)),"")</f>
        <v>Tag- Elite XP Pre-Starter Mini-Pellet, Pellet 50 kg</v>
      </c>
      <c r="Q137" s="1" t="str">
        <f>IFERROR(_xlfn.LET(_xlpm.x,VLOOKUP($A137,'[1]Markings Threadings'!$B$3:$L$245,4,0),IF(_xlpm.x=0,"",_xlpm.x)),"")</f>
        <v/>
      </c>
      <c r="R137" s="1" t="str">
        <f>IFERROR(_xlfn.LET(_xlpm.x,VLOOKUP($A137,'[1]Markings Threadings'!$B$3:$L$245,5,0),IF(_xlpm.x=0,"",_xlpm.x)),"")</f>
        <v/>
      </c>
      <c r="S137" s="1">
        <f>IFERROR(_xlfn.LET(_xlpm.x,VLOOKUP($A137,'[1]Markings Threadings'!$B$3:$L$245,6,0),IF(_xlpm.x=0,"",_xlpm.x)),"")</f>
        <v>2</v>
      </c>
      <c r="T137" s="6" t="str">
        <f>IFERROR(_xlfn.LET(_xlpm.x,VLOOKUP($C137,[1]Summary!$A$2:$J$118,4,0),IF(_xlpm.x=0,"",_xlpm.x)),"")</f>
        <v/>
      </c>
      <c r="U137" s="6" t="str">
        <f>IFERROR(_xlfn.LET(_xlpm.x,VLOOKUP($C137,[1]Summary!$A$2:$J$118,5,0),IF(_xlpm.x=0,"",_xlpm.x)),"")</f>
        <v/>
      </c>
      <c r="V137" s="6" t="str">
        <f>IFERROR(_xlfn.LET(_xlpm.x,VLOOKUP($C137,[1]Summary!$A$2:$J$118,6,0),IF(_xlpm.x=0,"",_xlpm.x)),"")</f>
        <v/>
      </c>
      <c r="W137" s="6" t="str">
        <f>IFERROR(_xlfn.LET(_xlpm.x,VLOOKUP($C137,[1]Summary!$A$2:$J$118,7,0),IF(_xlpm.x=0,"",_xlpm.x)),"")</f>
        <v/>
      </c>
      <c r="X137" s="6" t="str">
        <f>IFERROR(_xlfn.LET(_xlpm.x,VLOOKUP($C137,[1]Summary!$A$2:$J$118,8,0),IF(_xlpm.x=0,"",_xlpm.x)),"")</f>
        <v/>
      </c>
      <c r="Y137" s="6">
        <f>IFERROR(_xlfn.LET(_xlpm.x,VLOOKUP($C137,[1]Summary!$A$2:$J$118,9,0),IF(_xlpm.x=0,"",_xlpm.x)),"")</f>
        <v>6.8321843166090295</v>
      </c>
      <c r="Z137" s="6">
        <f>IFERROR(_xlfn.LET(_xlpm.x,VLOOKUP($C137,[1]Summary!$A$2:$J$118,10,0),IF(_xlpm.x=0,"",_xlpm.x)),"")</f>
        <v>7.0731008656475867</v>
      </c>
    </row>
    <row r="138" spans="1:26" x14ac:dyDescent="0.25">
      <c r="A138" s="2">
        <v>1000000000914</v>
      </c>
      <c r="B138" s="5" t="s">
        <v>280</v>
      </c>
      <c r="C138" s="2">
        <v>3000000000609</v>
      </c>
      <c r="D138" s="5" t="s">
        <v>281</v>
      </c>
      <c r="E138" s="1">
        <v>4</v>
      </c>
      <c r="F138" s="1" t="s">
        <v>28</v>
      </c>
      <c r="G138" s="1">
        <v>4</v>
      </c>
      <c r="H138" s="1">
        <v>1.5</v>
      </c>
      <c r="I138" s="1">
        <v>1.5</v>
      </c>
      <c r="J138" s="1"/>
      <c r="K138" s="1">
        <v>25</v>
      </c>
      <c r="L138" s="1" t="str">
        <f>IFERROR(_xlfn.LET(_xlpm.x,VLOOKUP($A138,'[1]Markings Threadings'!$B$3:$L$245,3,0),IF(_xlpm.x=0,"",_xlpm.x)),"")</f>
        <v>White</v>
      </c>
      <c r="M138" s="2">
        <f>IFERROR(_xlfn.LET(_xlpm.x,VLOOKUP($A138,'[1]Markings Threadings'!$B$3:$L$245,7,0),IF(_xlpm.x=0,"",_xlpm.x)),"")</f>
        <v>5000000000400</v>
      </c>
      <c r="N138" s="5" t="str">
        <f>IFERROR(_xlfn.LET(_xlpm.x,VLOOKUP($A138,'[1]Markings Threadings'!$B$3:$L$245,8,0),IF(_xlpm.x=0,"",_xlpm.x)),"")</f>
        <v>Packaging - Kunemax Breeder Pellet, 25Kg</v>
      </c>
      <c r="O138" s="2">
        <f>IFERROR(_xlfn.LET(_xlpm.x,VLOOKUP($A138,'[1]Markings Threadings'!$B$3:$L$245,10,0),IF(_xlpm.x=0,"",_xlpm.x)),"")</f>
        <v>5000000000441</v>
      </c>
      <c r="P138" s="5" t="str">
        <f>IFERROR(_xlfn.LET(_xlpm.x,VLOOKUP($A138,'[1]Markings Threadings'!$B$3:$L$245,11,0),IF(_xlpm.x=0,"",_xlpm.x)),"")</f>
        <v>Tag - Kunemax Breeder Pellet, 25Kg</v>
      </c>
      <c r="Q138" s="1" t="str">
        <f>IFERROR(_xlfn.LET(_xlpm.x,VLOOKUP($A138,'[1]Markings Threadings'!$B$3:$L$245,4,0),IF(_xlpm.x=0,"",_xlpm.x)),"")</f>
        <v/>
      </c>
      <c r="R138" s="1" t="str">
        <f>IFERROR(_xlfn.LET(_xlpm.x,VLOOKUP($A138,'[1]Markings Threadings'!$B$3:$L$245,5,0),IF(_xlpm.x=0,"",_xlpm.x)),"")</f>
        <v/>
      </c>
      <c r="S138" s="1">
        <f>IFERROR(_xlfn.LET(_xlpm.x,VLOOKUP($A138,'[1]Markings Threadings'!$B$3:$L$245,6,0),IF(_xlpm.x=0,"",_xlpm.x)),"")</f>
        <v>1</v>
      </c>
      <c r="T138" s="6" t="str">
        <f>IFERROR(_xlfn.LET(_xlpm.x,VLOOKUP($C138,[1]Summary!$A$2:$J$118,4,0),IF(_xlpm.x=0,"",_xlpm.x)),"")</f>
        <v/>
      </c>
      <c r="U138" s="6" t="str">
        <f>IFERROR(_xlfn.LET(_xlpm.x,VLOOKUP($C138,[1]Summary!$A$2:$J$118,5,0),IF(_xlpm.x=0,"",_xlpm.x)),"")</f>
        <v/>
      </c>
      <c r="V138" s="6">
        <f>IFERROR(_xlfn.LET(_xlpm.x,VLOOKUP($C138,[1]Summary!$A$2:$J$118,6,0),IF(_xlpm.x=0,"",_xlpm.x)),"")</f>
        <v>6.2064993103448174</v>
      </c>
      <c r="W138" s="6" t="str">
        <f>IFERROR(_xlfn.LET(_xlpm.x,VLOOKUP($C138,[1]Summary!$A$2:$J$118,7,0),IF(_xlpm.x=0,"",_xlpm.x)),"")</f>
        <v/>
      </c>
      <c r="X138" s="6" t="str">
        <f>IFERROR(_xlfn.LET(_xlpm.x,VLOOKUP($C138,[1]Summary!$A$2:$J$118,8,0),IF(_xlpm.x=0,"",_xlpm.x)),"")</f>
        <v/>
      </c>
      <c r="Y138" s="6">
        <f>IFERROR(_xlfn.LET(_xlpm.x,VLOOKUP($C138,[1]Summary!$A$2:$J$118,9,0),IF(_xlpm.x=0,"",_xlpm.x)),"")</f>
        <v>6.0919177846153874</v>
      </c>
      <c r="Z138" s="6" t="str">
        <f>IFERROR(_xlfn.LET(_xlpm.x,VLOOKUP($C138,[1]Summary!$A$2:$J$118,10,0),IF(_xlpm.x=0,"",_xlpm.x)),"")</f>
        <v/>
      </c>
    </row>
    <row r="139" spans="1:26" x14ac:dyDescent="0.25">
      <c r="A139" s="2">
        <v>1000000000913</v>
      </c>
      <c r="B139" s="5" t="s">
        <v>282</v>
      </c>
      <c r="C139" s="2">
        <v>3000000000607</v>
      </c>
      <c r="D139" s="5" t="s">
        <v>283</v>
      </c>
      <c r="E139" s="1">
        <v>4</v>
      </c>
      <c r="F139" s="1" t="s">
        <v>28</v>
      </c>
      <c r="G139" s="1">
        <v>4</v>
      </c>
      <c r="H139" s="1">
        <v>1.5</v>
      </c>
      <c r="I139" s="1">
        <v>1.5</v>
      </c>
      <c r="J139" s="1"/>
      <c r="K139" s="1">
        <v>25</v>
      </c>
      <c r="L139" s="1" t="str">
        <f>IFERROR(_xlfn.LET(_xlpm.x,VLOOKUP($A139,'[1]Markings Threadings'!$B$3:$L$245,3,0),IF(_xlpm.x=0,"",_xlpm.x)),"")</f>
        <v>White</v>
      </c>
      <c r="M139" s="2">
        <f>IFERROR(_xlfn.LET(_xlpm.x,VLOOKUP($A139,'[1]Markings Threadings'!$B$3:$L$245,7,0),IF(_xlpm.x=0,"",_xlpm.x)),"")</f>
        <v>5000000000401</v>
      </c>
      <c r="N139" s="5" t="str">
        <f>IFERROR(_xlfn.LET(_xlpm.x,VLOOKUP($A139,'[1]Markings Threadings'!$B$3:$L$245,8,0),IF(_xlpm.x=0,"",_xlpm.x)),"")</f>
        <v>Packaging - Kunemax Grower Pellet, 25Kg</v>
      </c>
      <c r="O139" s="2">
        <f>IFERROR(_xlfn.LET(_xlpm.x,VLOOKUP($A139,'[1]Markings Threadings'!$B$3:$L$245,10,0),IF(_xlpm.x=0,"",_xlpm.x)),"")</f>
        <v>5000000000443</v>
      </c>
      <c r="P139" s="5" t="str">
        <f>IFERROR(_xlfn.LET(_xlpm.x,VLOOKUP($A139,'[1]Markings Threadings'!$B$3:$L$245,11,0),IF(_xlpm.x=0,"",_xlpm.x)),"")</f>
        <v>Tag - Kunemax Grower Pellet, 25Kg</v>
      </c>
      <c r="Q139" s="1" t="str">
        <f>IFERROR(_xlfn.LET(_xlpm.x,VLOOKUP($A139,'[1]Markings Threadings'!$B$3:$L$245,4,0),IF(_xlpm.x=0,"",_xlpm.x)),"")</f>
        <v/>
      </c>
      <c r="R139" s="1" t="str">
        <f>IFERROR(_xlfn.LET(_xlpm.x,VLOOKUP($A139,'[1]Markings Threadings'!$B$3:$L$245,5,0),IF(_xlpm.x=0,"",_xlpm.x)),"")</f>
        <v/>
      </c>
      <c r="S139" s="1">
        <f>IFERROR(_xlfn.LET(_xlpm.x,VLOOKUP($A139,'[1]Markings Threadings'!$B$3:$L$245,6,0),IF(_xlpm.x=0,"",_xlpm.x)),"")</f>
        <v>2</v>
      </c>
      <c r="T139" s="6" t="str">
        <f>IFERROR(_xlfn.LET(_xlpm.x,VLOOKUP($C139,[1]Summary!$A$2:$J$118,4,0),IF(_xlpm.x=0,"",_xlpm.x)),"")</f>
        <v/>
      </c>
      <c r="U139" s="6" t="str">
        <f>IFERROR(_xlfn.LET(_xlpm.x,VLOOKUP($C139,[1]Summary!$A$2:$J$118,5,0),IF(_xlpm.x=0,"",_xlpm.x)),"")</f>
        <v/>
      </c>
      <c r="V139" s="6">
        <f>IFERROR(_xlfn.LET(_xlpm.x,VLOOKUP($C139,[1]Summary!$A$2:$J$118,6,0),IF(_xlpm.x=0,"",_xlpm.x)),"")</f>
        <v>6.4433175048231517</v>
      </c>
      <c r="W139" s="6" t="str">
        <f>IFERROR(_xlfn.LET(_xlpm.x,VLOOKUP($C139,[1]Summary!$A$2:$J$118,7,0),IF(_xlpm.x=0,"",_xlpm.x)),"")</f>
        <v/>
      </c>
      <c r="X139" s="6" t="str">
        <f>IFERROR(_xlfn.LET(_xlpm.x,VLOOKUP($C139,[1]Summary!$A$2:$J$118,8,0),IF(_xlpm.x=0,"",_xlpm.x)),"")</f>
        <v/>
      </c>
      <c r="Y139" s="6">
        <f>IFERROR(_xlfn.LET(_xlpm.x,VLOOKUP($C139,[1]Summary!$A$2:$J$118,9,0),IF(_xlpm.x=0,"",_xlpm.x)),"")</f>
        <v>6.1153110743801644</v>
      </c>
      <c r="Z139" s="6" t="str">
        <f>IFERROR(_xlfn.LET(_xlpm.x,VLOOKUP($C139,[1]Summary!$A$2:$J$118,10,0),IF(_xlpm.x=0,"",_xlpm.x)),"")</f>
        <v/>
      </c>
    </row>
    <row r="140" spans="1:26" x14ac:dyDescent="0.25">
      <c r="A140" s="2">
        <v>1000000000546</v>
      </c>
      <c r="B140" s="5" t="s">
        <v>284</v>
      </c>
      <c r="C140" s="2">
        <v>3000000000045</v>
      </c>
      <c r="D140" s="5" t="s">
        <v>285</v>
      </c>
      <c r="E140" s="1">
        <v>3</v>
      </c>
      <c r="F140" s="1" t="s">
        <v>86</v>
      </c>
      <c r="G140" s="1">
        <v>3</v>
      </c>
      <c r="H140" s="1">
        <v>2</v>
      </c>
      <c r="I140" s="1">
        <v>2</v>
      </c>
      <c r="J140" s="1"/>
      <c r="K140" s="1">
        <v>25</v>
      </c>
      <c r="L140" s="1" t="str">
        <f>IFERROR(_xlfn.LET(_xlpm.x,VLOOKUP($A140,'[1]Markings Threadings'!$B$3:$L$245,3,0),IF(_xlpm.x=0,"",_xlpm.x)),"")</f>
        <v>White</v>
      </c>
      <c r="M140" s="2">
        <f>IFERROR(_xlfn.LET(_xlpm.x,VLOOKUP($A140,'[1]Markings Threadings'!$B$3:$L$245,7,0),IF(_xlpm.x=0,"",_xlpm.x)),"")</f>
        <v>5000000000390</v>
      </c>
      <c r="N140" s="5" t="str">
        <f>IFERROR(_xlfn.LET(_xlpm.x,VLOOKUP($A140,'[1]Markings Threadings'!$B$3:$L$245,8,0),IF(_xlpm.x=0,"",_xlpm.x)),"")</f>
        <v>Pouch Salto Conditioner MP 1kg v1</v>
      </c>
      <c r="O140" s="2">
        <f>IFERROR(_xlfn.LET(_xlpm.x,VLOOKUP($A140,'[1]Markings Threadings'!$B$3:$L$245,10,0),IF(_xlpm.x=0,"",_xlpm.x)),"")</f>
        <v>5000000000130</v>
      </c>
      <c r="P140" s="5" t="str">
        <f>IFERROR(_xlfn.LET(_xlpm.x,VLOOKUP($A140,'[1]Markings Threadings'!$B$3:$L$245,11,0),IF(_xlpm.x=0,"",_xlpm.x)),"")</f>
        <v>Tag - Salto Bundle Pack</v>
      </c>
      <c r="Q140" s="1" t="str">
        <f>IFERROR(_xlfn.LET(_xlpm.x,VLOOKUP($A140,'[1]Markings Threadings'!$B$3:$L$245,4,0),IF(_xlpm.x=0,"",_xlpm.x)),"")</f>
        <v/>
      </c>
      <c r="R140" s="1" t="str">
        <f>IFERROR(_xlfn.LET(_xlpm.x,VLOOKUP($A140,'[1]Markings Threadings'!$B$3:$L$245,5,0),IF(_xlpm.x=0,"",_xlpm.x)),"")</f>
        <v/>
      </c>
      <c r="S140" s="1">
        <f>IFERROR(_xlfn.LET(_xlpm.x,VLOOKUP($A140,'[1]Markings Threadings'!$B$3:$L$245,6,0),IF(_xlpm.x=0,"",_xlpm.x)),"")</f>
        <v>1</v>
      </c>
      <c r="T140" s="6">
        <f>IFERROR(_xlfn.LET(_xlpm.x,VLOOKUP($C140,[1]Summary!$A$2:$J$118,4,0),IF(_xlpm.x=0,"",_xlpm.x)),"")</f>
        <v>19.31013951575834</v>
      </c>
      <c r="U140" s="6" t="str">
        <f>IFERROR(_xlfn.LET(_xlpm.x,VLOOKUP($C140,[1]Summary!$A$2:$J$118,5,0),IF(_xlpm.x=0,"",_xlpm.x)),"")</f>
        <v/>
      </c>
      <c r="V140" s="6" t="str">
        <f>IFERROR(_xlfn.LET(_xlpm.x,VLOOKUP($C140,[1]Summary!$A$2:$J$118,6,0),IF(_xlpm.x=0,"",_xlpm.x)),"")</f>
        <v/>
      </c>
      <c r="W140" s="6" t="str">
        <f>IFERROR(_xlfn.LET(_xlpm.x,VLOOKUP($C140,[1]Summary!$A$2:$J$118,7,0),IF(_xlpm.x=0,"",_xlpm.x)),"")</f>
        <v/>
      </c>
      <c r="X140" s="6" t="str">
        <f>IFERROR(_xlfn.LET(_xlpm.x,VLOOKUP($C140,[1]Summary!$A$2:$J$118,8,0),IF(_xlpm.x=0,"",_xlpm.x)),"")</f>
        <v/>
      </c>
      <c r="Y140" s="6" t="str">
        <f>IFERROR(_xlfn.LET(_xlpm.x,VLOOKUP($C140,[1]Summary!$A$2:$J$118,9,0),IF(_xlpm.x=0,"",_xlpm.x)),"")</f>
        <v/>
      </c>
      <c r="Z140" s="6" t="str">
        <f>IFERROR(_xlfn.LET(_xlpm.x,VLOOKUP($C140,[1]Summary!$A$2:$J$118,10,0),IF(_xlpm.x=0,"",_xlpm.x)),"")</f>
        <v/>
      </c>
    </row>
    <row r="141" spans="1:26" x14ac:dyDescent="0.25">
      <c r="A141" s="2">
        <v>3000000001289</v>
      </c>
      <c r="B141" s="5" t="s">
        <v>286</v>
      </c>
      <c r="C141" s="2">
        <v>3000000001289</v>
      </c>
      <c r="D141" s="5" t="s">
        <v>286</v>
      </c>
      <c r="E141" s="1">
        <v>4</v>
      </c>
      <c r="F141" s="1" t="s">
        <v>28</v>
      </c>
      <c r="G141" s="1">
        <v>2</v>
      </c>
      <c r="H141" s="1">
        <v>1</v>
      </c>
      <c r="I141" s="1">
        <v>1</v>
      </c>
      <c r="J141" s="1"/>
      <c r="K141" s="1">
        <v>50</v>
      </c>
      <c r="L141" s="1" t="str">
        <f>IFERROR(_xlfn.LET(_xlpm.x,VLOOKUP($A141,'[1]Markings Threadings'!$B$3:$L$245,3,0),IF(_xlpm.x=0,"",_xlpm.x)),"")</f>
        <v>Orange</v>
      </c>
      <c r="M141" s="2" t="str">
        <f>IFERROR(_xlfn.LET(_xlpm.x,VLOOKUP($A141,'[1]Markings Threadings'!$B$3:$L$245,7,0),IF(_xlpm.x=0,"",_xlpm.x)),"")</f>
        <v/>
      </c>
      <c r="N141" s="5" t="str">
        <f>IFERROR(_xlfn.LET(_xlpm.x,VLOOKUP($A141,'[1]Markings Threadings'!$B$3:$L$245,8,0),IF(_xlpm.x=0,"",_xlpm.x)),"")</f>
        <v/>
      </c>
      <c r="O141" s="2" t="str">
        <f>IFERROR(_xlfn.LET(_xlpm.x,VLOOKUP($A141,'[1]Markings Threadings'!$B$3:$L$245,10,0),IF(_xlpm.x=0,"",_xlpm.x)),"")</f>
        <v/>
      </c>
      <c r="P141" s="5" t="str">
        <f>IFERROR(_xlfn.LET(_xlpm.x,VLOOKUP($A141,'[1]Markings Threadings'!$B$3:$L$245,11,0),IF(_xlpm.x=0,"",_xlpm.x)),"")</f>
        <v/>
      </c>
      <c r="Q141" s="1">
        <f>IFERROR(_xlfn.LET(_xlpm.x,VLOOKUP($A141,'[1]Markings Threadings'!$B$3:$L$245,4,0),IF(_xlpm.x=0,"",_xlpm.x)),"")</f>
        <v>1289</v>
      </c>
      <c r="R141" s="1" t="str">
        <f>IFERROR(_xlfn.LET(_xlpm.x,VLOOKUP($A141,'[1]Markings Threadings'!$B$3:$L$245,5,0),IF(_xlpm.x=0,"",_xlpm.x)),"")</f>
        <v/>
      </c>
      <c r="S141" s="1" t="str">
        <f>IFERROR(_xlfn.LET(_xlpm.x,VLOOKUP($A141,'[1]Markings Threadings'!$B$3:$L$245,6,0),IF(_xlpm.x=0,"",_xlpm.x)),"")</f>
        <v/>
      </c>
      <c r="T141" s="6" t="str">
        <f>IFERROR(_xlfn.LET(_xlpm.x,VLOOKUP($C141,[1]Summary!$A$2:$J$118,4,0),IF(_xlpm.x=0,"",_xlpm.x)),"")</f>
        <v/>
      </c>
      <c r="U141" s="6" t="str">
        <f>IFERROR(_xlfn.LET(_xlpm.x,VLOOKUP($C141,[1]Summary!$A$2:$J$118,5,0),IF(_xlpm.x=0,"",_xlpm.x)),"")</f>
        <v/>
      </c>
      <c r="V141" s="6" t="str">
        <f>IFERROR(_xlfn.LET(_xlpm.x,VLOOKUP($C141,[1]Summary!$A$2:$J$118,6,0),IF(_xlpm.x=0,"",_xlpm.x)),"")</f>
        <v/>
      </c>
      <c r="W141" s="6" t="str">
        <f>IFERROR(_xlfn.LET(_xlpm.x,VLOOKUP($C141,[1]Summary!$A$2:$J$118,7,0),IF(_xlpm.x=0,"",_xlpm.x)),"")</f>
        <v/>
      </c>
      <c r="X141" s="6" t="str">
        <f>IFERROR(_xlfn.LET(_xlpm.x,VLOOKUP($C141,[1]Summary!$A$2:$J$118,8,0),IF(_xlpm.x=0,"",_xlpm.x)),"")</f>
        <v/>
      </c>
      <c r="Y141" s="6">
        <f>IFERROR(_xlfn.LET(_xlpm.x,VLOOKUP($C141,[1]Summary!$A$2:$J$118,9,0),IF(_xlpm.x=0,"",_xlpm.x)),"")</f>
        <v>7.9994879999999986</v>
      </c>
      <c r="Z141" s="6" t="str">
        <f>IFERROR(_xlfn.LET(_xlpm.x,VLOOKUP($C141,[1]Summary!$A$2:$J$118,10,0),IF(_xlpm.x=0,"",_xlpm.x)),"")</f>
        <v/>
      </c>
    </row>
    <row r="142" spans="1:26" x14ac:dyDescent="0.25">
      <c r="A142" s="2">
        <v>1000000001121</v>
      </c>
      <c r="B142" s="5" t="s">
        <v>287</v>
      </c>
      <c r="C142" s="2">
        <v>3000000000162</v>
      </c>
      <c r="D142" s="5" t="s">
        <v>288</v>
      </c>
      <c r="E142" s="1"/>
      <c r="F142" s="1" t="s">
        <v>44</v>
      </c>
      <c r="G142" s="1">
        <v>2</v>
      </c>
      <c r="H142" s="1">
        <v>1</v>
      </c>
      <c r="I142" s="1">
        <v>1</v>
      </c>
      <c r="J142" s="1"/>
      <c r="K142" s="1">
        <v>25</v>
      </c>
      <c r="L142" s="1" t="str">
        <f>IFERROR(_xlfn.LET(_xlpm.x,VLOOKUP($A142,'[1]Markings Threadings'!$B$3:$L$245,3,0),IF(_xlpm.x=0,"",_xlpm.x)),"")</f>
        <v>Red</v>
      </c>
      <c r="M142" s="2">
        <f>IFERROR(_xlfn.LET(_xlpm.x,VLOOKUP($A142,'[1]Markings Threadings'!$B$3:$L$245,7,0),IF(_xlpm.x=0,"",_xlpm.x)),"")</f>
        <v>5000000000055</v>
      </c>
      <c r="N142" s="5" t="str">
        <f>IFERROR(_xlfn.LET(_xlpm.x,VLOOKUP($A142,'[1]Markings Threadings'!$B$3:$L$245,8,0),IF(_xlpm.x=0,"",_xlpm.x)),"")</f>
        <v>Pork Solution Hog Booster 25kg</v>
      </c>
      <c r="O142" s="2">
        <f>IFERROR(_xlfn.LET(_xlpm.x,VLOOKUP($A142,'[1]Markings Threadings'!$B$3:$L$245,10,0),IF(_xlpm.x=0,"",_xlpm.x)),"")</f>
        <v>5000000000109</v>
      </c>
      <c r="P142" s="5" t="str">
        <f>IFERROR(_xlfn.LET(_xlpm.x,VLOOKUP($A142,'[1]Markings Threadings'!$B$3:$L$245,11,0),IF(_xlpm.x=0,"",_xlpm.x)),"")</f>
        <v>Tag Pork Sol Hog Booster M 50kg</v>
      </c>
      <c r="Q142" s="1" t="str">
        <f>IFERROR(_xlfn.LET(_xlpm.x,VLOOKUP($A142,'[1]Markings Threadings'!$B$3:$L$245,4,0),IF(_xlpm.x=0,"",_xlpm.x)),"")</f>
        <v>1121 PLUS</v>
      </c>
      <c r="R142" s="1" t="str">
        <f>IFERROR(_xlfn.LET(_xlpm.x,VLOOKUP($A142,'[1]Markings Threadings'!$B$3:$L$245,5,0),IF(_xlpm.x=0,"",_xlpm.x)),"")</f>
        <v/>
      </c>
      <c r="S142" s="1">
        <f>IFERROR(_xlfn.LET(_xlpm.x,VLOOKUP($A142,'[1]Markings Threadings'!$B$3:$L$245,6,0),IF(_xlpm.x=0,"",_xlpm.x)),"")</f>
        <v>5</v>
      </c>
      <c r="T142" s="6" t="str">
        <f>IFERROR(_xlfn.LET(_xlpm.x,VLOOKUP($C142,[1]Summary!$A$2:$J$118,4,0),IF(_xlpm.x=0,"",_xlpm.x)),"")</f>
        <v/>
      </c>
      <c r="U142" s="6" t="str">
        <f>IFERROR(_xlfn.LET(_xlpm.x,VLOOKUP($C142,[1]Summary!$A$2:$J$118,5,0),IF(_xlpm.x=0,"",_xlpm.x)),"")</f>
        <v/>
      </c>
      <c r="V142" s="6" t="str">
        <f>IFERROR(_xlfn.LET(_xlpm.x,VLOOKUP($C142,[1]Summary!$A$2:$J$118,6,0),IF(_xlpm.x=0,"",_xlpm.x)),"")</f>
        <v/>
      </c>
      <c r="W142" s="6" t="str">
        <f>IFERROR(_xlfn.LET(_xlpm.x,VLOOKUP($C142,[1]Summary!$A$2:$J$118,7,0),IF(_xlpm.x=0,"",_xlpm.x)),"")</f>
        <v/>
      </c>
      <c r="X142" s="6" t="str">
        <f>IFERROR(_xlfn.LET(_xlpm.x,VLOOKUP($C142,[1]Summary!$A$2:$J$118,8,0),IF(_xlpm.x=0,"",_xlpm.x)),"")</f>
        <v/>
      </c>
      <c r="Y142" s="6" t="str">
        <f>IFERROR(_xlfn.LET(_xlpm.x,VLOOKUP($C142,[1]Summary!$A$2:$J$118,9,0),IF(_xlpm.x=0,"",_xlpm.x)),"")</f>
        <v/>
      </c>
      <c r="Z142" s="6" t="str">
        <f>IFERROR(_xlfn.LET(_xlpm.x,VLOOKUP($C142,[1]Summary!$A$2:$J$118,10,0),IF(_xlpm.x=0,"",_xlpm.x)),"")</f>
        <v/>
      </c>
    </row>
    <row r="143" spans="1:26" x14ac:dyDescent="0.25">
      <c r="A143" s="2"/>
      <c r="B143" s="5"/>
      <c r="C143" s="2"/>
      <c r="D143" s="5"/>
      <c r="E143" s="1"/>
      <c r="F143" s="1"/>
      <c r="G143" s="1" t="e">
        <v>#N/A</v>
      </c>
      <c r="H143" s="1" t="e">
        <v>#N/A</v>
      </c>
      <c r="I143" s="1" t="e">
        <v>#N/A</v>
      </c>
      <c r="J143" s="1" t="e">
        <v>#N/A</v>
      </c>
      <c r="K143" s="1" t="e">
        <v>#N/A</v>
      </c>
      <c r="L143" s="1" t="str">
        <f>IFERROR(_xlfn.LET(_xlpm.x,VLOOKUP($A143,'[1]Markings Threadings'!$B$3:$L$245,3,0),IF(_xlpm.x=0,"",_xlpm.x)),"")</f>
        <v/>
      </c>
      <c r="M143" s="2" t="str">
        <f>IFERROR(_xlfn.LET(_xlpm.x,VLOOKUP($A143,'[1]Markings Threadings'!$B$3:$L$245,7,0),IF(_xlpm.x=0,"",_xlpm.x)),"")</f>
        <v/>
      </c>
      <c r="N143" s="5" t="str">
        <f>IFERROR(_xlfn.LET(_xlpm.x,VLOOKUP($A143,'[1]Markings Threadings'!$B$3:$L$245,8,0),IF(_xlpm.x=0,"",_xlpm.x)),"")</f>
        <v/>
      </c>
      <c r="O143" s="2" t="str">
        <f>IFERROR(_xlfn.LET(_xlpm.x,VLOOKUP($A143,'[1]Markings Threadings'!$B$3:$L$245,10,0),IF(_xlpm.x=0,"",_xlpm.x)),"")</f>
        <v/>
      </c>
      <c r="P143" s="5" t="str">
        <f>IFERROR(_xlfn.LET(_xlpm.x,VLOOKUP($A143,'[1]Markings Threadings'!$B$3:$L$245,11,0),IF(_xlpm.x=0,"",_xlpm.x)),"")</f>
        <v/>
      </c>
      <c r="Q143" s="1" t="str">
        <f>IFERROR(_xlfn.LET(_xlpm.x,VLOOKUP($A143,'[1]Markings Threadings'!$B$3:$L$245,4,0),IF(_xlpm.x=0,"",_xlpm.x)),"")</f>
        <v/>
      </c>
      <c r="R143" s="1" t="str">
        <f>IFERROR(_xlfn.LET(_xlpm.x,VLOOKUP($A143,'[1]Markings Threadings'!$B$3:$L$245,5,0),IF(_xlpm.x=0,"",_xlpm.x)),"")</f>
        <v/>
      </c>
      <c r="S143" s="1" t="str">
        <f>IFERROR(_xlfn.LET(_xlpm.x,VLOOKUP($A143,'[1]Markings Threadings'!$B$3:$L$245,6,0),IF(_xlpm.x=0,"",_xlpm.x)),"")</f>
        <v/>
      </c>
      <c r="T143" s="6" t="str">
        <f>IFERROR(_xlfn.LET(_xlpm.x,VLOOKUP($C143,[1]Summary!$A$2:$J$118,4,0),IF(_xlpm.x=0,"",_xlpm.x)),"")</f>
        <v/>
      </c>
      <c r="U143" s="6" t="str">
        <f>IFERROR(_xlfn.LET(_xlpm.x,VLOOKUP($C143,[1]Summary!$A$2:$J$118,5,0),IF(_xlpm.x=0,"",_xlpm.x)),"")</f>
        <v/>
      </c>
      <c r="V143" s="6" t="str">
        <f>IFERROR(_xlfn.LET(_xlpm.x,VLOOKUP($C143,[1]Summary!$A$2:$J$118,6,0),IF(_xlpm.x=0,"",_xlpm.x)),"")</f>
        <v/>
      </c>
      <c r="W143" s="6" t="str">
        <f>IFERROR(_xlfn.LET(_xlpm.x,VLOOKUP($C143,[1]Summary!$A$2:$J$118,7,0),IF(_xlpm.x=0,"",_xlpm.x)),"")</f>
        <v/>
      </c>
      <c r="X143" s="6" t="str">
        <f>IFERROR(_xlfn.LET(_xlpm.x,VLOOKUP($C143,[1]Summary!$A$2:$J$118,8,0),IF(_xlpm.x=0,"",_xlpm.x)),"")</f>
        <v/>
      </c>
      <c r="Y143" s="6" t="str">
        <f>IFERROR(_xlfn.LET(_xlpm.x,VLOOKUP($C143,[1]Summary!$A$2:$J$118,9,0),IF(_xlpm.x=0,"",_xlpm.x)),"")</f>
        <v/>
      </c>
      <c r="Z143" s="6" t="str">
        <f>IFERROR(_xlfn.LET(_xlpm.x,VLOOKUP($C143,[1]Summary!$A$2:$J$118,10,0),IF(_xlpm.x=0,"",_xlpm.x)),"")</f>
        <v/>
      </c>
    </row>
    <row r="144" spans="1:26" x14ac:dyDescent="0.25">
      <c r="A144" s="2">
        <v>1000000000041</v>
      </c>
      <c r="B144" s="5" t="s">
        <v>289</v>
      </c>
      <c r="C144" s="2">
        <v>3000000000078</v>
      </c>
      <c r="D144" s="5" t="s">
        <v>290</v>
      </c>
      <c r="E144" s="1">
        <v>3</v>
      </c>
      <c r="F144" s="1" t="s">
        <v>75</v>
      </c>
      <c r="G144" s="1">
        <v>0.8</v>
      </c>
      <c r="H144" s="1"/>
      <c r="I144" s="1"/>
      <c r="J144" s="1">
        <v>0.8</v>
      </c>
      <c r="K144" s="1">
        <v>50</v>
      </c>
      <c r="L144" s="1" t="str">
        <f>IFERROR(_xlfn.LET(_xlpm.x,VLOOKUP($A144,'[1]Markings Threadings'!$B$3:$L$245,3,0),IF(_xlpm.x=0,"",_xlpm.x)),"")</f>
        <v>White</v>
      </c>
      <c r="M144" s="2">
        <f>IFERROR(_xlfn.LET(_xlpm.x,VLOOKUP($A144,'[1]Markings Threadings'!$B$3:$L$245,7,0),IF(_xlpm.x=0,"",_xlpm.x)),"")</f>
        <v>5000000000718</v>
      </c>
      <c r="N144" s="5" t="str">
        <f>IFERROR(_xlfn.LET(_xlpm.x,VLOOKUP($A144,'[1]Markings Threadings'!$B$3:$L$245,8,0),IF(_xlpm.x=0,"",_xlpm.x)),"")</f>
        <v>Empty Sack - Salto Stag Developer, 50kg</v>
      </c>
      <c r="O144" s="2">
        <f>IFERROR(_xlfn.LET(_xlpm.x,VLOOKUP($A144,'[1]Markings Threadings'!$B$3:$L$245,10,0),IF(_xlpm.x=0,"",_xlpm.x)),"")</f>
        <v>5000000000721</v>
      </c>
      <c r="P144" s="5" t="str">
        <f>IFERROR(_xlfn.LET(_xlpm.x,VLOOKUP($A144,'[1]Markings Threadings'!$B$3:$L$245,11,0),IF(_xlpm.x=0,"",_xlpm.x)),"")</f>
        <v>Tag - Salto Stag Developer, 50kg</v>
      </c>
      <c r="Q144" s="1" t="str">
        <f>IFERROR(_xlfn.LET(_xlpm.x,VLOOKUP($A144,'[1]Markings Threadings'!$B$3:$L$245,4,0),IF(_xlpm.x=0,"",_xlpm.x)),"")</f>
        <v/>
      </c>
      <c r="R144" s="1" t="str">
        <f>IFERROR(_xlfn.LET(_xlpm.x,VLOOKUP($A144,'[1]Markings Threadings'!$B$3:$L$245,5,0),IF(_xlpm.x=0,"",_xlpm.x)),"")</f>
        <v/>
      </c>
      <c r="S144" s="1">
        <f>IFERROR(_xlfn.LET(_xlpm.x,VLOOKUP($A144,'[1]Markings Threadings'!$B$3:$L$245,6,0),IF(_xlpm.x=0,"",_xlpm.x)),"")</f>
        <v>2</v>
      </c>
      <c r="T144" s="6" t="str">
        <f>IFERROR(_xlfn.LET(_xlpm.x,VLOOKUP($C144,[1]Summary!$A$2:$J$118,4,0),IF(_xlpm.x=0,"",_xlpm.x)),"")</f>
        <v/>
      </c>
      <c r="U144" s="6" t="str">
        <f>IFERROR(_xlfn.LET(_xlpm.x,VLOOKUP($C144,[1]Summary!$A$2:$J$118,5,0),IF(_xlpm.x=0,"",_xlpm.x)),"")</f>
        <v/>
      </c>
      <c r="V144" s="6" t="str">
        <f>IFERROR(_xlfn.LET(_xlpm.x,VLOOKUP($C144,[1]Summary!$A$2:$J$118,6,0),IF(_xlpm.x=0,"",_xlpm.x)),"")</f>
        <v/>
      </c>
      <c r="W144" s="6" t="str">
        <f>IFERROR(_xlfn.LET(_xlpm.x,VLOOKUP($C144,[1]Summary!$A$2:$J$118,7,0),IF(_xlpm.x=0,"",_xlpm.x)),"")</f>
        <v/>
      </c>
      <c r="X144" s="6">
        <f>IFERROR(_xlfn.LET(_xlpm.x,VLOOKUP($C144,[1]Summary!$A$2:$J$118,8,0),IF(_xlpm.x=0,"",_xlpm.x)),"")</f>
        <v>12.672035139092241</v>
      </c>
      <c r="Y144" s="6" t="str">
        <f>IFERROR(_xlfn.LET(_xlpm.x,VLOOKUP($C144,[1]Summary!$A$2:$J$118,9,0),IF(_xlpm.x=0,"",_xlpm.x)),"")</f>
        <v/>
      </c>
      <c r="Z144" s="6" t="str">
        <f>IFERROR(_xlfn.LET(_xlpm.x,VLOOKUP($C144,[1]Summary!$A$2:$J$118,10,0),IF(_xlpm.x=0,"",_xlpm.x)),"")</f>
        <v/>
      </c>
    </row>
    <row r="145" spans="1:26" x14ac:dyDescent="0.25">
      <c r="A145" s="2">
        <v>1000000001387</v>
      </c>
      <c r="B145" s="5" t="s">
        <v>291</v>
      </c>
      <c r="C145" s="2">
        <v>3000000000482</v>
      </c>
      <c r="D145" s="5" t="s">
        <v>292</v>
      </c>
      <c r="E145" s="1">
        <v>3</v>
      </c>
      <c r="F145" s="1" t="s">
        <v>75</v>
      </c>
      <c r="G145" s="1">
        <v>0.8</v>
      </c>
      <c r="H145" s="1"/>
      <c r="I145" s="1"/>
      <c r="J145" s="1">
        <v>0.8</v>
      </c>
      <c r="K145" s="1">
        <v>50</v>
      </c>
      <c r="L145" s="1" t="str">
        <f>IFERROR(_xlfn.LET(_xlpm.x,VLOOKUP($A145,'[1]Markings Threadings'!$B$3:$L$245,3,0),IF(_xlpm.x=0,"",_xlpm.x)),"")</f>
        <v>Red</v>
      </c>
      <c r="M145" s="2">
        <f>IFERROR(_xlfn.LET(_xlpm.x,VLOOKUP($A145,'[1]Markings Threadings'!$B$3:$L$245,7,0),IF(_xlpm.x=0,"",_xlpm.x)),"")</f>
        <v>5000000000658</v>
      </c>
      <c r="N145" s="5" t="str">
        <f>IFERROR(_xlfn.LET(_xlpm.x,VLOOKUP($A145,'[1]Markings Threadings'!$B$3:$L$245,8,0),IF(_xlpm.x=0,"",_xlpm.x)),"")</f>
        <v>Empty Sacks - Gallimax 2 Plus Developer Plus</v>
      </c>
      <c r="O145" s="2">
        <f>IFERROR(_xlfn.LET(_xlpm.x,VLOOKUP($A145,'[1]Markings Threadings'!$B$3:$L$245,10,0),IF(_xlpm.x=0,"",_xlpm.x)),"")</f>
        <v>5000000000152</v>
      </c>
      <c r="P145" s="5" t="str">
        <f>IFERROR(_xlfn.LET(_xlpm.x,VLOOKUP($A145,'[1]Markings Threadings'!$B$3:$L$245,11,0),IF(_xlpm.x=0,"",_xlpm.x)),"")</f>
        <v>Tag - Gallimax 2 Plus Ready Mix, 50kg</v>
      </c>
      <c r="Q145" s="1" t="str">
        <f>IFERROR(_xlfn.LET(_xlpm.x,VLOOKUP($A145,'[1]Markings Threadings'!$B$3:$L$245,4,0),IF(_xlpm.x=0,"",_xlpm.x)),"")</f>
        <v/>
      </c>
      <c r="R145" s="1" t="str">
        <f>IFERROR(_xlfn.LET(_xlpm.x,VLOOKUP($A145,'[1]Markings Threadings'!$B$3:$L$245,5,0),IF(_xlpm.x=0,"",_xlpm.x)),"")</f>
        <v/>
      </c>
      <c r="S145" s="1">
        <f>IFERROR(_xlfn.LET(_xlpm.x,VLOOKUP($A145,'[1]Markings Threadings'!$B$3:$L$245,6,0),IF(_xlpm.x=0,"",_xlpm.x)),"")</f>
        <v>1</v>
      </c>
      <c r="T145" s="6" t="str">
        <f>IFERROR(_xlfn.LET(_xlpm.x,VLOOKUP($C145,[1]Summary!$A$2:$J$118,4,0),IF(_xlpm.x=0,"",_xlpm.x)),"")</f>
        <v/>
      </c>
      <c r="U145" s="6" t="str">
        <f>IFERROR(_xlfn.LET(_xlpm.x,VLOOKUP($C145,[1]Summary!$A$2:$J$118,5,0),IF(_xlpm.x=0,"",_xlpm.x)),"")</f>
        <v/>
      </c>
      <c r="V145" s="6" t="str">
        <f>IFERROR(_xlfn.LET(_xlpm.x,VLOOKUP($C145,[1]Summary!$A$2:$J$118,6,0),IF(_xlpm.x=0,"",_xlpm.x)),"")</f>
        <v/>
      </c>
      <c r="W145" s="6" t="str">
        <f>IFERROR(_xlfn.LET(_xlpm.x,VLOOKUP($C145,[1]Summary!$A$2:$J$118,7,0),IF(_xlpm.x=0,"",_xlpm.x)),"")</f>
        <v/>
      </c>
      <c r="X145" s="6">
        <f>IFERROR(_xlfn.LET(_xlpm.x,VLOOKUP($C145,[1]Summary!$A$2:$J$118,8,0),IF(_xlpm.x=0,"",_xlpm.x)),"")</f>
        <v>13.15910660833525</v>
      </c>
      <c r="Y145" s="6" t="str">
        <f>IFERROR(_xlfn.LET(_xlpm.x,VLOOKUP($C145,[1]Summary!$A$2:$J$118,9,0),IF(_xlpm.x=0,"",_xlpm.x)),"")</f>
        <v/>
      </c>
      <c r="Z145" s="6" t="str">
        <f>IFERROR(_xlfn.LET(_xlpm.x,VLOOKUP($C145,[1]Summary!$A$2:$J$118,10,0),IF(_xlpm.x=0,"",_xlpm.x)),"")</f>
        <v/>
      </c>
    </row>
    <row r="146" spans="1:26" x14ac:dyDescent="0.25">
      <c r="A146" s="2">
        <v>1000000000567</v>
      </c>
      <c r="B146" s="5" t="s">
        <v>293</v>
      </c>
      <c r="C146" s="2">
        <v>3000000000059</v>
      </c>
      <c r="D146" s="5" t="s">
        <v>294</v>
      </c>
      <c r="E146" s="1">
        <v>3</v>
      </c>
      <c r="F146" s="1" t="s">
        <v>75</v>
      </c>
      <c r="G146" s="1">
        <v>0.8</v>
      </c>
      <c r="H146" s="1"/>
      <c r="I146" s="1"/>
      <c r="J146" s="1">
        <v>0.8</v>
      </c>
      <c r="K146" s="1">
        <v>25</v>
      </c>
      <c r="L146" s="1" t="str">
        <f>IFERROR(_xlfn.LET(_xlpm.x,VLOOKUP($A146,'[1]Markings Threadings'!$B$3:$L$245,3,0),IF(_xlpm.x=0,"",_xlpm.x)),"")</f>
        <v/>
      </c>
      <c r="M146" s="2" t="str">
        <f>IFERROR(_xlfn.LET(_xlpm.x,VLOOKUP($A146,'[1]Markings Threadings'!$B$3:$L$245,7,0),IF(_xlpm.x=0,"",_xlpm.x)),"")</f>
        <v/>
      </c>
      <c r="N146" s="5" t="str">
        <f>IFERROR(_xlfn.LET(_xlpm.x,VLOOKUP($A146,'[1]Markings Threadings'!$B$3:$L$245,8,0),IF(_xlpm.x=0,"",_xlpm.x)),"")</f>
        <v/>
      </c>
      <c r="O146" s="2" t="str">
        <f>IFERROR(_xlfn.LET(_xlpm.x,VLOOKUP($A146,'[1]Markings Threadings'!$B$3:$L$245,10,0),IF(_xlpm.x=0,"",_xlpm.x)),"")</f>
        <v/>
      </c>
      <c r="P146" s="5" t="str">
        <f>IFERROR(_xlfn.LET(_xlpm.x,VLOOKUP($A146,'[1]Markings Threadings'!$B$3:$L$245,11,0),IF(_xlpm.x=0,"",_xlpm.x)),"")</f>
        <v/>
      </c>
      <c r="Q146" s="1" t="str">
        <f>IFERROR(_xlfn.LET(_xlpm.x,VLOOKUP($A146,'[1]Markings Threadings'!$B$3:$L$245,4,0),IF(_xlpm.x=0,"",_xlpm.x)),"")</f>
        <v/>
      </c>
      <c r="R146" s="1" t="str">
        <f>IFERROR(_xlfn.LET(_xlpm.x,VLOOKUP($A146,'[1]Markings Threadings'!$B$3:$L$245,5,0),IF(_xlpm.x=0,"",_xlpm.x)),"")</f>
        <v/>
      </c>
      <c r="S146" s="1" t="str">
        <f>IFERROR(_xlfn.LET(_xlpm.x,VLOOKUP($A146,'[1]Markings Threadings'!$B$3:$L$245,6,0),IF(_xlpm.x=0,"",_xlpm.x)),"")</f>
        <v/>
      </c>
      <c r="T146" s="6" t="str">
        <f>IFERROR(_xlfn.LET(_xlpm.x,VLOOKUP($C146,[1]Summary!$A$2:$J$118,4,0),IF(_xlpm.x=0,"",_xlpm.x)),"")</f>
        <v/>
      </c>
      <c r="U146" s="6" t="str">
        <f>IFERROR(_xlfn.LET(_xlpm.x,VLOOKUP($C146,[1]Summary!$A$2:$J$118,5,0),IF(_xlpm.x=0,"",_xlpm.x)),"")</f>
        <v/>
      </c>
      <c r="V146" s="6" t="str">
        <f>IFERROR(_xlfn.LET(_xlpm.x,VLOOKUP($C146,[1]Summary!$A$2:$J$118,6,0),IF(_xlpm.x=0,"",_xlpm.x)),"")</f>
        <v/>
      </c>
      <c r="W146" s="6" t="str">
        <f>IFERROR(_xlfn.LET(_xlpm.x,VLOOKUP($C146,[1]Summary!$A$2:$J$118,7,0),IF(_xlpm.x=0,"",_xlpm.x)),"")</f>
        <v/>
      </c>
      <c r="X146" s="6" t="str">
        <f>IFERROR(_xlfn.LET(_xlpm.x,VLOOKUP($C146,[1]Summary!$A$2:$J$118,8,0),IF(_xlpm.x=0,"",_xlpm.x)),"")</f>
        <v/>
      </c>
      <c r="Y146" s="6" t="str">
        <f>IFERROR(_xlfn.LET(_xlpm.x,VLOOKUP($C146,[1]Summary!$A$2:$J$118,9,0),IF(_xlpm.x=0,"",_xlpm.x)),"")</f>
        <v/>
      </c>
      <c r="Z146" s="6" t="str">
        <f>IFERROR(_xlfn.LET(_xlpm.x,VLOOKUP($C146,[1]Summary!$A$2:$J$118,10,0),IF(_xlpm.x=0,"",_xlpm.x)),"")</f>
        <v/>
      </c>
    </row>
    <row r="147" spans="1:26" x14ac:dyDescent="0.25">
      <c r="A147" s="2">
        <v>1000000000565</v>
      </c>
      <c r="B147" s="5" t="s">
        <v>295</v>
      </c>
      <c r="C147" s="2">
        <v>3000000000053</v>
      </c>
      <c r="D147" s="5" t="s">
        <v>296</v>
      </c>
      <c r="E147" s="1">
        <v>3</v>
      </c>
      <c r="F147" s="1" t="s">
        <v>75</v>
      </c>
      <c r="G147" s="1">
        <v>0.8</v>
      </c>
      <c r="H147" s="1"/>
      <c r="I147" s="1"/>
      <c r="J147" s="1">
        <v>0.8</v>
      </c>
      <c r="K147" s="1">
        <v>25</v>
      </c>
      <c r="L147" s="1" t="str">
        <f>IFERROR(_xlfn.LET(_xlpm.x,VLOOKUP($A147,'[1]Markings Threadings'!$B$3:$L$245,3,0),IF(_xlpm.x=0,"",_xlpm.x)),"")</f>
        <v>White</v>
      </c>
      <c r="M147" s="2">
        <f>IFERROR(_xlfn.LET(_xlpm.x,VLOOKUP($A147,'[1]Markings Threadings'!$B$3:$L$245,7,0),IF(_xlpm.x=0,"",_xlpm.x)),"")</f>
        <v>5000000000067</v>
      </c>
      <c r="N147" s="5" t="str">
        <f>IFERROR(_xlfn.LET(_xlpm.x,VLOOKUP($A147,'[1]Markings Threadings'!$B$3:$L$245,8,0),IF(_xlpm.x=0,"",_xlpm.x)),"")</f>
        <v>Empty Sack - Salto Powermix 2 Mini Pellet , 25kg</v>
      </c>
      <c r="O147" s="2">
        <f>IFERROR(_xlfn.LET(_xlpm.x,VLOOKUP($A147,'[1]Markings Threadings'!$B$3:$L$245,10,0),IF(_xlpm.x=0,"",_xlpm.x)),"")</f>
        <v>5000000000133</v>
      </c>
      <c r="P147" s="5" t="str">
        <f>IFERROR(_xlfn.LET(_xlpm.x,VLOOKUP($A147,'[1]Markings Threadings'!$B$3:$L$245,11,0),IF(_xlpm.x=0,"",_xlpm.x)),"")</f>
        <v>Tag - Salto Powermix 2 Mini Pellet</v>
      </c>
      <c r="Q147" s="1" t="str">
        <f>IFERROR(_xlfn.LET(_xlpm.x,VLOOKUP($A147,'[1]Markings Threadings'!$B$3:$L$245,4,0),IF(_xlpm.x=0,"",_xlpm.x)),"")</f>
        <v/>
      </c>
      <c r="R147" s="1" t="str">
        <f>IFERROR(_xlfn.LET(_xlpm.x,VLOOKUP($A147,'[1]Markings Threadings'!$B$3:$L$245,5,0),IF(_xlpm.x=0,"",_xlpm.x)),"")</f>
        <v/>
      </c>
      <c r="S147" s="1">
        <f>IFERROR(_xlfn.LET(_xlpm.x,VLOOKUP($A147,'[1]Markings Threadings'!$B$3:$L$245,6,0),IF(_xlpm.x=0,"",_xlpm.x)),"")</f>
        <v>1</v>
      </c>
      <c r="T147" s="6" t="str">
        <f>IFERROR(_xlfn.LET(_xlpm.x,VLOOKUP($C147,[1]Summary!$A$2:$J$118,4,0),IF(_xlpm.x=0,"",_xlpm.x)),"")</f>
        <v/>
      </c>
      <c r="U147" s="6" t="str">
        <f>IFERROR(_xlfn.LET(_xlpm.x,VLOOKUP($C147,[1]Summary!$A$2:$J$118,5,0),IF(_xlpm.x=0,"",_xlpm.x)),"")</f>
        <v/>
      </c>
      <c r="V147" s="6" t="str">
        <f>IFERROR(_xlfn.LET(_xlpm.x,VLOOKUP($C147,[1]Summary!$A$2:$J$118,6,0),IF(_xlpm.x=0,"",_xlpm.x)),"")</f>
        <v/>
      </c>
      <c r="W147" s="6" t="str">
        <f>IFERROR(_xlfn.LET(_xlpm.x,VLOOKUP($C147,[1]Summary!$A$2:$J$118,7,0),IF(_xlpm.x=0,"",_xlpm.x)),"")</f>
        <v/>
      </c>
      <c r="X147" s="6">
        <f>IFERROR(_xlfn.LET(_xlpm.x,VLOOKUP($C147,[1]Summary!$A$2:$J$118,8,0),IF(_xlpm.x=0,"",_xlpm.x)),"")</f>
        <v>6.53675819309123</v>
      </c>
      <c r="Y147" s="6" t="str">
        <f>IFERROR(_xlfn.LET(_xlpm.x,VLOOKUP($C147,[1]Summary!$A$2:$J$118,9,0),IF(_xlpm.x=0,"",_xlpm.x)),"")</f>
        <v/>
      </c>
      <c r="Z147" s="6" t="str">
        <f>IFERROR(_xlfn.LET(_xlpm.x,VLOOKUP($C147,[1]Summary!$A$2:$J$118,10,0),IF(_xlpm.x=0,"",_xlpm.x)),"")</f>
        <v/>
      </c>
    </row>
    <row r="148" spans="1:26" x14ac:dyDescent="0.25">
      <c r="A148" s="2">
        <v>1000000000566</v>
      </c>
      <c r="B148" s="5" t="s">
        <v>297</v>
      </c>
      <c r="C148" s="2">
        <v>3000000000055</v>
      </c>
      <c r="D148" s="5" t="s">
        <v>298</v>
      </c>
      <c r="E148" s="1">
        <v>3</v>
      </c>
      <c r="F148" s="1" t="s">
        <v>75</v>
      </c>
      <c r="G148" s="1">
        <v>0.8</v>
      </c>
      <c r="H148" s="1"/>
      <c r="I148" s="1"/>
      <c r="J148" s="1">
        <v>0.8</v>
      </c>
      <c r="K148" s="1">
        <v>25</v>
      </c>
      <c r="L148" s="1" t="str">
        <f>IFERROR(_xlfn.LET(_xlpm.x,VLOOKUP($A148,'[1]Markings Threadings'!$B$3:$L$245,3,0),IF(_xlpm.x=0,"",_xlpm.x)),"")</f>
        <v>White</v>
      </c>
      <c r="M148" s="2">
        <f>IFERROR(_xlfn.LET(_xlpm.x,VLOOKUP($A148,'[1]Markings Threadings'!$B$3:$L$245,7,0),IF(_xlpm.x=0,"",_xlpm.x)),"")</f>
        <v>5000000000068</v>
      </c>
      <c r="N148" s="5" t="str">
        <f>IFERROR(_xlfn.LET(_xlpm.x,VLOOKUP($A148,'[1]Markings Threadings'!$B$3:$L$245,8,0),IF(_xlpm.x=0,"",_xlpm.x)),"")</f>
        <v>Empty Sack - Salto Powermix 3 25kg</v>
      </c>
      <c r="O148" s="2">
        <f>IFERROR(_xlfn.LET(_xlpm.x,VLOOKUP($A148,'[1]Markings Threadings'!$B$3:$L$245,10,0),IF(_xlpm.x=0,"",_xlpm.x)),"")</f>
        <v>5000000000134</v>
      </c>
      <c r="P148" s="5" t="str">
        <f>IFERROR(_xlfn.LET(_xlpm.x,VLOOKUP($A148,'[1]Markings Threadings'!$B$3:$L$245,11,0),IF(_xlpm.x=0,"",_xlpm.x)),"")</f>
        <v>Tag - Salto Powermix 3 Mini Pellet</v>
      </c>
      <c r="Q148" s="1" t="str">
        <f>IFERROR(_xlfn.LET(_xlpm.x,VLOOKUP($A148,'[1]Markings Threadings'!$B$3:$L$245,4,0),IF(_xlpm.x=0,"",_xlpm.x)),"")</f>
        <v/>
      </c>
      <c r="R148" s="1" t="str">
        <f>IFERROR(_xlfn.LET(_xlpm.x,VLOOKUP($A148,'[1]Markings Threadings'!$B$3:$L$245,5,0),IF(_xlpm.x=0,"",_xlpm.x)),"")</f>
        <v/>
      </c>
      <c r="S148" s="1">
        <f>IFERROR(_xlfn.LET(_xlpm.x,VLOOKUP($A148,'[1]Markings Threadings'!$B$3:$L$245,6,0),IF(_xlpm.x=0,"",_xlpm.x)),"")</f>
        <v>1</v>
      </c>
      <c r="T148" s="6" t="str">
        <f>IFERROR(_xlfn.LET(_xlpm.x,VLOOKUP($C148,[1]Summary!$A$2:$J$118,4,0),IF(_xlpm.x=0,"",_xlpm.x)),"")</f>
        <v/>
      </c>
      <c r="U148" s="6" t="str">
        <f>IFERROR(_xlfn.LET(_xlpm.x,VLOOKUP($C148,[1]Summary!$A$2:$J$118,5,0),IF(_xlpm.x=0,"",_xlpm.x)),"")</f>
        <v/>
      </c>
      <c r="V148" s="6" t="str">
        <f>IFERROR(_xlfn.LET(_xlpm.x,VLOOKUP($C148,[1]Summary!$A$2:$J$118,6,0),IF(_xlpm.x=0,"",_xlpm.x)),"")</f>
        <v/>
      </c>
      <c r="W148" s="6" t="str">
        <f>IFERROR(_xlfn.LET(_xlpm.x,VLOOKUP($C148,[1]Summary!$A$2:$J$118,7,0),IF(_xlpm.x=0,"",_xlpm.x)),"")</f>
        <v/>
      </c>
      <c r="X148" s="6" t="str">
        <f>IFERROR(_xlfn.LET(_xlpm.x,VLOOKUP($C148,[1]Summary!$A$2:$J$118,8,0),IF(_xlpm.x=0,"",_xlpm.x)),"")</f>
        <v/>
      </c>
      <c r="Y148" s="6" t="str">
        <f>IFERROR(_xlfn.LET(_xlpm.x,VLOOKUP($C148,[1]Summary!$A$2:$J$118,9,0),IF(_xlpm.x=0,"",_xlpm.x)),"")</f>
        <v/>
      </c>
      <c r="Z148" s="6" t="str">
        <f>IFERROR(_xlfn.LET(_xlpm.x,VLOOKUP($C148,[1]Summary!$A$2:$J$118,10,0),IF(_xlpm.x=0,"",_xlpm.x)),"")</f>
        <v/>
      </c>
    </row>
    <row r="149" spans="1:26" x14ac:dyDescent="0.25">
      <c r="A149" s="2">
        <v>1000000000568</v>
      </c>
      <c r="B149" s="5" t="s">
        <v>299</v>
      </c>
      <c r="C149" s="2">
        <v>3000000000061</v>
      </c>
      <c r="D149" s="5" t="s">
        <v>300</v>
      </c>
      <c r="E149" s="1">
        <v>3</v>
      </c>
      <c r="F149" s="1" t="s">
        <v>75</v>
      </c>
      <c r="G149" s="1">
        <v>0.8</v>
      </c>
      <c r="H149" s="1"/>
      <c r="I149" s="1"/>
      <c r="J149" s="1">
        <v>0.8</v>
      </c>
      <c r="K149" s="1">
        <v>25</v>
      </c>
      <c r="L149" s="1" t="str">
        <f>IFERROR(_xlfn.LET(_xlpm.x,VLOOKUP($A149,'[1]Markings Threadings'!$B$3:$L$245,3,0),IF(_xlpm.x=0,"",_xlpm.x)),"")</f>
        <v>White</v>
      </c>
      <c r="M149" s="2">
        <f>IFERROR(_xlfn.LET(_xlpm.x,VLOOKUP($A149,'[1]Markings Threadings'!$B$3:$L$245,7,0),IF(_xlpm.x=0,"",_xlpm.x)),"")</f>
        <v>5000000000686</v>
      </c>
      <c r="N149" s="5" t="str">
        <f>IFERROR(_xlfn.LET(_xlpm.x,VLOOKUP($A149,'[1]Markings Threadings'!$B$3:$L$245,8,0),IF(_xlpm.x=0,"",_xlpm.x)),"")</f>
        <v>Empty Sack - Salto Powermix 4 Mini Pellet , 25kg</v>
      </c>
      <c r="O149" s="2">
        <f>IFERROR(_xlfn.LET(_xlpm.x,VLOOKUP($A149,'[1]Markings Threadings'!$B$3:$L$245,10,0),IF(_xlpm.x=0,"",_xlpm.x)),"")</f>
        <v>5000000000688</v>
      </c>
      <c r="P149" s="5" t="str">
        <f>IFERROR(_xlfn.LET(_xlpm.x,VLOOKUP($A149,'[1]Markings Threadings'!$B$3:$L$245,11,0),IF(_xlpm.x=0,"",_xlpm.x)),"")</f>
        <v>Tag - Salto Powermix 4 Mini Pellet</v>
      </c>
      <c r="Q149" s="1" t="str">
        <f>IFERROR(_xlfn.LET(_xlpm.x,VLOOKUP($A149,'[1]Markings Threadings'!$B$3:$L$245,4,0),IF(_xlpm.x=0,"",_xlpm.x)),"")</f>
        <v/>
      </c>
      <c r="R149" s="1" t="str">
        <f>IFERROR(_xlfn.LET(_xlpm.x,VLOOKUP($A149,'[1]Markings Threadings'!$B$3:$L$245,5,0),IF(_xlpm.x=0,"",_xlpm.x)),"")</f>
        <v/>
      </c>
      <c r="S149" s="1">
        <f>IFERROR(_xlfn.LET(_xlpm.x,VLOOKUP($A149,'[1]Markings Threadings'!$B$3:$L$245,6,0),IF(_xlpm.x=0,"",_xlpm.x)),"")</f>
        <v>1</v>
      </c>
      <c r="T149" s="6" t="str">
        <f>IFERROR(_xlfn.LET(_xlpm.x,VLOOKUP($C149,[1]Summary!$A$2:$J$118,4,0),IF(_xlpm.x=0,"",_xlpm.x)),"")</f>
        <v/>
      </c>
      <c r="U149" s="6" t="str">
        <f>IFERROR(_xlfn.LET(_xlpm.x,VLOOKUP($C149,[1]Summary!$A$2:$J$118,5,0),IF(_xlpm.x=0,"",_xlpm.x)),"")</f>
        <v/>
      </c>
      <c r="V149" s="6" t="str">
        <f>IFERROR(_xlfn.LET(_xlpm.x,VLOOKUP($C149,[1]Summary!$A$2:$J$118,6,0),IF(_xlpm.x=0,"",_xlpm.x)),"")</f>
        <v/>
      </c>
      <c r="W149" s="6" t="str">
        <f>IFERROR(_xlfn.LET(_xlpm.x,VLOOKUP($C149,[1]Summary!$A$2:$J$118,7,0),IF(_xlpm.x=0,"",_xlpm.x)),"")</f>
        <v/>
      </c>
      <c r="X149" s="6">
        <f>IFERROR(_xlfn.LET(_xlpm.x,VLOOKUP($C149,[1]Summary!$A$2:$J$118,8,0),IF(_xlpm.x=0,"",_xlpm.x)),"")</f>
        <v>4.1402337228714519</v>
      </c>
      <c r="Y149" s="6" t="str">
        <f>IFERROR(_xlfn.LET(_xlpm.x,VLOOKUP($C149,[1]Summary!$A$2:$J$118,9,0),IF(_xlpm.x=0,"",_xlpm.x)),"")</f>
        <v/>
      </c>
      <c r="Z149" s="6" t="str">
        <f>IFERROR(_xlfn.LET(_xlpm.x,VLOOKUP($C149,[1]Summary!$A$2:$J$118,10,0),IF(_xlpm.x=0,"",_xlpm.x)),"")</f>
        <v/>
      </c>
    </row>
    <row r="150" spans="1:26" x14ac:dyDescent="0.25">
      <c r="A150" s="2">
        <v>1000000000849</v>
      </c>
      <c r="B150" s="5" t="s">
        <v>301</v>
      </c>
      <c r="C150" s="2">
        <v>3000000000132</v>
      </c>
      <c r="D150" s="5" t="s">
        <v>302</v>
      </c>
      <c r="E150" s="1"/>
      <c r="F150" s="1" t="s">
        <v>44</v>
      </c>
      <c r="G150" s="1">
        <v>4</v>
      </c>
      <c r="H150" s="1">
        <v>2</v>
      </c>
      <c r="I150" s="1">
        <v>2</v>
      </c>
      <c r="J150" s="1"/>
      <c r="K150" s="1">
        <v>25</v>
      </c>
      <c r="L150" s="1" t="str">
        <f>IFERROR(_xlfn.LET(_xlpm.x,VLOOKUP($A150,'[1]Markings Threadings'!$B$3:$L$245,3,0),IF(_xlpm.x=0,"",_xlpm.x)),"")</f>
        <v>Green</v>
      </c>
      <c r="M150" s="2">
        <f>IFERROR(_xlfn.LET(_xlpm.x,VLOOKUP($A150,'[1]Markings Threadings'!$B$3:$L$245,7,0),IF(_xlpm.x=0,"",_xlpm.x)),"")</f>
        <v>5000000000055</v>
      </c>
      <c r="N150" s="5" t="str">
        <f>IFERROR(_xlfn.LET(_xlpm.x,VLOOKUP($A150,'[1]Markings Threadings'!$B$3:$L$245,8,0),IF(_xlpm.x=0,"",_xlpm.x)),"")</f>
        <v>Sack Pork Solutions Hog Booster 25kg</v>
      </c>
      <c r="O150" s="2">
        <f>IFERROR(_xlfn.LET(_xlpm.x,VLOOKUP($A150,'[1]Markings Threadings'!$B$3:$L$245,10,0),IF(_xlpm.x=0,"",_xlpm.x)),"")</f>
        <v>5000000000109</v>
      </c>
      <c r="P150" s="5" t="str">
        <f>IFERROR(_xlfn.LET(_xlpm.x,VLOOKUP($A150,'[1]Markings Threadings'!$B$3:$L$245,11,0),IF(_xlpm.x=0,"",_xlpm.x)),"")</f>
        <v>Tag Pork Solutions Hog Booster Mash 25</v>
      </c>
      <c r="Q150" s="1" t="str">
        <f>IFERROR(_xlfn.LET(_xlpm.x,VLOOKUP($A150,'[1]Markings Threadings'!$B$3:$L$245,4,0),IF(_xlpm.x=0,"",_xlpm.x)),"")</f>
        <v>849 BSTR PH</v>
      </c>
      <c r="R150" s="1" t="str">
        <f>IFERROR(_xlfn.LET(_xlpm.x,VLOOKUP($A150,'[1]Markings Threadings'!$B$3:$L$245,5,0),IF(_xlpm.x=0,"",_xlpm.x)),"")</f>
        <v/>
      </c>
      <c r="S150" s="1">
        <f>IFERROR(_xlfn.LET(_xlpm.x,VLOOKUP($A150,'[1]Markings Threadings'!$B$3:$L$245,6,0),IF(_xlpm.x=0,"",_xlpm.x)),"")</f>
        <v>5</v>
      </c>
      <c r="T150" s="6" t="str">
        <f>IFERROR(_xlfn.LET(_xlpm.x,VLOOKUP($C150,[1]Summary!$A$2:$J$118,4,0),IF(_xlpm.x=0,"",_xlpm.x)),"")</f>
        <v/>
      </c>
      <c r="U150" s="6" t="str">
        <f>IFERROR(_xlfn.LET(_xlpm.x,VLOOKUP($C150,[1]Summary!$A$2:$J$118,5,0),IF(_xlpm.x=0,"",_xlpm.x)),"")</f>
        <v/>
      </c>
      <c r="V150" s="6" t="str">
        <f>IFERROR(_xlfn.LET(_xlpm.x,VLOOKUP($C150,[1]Summary!$A$2:$J$118,6,0),IF(_xlpm.x=0,"",_xlpm.x)),"")</f>
        <v/>
      </c>
      <c r="W150" s="6" t="str">
        <f>IFERROR(_xlfn.LET(_xlpm.x,VLOOKUP($C150,[1]Summary!$A$2:$J$118,7,0),IF(_xlpm.x=0,"",_xlpm.x)),"")</f>
        <v/>
      </c>
      <c r="X150" s="6" t="str">
        <f>IFERROR(_xlfn.LET(_xlpm.x,VLOOKUP($C150,[1]Summary!$A$2:$J$118,8,0),IF(_xlpm.x=0,"",_xlpm.x)),"")</f>
        <v/>
      </c>
      <c r="Y150" s="6" t="str">
        <f>IFERROR(_xlfn.LET(_xlpm.x,VLOOKUP($C150,[1]Summary!$A$2:$J$118,9,0),IF(_xlpm.x=0,"",_xlpm.x)),"")</f>
        <v/>
      </c>
      <c r="Z150" s="6" t="str">
        <f>IFERROR(_xlfn.LET(_xlpm.x,VLOOKUP($C150,[1]Summary!$A$2:$J$118,10,0),IF(_xlpm.x=0,"",_xlpm.x)),"")</f>
        <v/>
      </c>
    </row>
    <row r="151" spans="1:26" x14ac:dyDescent="0.25">
      <c r="A151" s="2">
        <v>1000000001721</v>
      </c>
      <c r="B151" s="5" t="s">
        <v>303</v>
      </c>
      <c r="C151" s="2">
        <v>3000000001279</v>
      </c>
      <c r="D151" s="5" t="s">
        <v>304</v>
      </c>
      <c r="E151" s="1">
        <v>4</v>
      </c>
      <c r="F151" s="1" t="s">
        <v>54</v>
      </c>
      <c r="G151" s="1">
        <v>4</v>
      </c>
      <c r="H151" s="1">
        <v>2</v>
      </c>
      <c r="I151" s="1">
        <v>2</v>
      </c>
      <c r="J151" s="1"/>
      <c r="K151" s="1">
        <v>50</v>
      </c>
      <c r="L151" s="1" t="str">
        <f>IFERROR(_xlfn.LET(_xlpm.x,VLOOKUP($A151,'[1]Markings Threadings'!$B$3:$L$245,3,0),IF(_xlpm.x=0,"",_xlpm.x)),"")</f>
        <v>Red Green</v>
      </c>
      <c r="M151" s="2">
        <f>IFERROR(_xlfn.LET(_xlpm.x,VLOOKUP($A151,'[1]Markings Threadings'!$B$3:$L$245,7,0),IF(_xlpm.x=0,"",_xlpm.x)),"")</f>
        <v>5000000000610</v>
      </c>
      <c r="N151" s="5" t="str">
        <f>IFERROR(_xlfn.LET(_xlpm.x,VLOOKUP($A151,'[1]Markings Threadings'!$B$3:$L$245,8,0),IF(_xlpm.x=0,"",_xlpm.x)),"")</f>
        <v>Plain white PP 26x45</v>
      </c>
      <c r="O151" s="2" t="str">
        <f>IFERROR(_xlfn.LET(_xlpm.x,VLOOKUP($A151,'[1]Markings Threadings'!$B$3:$L$245,10,0),IF(_xlpm.x=0,"",_xlpm.x)),"")</f>
        <v/>
      </c>
      <c r="P151" s="5" t="str">
        <f>IFERROR(_xlfn.LET(_xlpm.x,VLOOKUP($A151,'[1]Markings Threadings'!$B$3:$L$245,11,0),IF(_xlpm.x=0,"",_xlpm.x)),"")</f>
        <v/>
      </c>
      <c r="Q151" s="1" t="str">
        <f>IFERROR(_xlfn.LET(_xlpm.x,VLOOKUP($A151,'[1]Markings Threadings'!$B$3:$L$245,4,0),IF(_xlpm.x=0,"",_xlpm.x)),"")</f>
        <v>1721 PS Brdr Dev Cr</v>
      </c>
      <c r="R151" s="1" t="str">
        <f>IFERROR(_xlfn.LET(_xlpm.x,VLOOKUP($A151,'[1]Markings Threadings'!$B$3:$L$245,5,0),IF(_xlpm.x=0,"",_xlpm.x)),"")</f>
        <v/>
      </c>
      <c r="S151" s="1">
        <f>IFERROR(_xlfn.LET(_xlpm.x,VLOOKUP($A151,'[1]Markings Threadings'!$B$3:$L$245,6,0),IF(_xlpm.x=0,"",_xlpm.x)),"")</f>
        <v>4</v>
      </c>
      <c r="T151" s="6" t="str">
        <f>IFERROR(_xlfn.LET(_xlpm.x,VLOOKUP($C151,[1]Summary!$A$2:$J$118,4,0),IF(_xlpm.x=0,"",_xlpm.x)),"")</f>
        <v/>
      </c>
      <c r="U151" s="6" t="str">
        <f>IFERROR(_xlfn.LET(_xlpm.x,VLOOKUP($C151,[1]Summary!$A$2:$J$118,5,0),IF(_xlpm.x=0,"",_xlpm.x)),"")</f>
        <v/>
      </c>
      <c r="V151" s="6" t="str">
        <f>IFERROR(_xlfn.LET(_xlpm.x,VLOOKUP($C151,[1]Summary!$A$2:$J$118,6,0),IF(_xlpm.x=0,"",_xlpm.x)),"")</f>
        <v/>
      </c>
      <c r="W151" s="6" t="str">
        <f>IFERROR(_xlfn.LET(_xlpm.x,VLOOKUP($C151,[1]Summary!$A$2:$J$118,7,0),IF(_xlpm.x=0,"",_xlpm.x)),"")</f>
        <v/>
      </c>
      <c r="X151" s="6" t="str">
        <f>IFERROR(_xlfn.LET(_xlpm.x,VLOOKUP($C151,[1]Summary!$A$2:$J$118,8,0),IF(_xlpm.x=0,"",_xlpm.x)),"")</f>
        <v/>
      </c>
      <c r="Y151" s="6" t="str">
        <f>IFERROR(_xlfn.LET(_xlpm.x,VLOOKUP($C151,[1]Summary!$A$2:$J$118,9,0),IF(_xlpm.x=0,"",_xlpm.x)),"")</f>
        <v/>
      </c>
      <c r="Z151" s="6" t="str">
        <f>IFERROR(_xlfn.LET(_xlpm.x,VLOOKUP($C151,[1]Summary!$A$2:$J$118,10,0),IF(_xlpm.x=0,"",_xlpm.x)),"")</f>
        <v/>
      </c>
    </row>
    <row r="152" spans="1:26" x14ac:dyDescent="0.25">
      <c r="A152" s="2">
        <v>1000000001659</v>
      </c>
      <c r="B152" s="5" t="s">
        <v>305</v>
      </c>
      <c r="C152" s="2">
        <v>3000000001282</v>
      </c>
      <c r="D152" s="5" t="s">
        <v>306</v>
      </c>
      <c r="E152" s="1">
        <v>3</v>
      </c>
      <c r="F152" s="1" t="s">
        <v>67</v>
      </c>
      <c r="G152" s="1">
        <v>2</v>
      </c>
      <c r="H152" s="1">
        <v>2</v>
      </c>
      <c r="I152" s="1">
        <v>2</v>
      </c>
      <c r="J152" s="1"/>
      <c r="K152" s="1">
        <v>50</v>
      </c>
      <c r="L152" s="1" t="str">
        <f>IFERROR(_xlfn.LET(_xlpm.x,VLOOKUP($A152,'[1]Markings Threadings'!$B$3:$L$245,3,0),IF(_xlpm.x=0,"",_xlpm.x)),"")</f>
        <v>Red</v>
      </c>
      <c r="M152" s="2">
        <f>IFERROR(_xlfn.LET(_xlpm.x,VLOOKUP($A152,'[1]Markings Threadings'!$B$3:$L$245,7,0),IF(_xlpm.x=0,"",_xlpm.x)),"")</f>
        <v>5000000000561</v>
      </c>
      <c r="N152" s="5" t="str">
        <f>IFERROR(_xlfn.LET(_xlpm.x,VLOOKUP($A152,'[1]Markings Threadings'!$B$3:$L$245,8,0),IF(_xlpm.x=0,"",_xlpm.x)),"")</f>
        <v>v2 - Poultry Solutions Chick Starter, 50</v>
      </c>
      <c r="O152" s="2">
        <f>IFERROR(_xlfn.LET(_xlpm.x,VLOOKUP($A152,'[1]Markings Threadings'!$B$3:$L$245,10,0),IF(_xlpm.x=0,"",_xlpm.x)),"")</f>
        <v>5000000000125</v>
      </c>
      <c r="P152" s="5" t="str">
        <f>IFERROR(_xlfn.LET(_xlpm.x,VLOOKUP($A152,'[1]Markings Threadings'!$B$3:$L$245,11,0),IF(_xlpm.x=0,"",_xlpm.x)),"")</f>
        <v>Tag - Poultry Solutions Chick Starter Crumble</v>
      </c>
      <c r="Q152" s="1" t="str">
        <f>IFERROR(_xlfn.LET(_xlpm.x,VLOOKUP($A152,'[1]Markings Threadings'!$B$3:$L$245,4,0),IF(_xlpm.x=0,"",_xlpm.x)),"")</f>
        <v>1659 CHK STR BR 2</v>
      </c>
      <c r="R152" s="1" t="str">
        <f>IFERROR(_xlfn.LET(_xlpm.x,VLOOKUP($A152,'[1]Markings Threadings'!$B$3:$L$245,5,0),IF(_xlpm.x=0,"",_xlpm.x)),"")</f>
        <v/>
      </c>
      <c r="S152" s="1">
        <f>IFERROR(_xlfn.LET(_xlpm.x,VLOOKUP($A152,'[1]Markings Threadings'!$B$3:$L$245,6,0),IF(_xlpm.x=0,"",_xlpm.x)),"")</f>
        <v>15</v>
      </c>
      <c r="T152" s="6" t="str">
        <f>IFERROR(_xlfn.LET(_xlpm.x,VLOOKUP($C152,[1]Summary!$A$2:$J$118,4,0),IF(_xlpm.x=0,"",_xlpm.x)),"")</f>
        <v/>
      </c>
      <c r="U152" s="6" t="str">
        <f>IFERROR(_xlfn.LET(_xlpm.x,VLOOKUP($C152,[1]Summary!$A$2:$J$118,5,0),IF(_xlpm.x=0,"",_xlpm.x)),"")</f>
        <v/>
      </c>
      <c r="V152" s="6" t="str">
        <f>IFERROR(_xlfn.LET(_xlpm.x,VLOOKUP($C152,[1]Summary!$A$2:$J$118,6,0),IF(_xlpm.x=0,"",_xlpm.x)),"")</f>
        <v/>
      </c>
      <c r="W152" s="6">
        <f>IFERROR(_xlfn.LET(_xlpm.x,VLOOKUP($C152,[1]Summary!$A$2:$J$118,7,0),IF(_xlpm.x=0,"",_xlpm.x)),"")</f>
        <v>7.1346784864864849</v>
      </c>
      <c r="X152" s="6" t="str">
        <f>IFERROR(_xlfn.LET(_xlpm.x,VLOOKUP($C152,[1]Summary!$A$2:$J$118,8,0),IF(_xlpm.x=0,"",_xlpm.x)),"")</f>
        <v/>
      </c>
      <c r="Y152" s="6" t="str">
        <f>IFERROR(_xlfn.LET(_xlpm.x,VLOOKUP($C152,[1]Summary!$A$2:$J$118,9,0),IF(_xlpm.x=0,"",_xlpm.x)),"")</f>
        <v/>
      </c>
      <c r="Z152" s="6" t="str">
        <f>IFERROR(_xlfn.LET(_xlpm.x,VLOOKUP($C152,[1]Summary!$A$2:$J$118,10,0),IF(_xlpm.x=0,"",_xlpm.x)),"")</f>
        <v/>
      </c>
    </row>
    <row r="153" spans="1:26" x14ac:dyDescent="0.25">
      <c r="A153" s="2">
        <v>1000000000407</v>
      </c>
      <c r="B153" s="5" t="s">
        <v>263</v>
      </c>
      <c r="C153" s="2">
        <v>3000000001129</v>
      </c>
      <c r="D153" s="5" t="s">
        <v>264</v>
      </c>
      <c r="E153" s="1">
        <v>3</v>
      </c>
      <c r="F153" s="1" t="s">
        <v>67</v>
      </c>
      <c r="G153" s="1">
        <v>4</v>
      </c>
      <c r="H153" s="1">
        <v>2</v>
      </c>
      <c r="I153" s="1">
        <v>2</v>
      </c>
      <c r="J153" s="1"/>
      <c r="K153" s="1">
        <v>50</v>
      </c>
      <c r="L153" s="1" t="str">
        <f>IFERROR(_xlfn.LET(_xlpm.x,VLOOKUP($A153,'[1]Markings Threadings'!$B$3:$L$245,3,0),IF(_xlpm.x=0,"",_xlpm.x)),"")</f>
        <v>Orange Green</v>
      </c>
      <c r="M153" s="2">
        <f>IFERROR(_xlfn.LET(_xlpm.x,VLOOKUP($A153,'[1]Markings Threadings'!$B$3:$L$245,7,0),IF(_xlpm.x=0,"",_xlpm.x)),"")</f>
        <v>5000000000558</v>
      </c>
      <c r="N153" s="5" t="str">
        <f>IFERROR(_xlfn.LET(_xlpm.x,VLOOKUP($A153,'[1]Markings Threadings'!$B$3:$L$245,8,0),IF(_xlpm.x=0,"",_xlpm.x)),"")</f>
        <v>v2 - Poultry Solutions Broiler Starter, 50kg</v>
      </c>
      <c r="O153" s="2">
        <f>IFERROR(_xlfn.LET(_xlpm.x,VLOOKUP($A153,'[1]Markings Threadings'!$B$3:$L$245,10,0),IF(_xlpm.x=0,"",_xlpm.x)),"")</f>
        <v>5000000000113</v>
      </c>
      <c r="P153" s="5" t="str">
        <f>IFERROR(_xlfn.LET(_xlpm.x,VLOOKUP($A153,'[1]Markings Threadings'!$B$3:$L$245,11,0),IF(_xlpm.x=0,"",_xlpm.x)),"")</f>
        <v>Tag - Poultry Solutions Broiler Starter Crumble</v>
      </c>
      <c r="Q153" s="1" t="str">
        <f>IFERROR(_xlfn.LET(_xlpm.x,VLOOKUP($A153,'[1]Markings Threadings'!$B$3:$L$245,4,0),IF(_xlpm.x=0,"",_xlpm.x)),"")</f>
        <v>407 CE</v>
      </c>
      <c r="R153" s="1" t="str">
        <f>IFERROR(_xlfn.LET(_xlpm.x,VLOOKUP($A153,'[1]Markings Threadings'!$B$3:$L$245,5,0),IF(_xlpm.x=0,"",_xlpm.x)),"")</f>
        <v/>
      </c>
      <c r="S153" s="1">
        <f>IFERROR(_xlfn.LET(_xlpm.x,VLOOKUP($A153,'[1]Markings Threadings'!$B$3:$L$245,6,0),IF(_xlpm.x=0,"",_xlpm.x)),"")</f>
        <v>7</v>
      </c>
      <c r="T153" s="6" t="str">
        <f>IFERROR(_xlfn.LET(_xlpm.x,VLOOKUP($C153,[1]Summary!$A$2:$J$118,4,0),IF(_xlpm.x=0,"",_xlpm.x)),"")</f>
        <v/>
      </c>
      <c r="U153" s="6" t="str">
        <f>IFERROR(_xlfn.LET(_xlpm.x,VLOOKUP($C153,[1]Summary!$A$2:$J$118,5,0),IF(_xlpm.x=0,"",_xlpm.x)),"")</f>
        <v/>
      </c>
      <c r="V153" s="6">
        <f>IFERROR(_xlfn.LET(_xlpm.x,VLOOKUP($C153,[1]Summary!$A$2:$J$118,6,0),IF(_xlpm.x=0,"",_xlpm.x)),"")</f>
        <v>7.2324138082191771</v>
      </c>
      <c r="W153" s="6">
        <f>IFERROR(_xlfn.LET(_xlpm.x,VLOOKUP($C153,[1]Summary!$A$2:$J$118,7,0),IF(_xlpm.x=0,"",_xlpm.x)),"")</f>
        <v>7.6590842553191489</v>
      </c>
      <c r="X153" s="6" t="str">
        <f>IFERROR(_xlfn.LET(_xlpm.x,VLOOKUP($C153,[1]Summary!$A$2:$J$118,8,0),IF(_xlpm.x=0,"",_xlpm.x)),"")</f>
        <v/>
      </c>
      <c r="Y153" s="6" t="str">
        <f>IFERROR(_xlfn.LET(_xlpm.x,VLOOKUP($C153,[1]Summary!$A$2:$J$118,9,0),IF(_xlpm.x=0,"",_xlpm.x)),"")</f>
        <v/>
      </c>
      <c r="Z153" s="6" t="str">
        <f>IFERROR(_xlfn.LET(_xlpm.x,VLOOKUP($C153,[1]Summary!$A$2:$J$118,10,0),IF(_xlpm.x=0,"",_xlpm.x)),"")</f>
        <v/>
      </c>
    </row>
    <row r="154" spans="1:26" x14ac:dyDescent="0.25">
      <c r="A154" s="2">
        <v>1000000000852</v>
      </c>
      <c r="B154" s="5" t="s">
        <v>307</v>
      </c>
      <c r="C154" s="2">
        <v>3000000000138</v>
      </c>
      <c r="D154" s="5" t="s">
        <v>308</v>
      </c>
      <c r="E154" s="1"/>
      <c r="F154" s="1" t="s">
        <v>44</v>
      </c>
      <c r="G154" s="1">
        <v>2</v>
      </c>
      <c r="H154" s="1">
        <v>2</v>
      </c>
      <c r="I154" s="1">
        <v>2</v>
      </c>
      <c r="J154" s="1"/>
      <c r="K154" s="1">
        <v>50</v>
      </c>
      <c r="L154" s="1" t="str">
        <f>IFERROR(_xlfn.LET(_xlpm.x,VLOOKUP($A154,'[1]Markings Threadings'!$B$3:$L$245,3,0),IF(_xlpm.x=0,"",_xlpm.x)),"")</f>
        <v>Orange Blue</v>
      </c>
      <c r="M154" s="2">
        <f>IFERROR(_xlfn.LET(_xlpm.x,VLOOKUP($A154,'[1]Markings Threadings'!$B$3:$L$245,7,0),IF(_xlpm.x=0,"",_xlpm.x)),"")</f>
        <v>5000000000050</v>
      </c>
      <c r="N154" s="5" t="str">
        <f>IFERROR(_xlfn.LET(_xlpm.x,VLOOKUP($A154,'[1]Markings Threadings'!$B$3:$L$245,8,0),IF(_xlpm.x=0,"",_xlpm.x)),"")</f>
        <v>Empty Sack - Pork Solutions Grower , 50 kg</v>
      </c>
      <c r="O154" s="2">
        <f>IFERROR(_xlfn.LET(_xlpm.x,VLOOKUP($A154,'[1]Markings Threadings'!$B$3:$L$245,10,0),IF(_xlpm.x=0,"",_xlpm.x)),"")</f>
        <v>5000000000110</v>
      </c>
      <c r="P154" s="5" t="str">
        <f>IFERROR(_xlfn.LET(_xlpm.x,VLOOKUP($A154,'[1]Markings Threadings'!$B$3:$L$245,11,0),IF(_xlpm.x=0,"",_xlpm.x)),"")</f>
        <v>Tag - Pork Solutions Grower Mash</v>
      </c>
      <c r="Q154" s="1" t="str">
        <f>IFERROR(_xlfn.LET(_xlpm.x,VLOOKUP($A154,'[1]Markings Threadings'!$B$3:$L$245,4,0),IF(_xlpm.x=0,"",_xlpm.x)),"")</f>
        <v>852 G1 PH</v>
      </c>
      <c r="R154" s="1" t="str">
        <f>IFERROR(_xlfn.LET(_xlpm.x,VLOOKUP($A154,'[1]Markings Threadings'!$B$3:$L$245,5,0),IF(_xlpm.x=0,"",_xlpm.x)),"")</f>
        <v/>
      </c>
      <c r="S154" s="1">
        <f>IFERROR(_xlfn.LET(_xlpm.x,VLOOKUP($A154,'[1]Markings Threadings'!$B$3:$L$245,6,0),IF(_xlpm.x=0,"",_xlpm.x)),"")</f>
        <v>6</v>
      </c>
      <c r="T154" s="6" t="str">
        <f>IFERROR(_xlfn.LET(_xlpm.x,VLOOKUP($C154,[1]Summary!$A$2:$J$118,4,0),IF(_xlpm.x=0,"",_xlpm.x)),"")</f>
        <v/>
      </c>
      <c r="U154" s="6" t="str">
        <f>IFERROR(_xlfn.LET(_xlpm.x,VLOOKUP($C154,[1]Summary!$A$2:$J$118,5,0),IF(_xlpm.x=0,"",_xlpm.x)),"")</f>
        <v/>
      </c>
      <c r="V154" s="6" t="str">
        <f>IFERROR(_xlfn.LET(_xlpm.x,VLOOKUP($C154,[1]Summary!$A$2:$J$118,6,0),IF(_xlpm.x=0,"",_xlpm.x)),"")</f>
        <v/>
      </c>
      <c r="W154" s="6" t="str">
        <f>IFERROR(_xlfn.LET(_xlpm.x,VLOOKUP($C154,[1]Summary!$A$2:$J$118,7,0),IF(_xlpm.x=0,"",_xlpm.x)),"")</f>
        <v/>
      </c>
      <c r="X154" s="6" t="str">
        <f>IFERROR(_xlfn.LET(_xlpm.x,VLOOKUP($C154,[1]Summary!$A$2:$J$118,8,0),IF(_xlpm.x=0,"",_xlpm.x)),"")</f>
        <v/>
      </c>
      <c r="Y154" s="6" t="str">
        <f>IFERROR(_xlfn.LET(_xlpm.x,VLOOKUP($C154,[1]Summary!$A$2:$J$118,9,0),IF(_xlpm.x=0,"",_xlpm.x)),"")</f>
        <v/>
      </c>
      <c r="Z154" s="6" t="str">
        <f>IFERROR(_xlfn.LET(_xlpm.x,VLOOKUP($C154,[1]Summary!$A$2:$J$118,10,0),IF(_xlpm.x=0,"",_xlpm.x)),"")</f>
        <v/>
      </c>
    </row>
    <row r="155" spans="1:26" x14ac:dyDescent="0.25">
      <c r="A155" s="2">
        <v>1000000000851</v>
      </c>
      <c r="B155" s="5" t="s">
        <v>309</v>
      </c>
      <c r="C155" s="2">
        <v>3000000000136</v>
      </c>
      <c r="D155" s="5" t="s">
        <v>310</v>
      </c>
      <c r="E155" s="1"/>
      <c r="F155" s="1" t="s">
        <v>44</v>
      </c>
      <c r="G155" s="1">
        <v>2</v>
      </c>
      <c r="H155" s="1">
        <v>2</v>
      </c>
      <c r="I155" s="1">
        <v>2</v>
      </c>
      <c r="J155" s="1"/>
      <c r="K155" s="1">
        <v>50</v>
      </c>
      <c r="L155" s="1" t="str">
        <f>IFERROR(_xlfn.LET(_xlpm.x,VLOOKUP($A155,'[1]Markings Threadings'!$B$3:$L$245,3,0),IF(_xlpm.x=0,"",_xlpm.x)),"")</f>
        <v>Orange</v>
      </c>
      <c r="M155" s="2">
        <f>IFERROR(_xlfn.LET(_xlpm.x,VLOOKUP($A155,'[1]Markings Threadings'!$B$3:$L$245,7,0),IF(_xlpm.x=0,"",_xlpm.x)),"")</f>
        <v>5000000000001</v>
      </c>
      <c r="N155" s="5" t="str">
        <f>IFERROR(_xlfn.LET(_xlpm.x,VLOOKUP($A155,'[1]Markings Threadings'!$B$3:$L$245,8,0),IF(_xlpm.x=0,"",_xlpm.x)),"")</f>
        <v>Pork Solution Starter N</v>
      </c>
      <c r="O155" s="2">
        <f>IFERROR(_xlfn.LET(_xlpm.x,VLOOKUP($A155,'[1]Markings Threadings'!$B$3:$L$245,10,0),IF(_xlpm.x=0,"",_xlpm.x)),"")</f>
        <v>5000000000103</v>
      </c>
      <c r="P155" s="5" t="str">
        <f>IFERROR(_xlfn.LET(_xlpm.x,VLOOKUP($A155,'[1]Markings Threadings'!$B$3:$L$245,11,0),IF(_xlpm.x=0,"",_xlpm.x)),"")</f>
        <v>Tag Pork Solution Starter (P)</v>
      </c>
      <c r="Q155" s="1" t="str">
        <f>IFERROR(_xlfn.LET(_xlpm.x,VLOOKUP($A155,'[1]Markings Threadings'!$B$3:$L$245,4,0),IF(_xlpm.x=0,"",_xlpm.x)),"")</f>
        <v>851 STR PH</v>
      </c>
      <c r="R155" s="1" t="str">
        <f>IFERROR(_xlfn.LET(_xlpm.x,VLOOKUP($A155,'[1]Markings Threadings'!$B$3:$L$245,5,0),IF(_xlpm.x=0,"",_xlpm.x)),"")</f>
        <v/>
      </c>
      <c r="S155" s="1">
        <f>IFERROR(_xlfn.LET(_xlpm.x,VLOOKUP($A155,'[1]Markings Threadings'!$B$3:$L$245,6,0),IF(_xlpm.x=0,"",_xlpm.x)),"")</f>
        <v>2</v>
      </c>
      <c r="T155" s="6" t="str">
        <f>IFERROR(_xlfn.LET(_xlpm.x,VLOOKUP($C155,[1]Summary!$A$2:$J$118,4,0),IF(_xlpm.x=0,"",_xlpm.x)),"")</f>
        <v/>
      </c>
      <c r="U155" s="6" t="str">
        <f>IFERROR(_xlfn.LET(_xlpm.x,VLOOKUP($C155,[1]Summary!$A$2:$J$118,5,0),IF(_xlpm.x=0,"",_xlpm.x)),"")</f>
        <v/>
      </c>
      <c r="V155" s="6" t="str">
        <f>IFERROR(_xlfn.LET(_xlpm.x,VLOOKUP($C155,[1]Summary!$A$2:$J$118,6,0),IF(_xlpm.x=0,"",_xlpm.x)),"")</f>
        <v/>
      </c>
      <c r="W155" s="6" t="str">
        <f>IFERROR(_xlfn.LET(_xlpm.x,VLOOKUP($C155,[1]Summary!$A$2:$J$118,7,0),IF(_xlpm.x=0,"",_xlpm.x)),"")</f>
        <v/>
      </c>
      <c r="X155" s="6" t="str">
        <f>IFERROR(_xlfn.LET(_xlpm.x,VLOOKUP($C155,[1]Summary!$A$2:$J$118,8,0),IF(_xlpm.x=0,"",_xlpm.x)),"")</f>
        <v/>
      </c>
      <c r="Y155" s="6" t="str">
        <f>IFERROR(_xlfn.LET(_xlpm.x,VLOOKUP($C155,[1]Summary!$A$2:$J$118,9,0),IF(_xlpm.x=0,"",_xlpm.x)),"")</f>
        <v/>
      </c>
      <c r="Z155" s="6" t="str">
        <f>IFERROR(_xlfn.LET(_xlpm.x,VLOOKUP($C155,[1]Summary!$A$2:$J$118,10,0),IF(_xlpm.x=0,"",_xlpm.x)),"")</f>
        <v/>
      </c>
    </row>
    <row r="156" spans="1:26" x14ac:dyDescent="0.25">
      <c r="A156" s="2">
        <v>1000000001015</v>
      </c>
      <c r="B156" s="5" t="s">
        <v>311</v>
      </c>
      <c r="C156" s="2">
        <v>3000000000276</v>
      </c>
      <c r="D156" s="5" t="s">
        <v>270</v>
      </c>
      <c r="E156" s="1"/>
      <c r="F156" s="1" t="s">
        <v>44</v>
      </c>
      <c r="G156" s="1">
        <v>2</v>
      </c>
      <c r="H156" s="1">
        <v>2</v>
      </c>
      <c r="I156" s="1">
        <v>2</v>
      </c>
      <c r="J156" s="1"/>
      <c r="K156" s="1">
        <v>50</v>
      </c>
      <c r="L156" s="1" t="str">
        <f>IFERROR(_xlfn.LET(_xlpm.x,VLOOKUP($A156,'[1]Markings Threadings'!$B$3:$L$245,3,0),IF(_xlpm.x=0,"",_xlpm.x)),"")</f>
        <v>Orange</v>
      </c>
      <c r="M156" s="2">
        <f>IFERROR(_xlfn.LET(_xlpm.x,VLOOKUP($A156,'[1]Markings Threadings'!$B$3:$L$245,7,0),IF(_xlpm.x=0,"",_xlpm.x)),"")</f>
        <v>5000000000555</v>
      </c>
      <c r="N156" s="5" t="str">
        <f>IFERROR(_xlfn.LET(_xlpm.x,VLOOKUP($A156,'[1]Markings Threadings'!$B$3:$L$245,8,0),IF(_xlpm.x=0,"",_xlpm.x)),"")</f>
        <v>v2 - Poultry Solutions Breeder Layer 1, 50kg</v>
      </c>
      <c r="O156" s="2">
        <f>IFERROR(_xlfn.LET(_xlpm.x,VLOOKUP($A156,'[1]Markings Threadings'!$B$3:$L$245,10,0),IF(_xlpm.x=0,"",_xlpm.x)),"")</f>
        <v>5000000000187</v>
      </c>
      <c r="P156" s="5" t="str">
        <f>IFERROR(_xlfn.LET(_xlpm.x,VLOOKUP($A156,'[1]Markings Threadings'!$B$3:$L$245,11,0),IF(_xlpm.x=0,"",_xlpm.x)),"")</f>
        <v>Tag - Poultry Solutions Breeder Layer 1 Mash, 50kg</v>
      </c>
      <c r="Q156" s="1" t="str">
        <f>IFERROR(_xlfn.LET(_xlpm.x,VLOOKUP($A156,'[1]Markings Threadings'!$B$3:$L$245,4,0),IF(_xlpm.x=0,"",_xlpm.x)),"")</f>
        <v xml:space="preserve">1015 - Brdr L -1 </v>
      </c>
      <c r="R156" s="1" t="str">
        <f>IFERROR(_xlfn.LET(_xlpm.x,VLOOKUP($A156,'[1]Markings Threadings'!$B$3:$L$245,5,0),IF(_xlpm.x=0,"",_xlpm.x)),"")</f>
        <v/>
      </c>
      <c r="S156" s="1">
        <f>IFERROR(_xlfn.LET(_xlpm.x,VLOOKUP($A156,'[1]Markings Threadings'!$B$3:$L$245,6,0),IF(_xlpm.x=0,"",_xlpm.x)),"")</f>
        <v>6</v>
      </c>
      <c r="T156" s="6" t="str">
        <f>IFERROR(_xlfn.LET(_xlpm.x,VLOOKUP($C156,[1]Summary!$A$2:$J$118,4,0),IF(_xlpm.x=0,"",_xlpm.x)),"")</f>
        <v/>
      </c>
      <c r="U156" s="6" t="str">
        <f>IFERROR(_xlfn.LET(_xlpm.x,VLOOKUP($C156,[1]Summary!$A$2:$J$118,5,0),IF(_xlpm.x=0,"",_xlpm.x)),"")</f>
        <v/>
      </c>
      <c r="V156" s="6" t="str">
        <f>IFERROR(_xlfn.LET(_xlpm.x,VLOOKUP($C156,[1]Summary!$A$2:$J$118,6,0),IF(_xlpm.x=0,"",_xlpm.x)),"")</f>
        <v/>
      </c>
      <c r="W156" s="6" t="str">
        <f>IFERROR(_xlfn.LET(_xlpm.x,VLOOKUP($C156,[1]Summary!$A$2:$J$118,7,0),IF(_xlpm.x=0,"",_xlpm.x)),"")</f>
        <v/>
      </c>
      <c r="X156" s="6" t="str">
        <f>IFERROR(_xlfn.LET(_xlpm.x,VLOOKUP($C156,[1]Summary!$A$2:$J$118,8,0),IF(_xlpm.x=0,"",_xlpm.x)),"")</f>
        <v/>
      </c>
      <c r="Y156" s="6" t="str">
        <f>IFERROR(_xlfn.LET(_xlpm.x,VLOOKUP($C156,[1]Summary!$A$2:$J$118,9,0),IF(_xlpm.x=0,"",_xlpm.x)),"")</f>
        <v/>
      </c>
      <c r="Z156" s="6" t="str">
        <f>IFERROR(_xlfn.LET(_xlpm.x,VLOOKUP($C156,[1]Summary!$A$2:$J$118,10,0),IF(_xlpm.x=0,"",_xlpm.x)),"")</f>
        <v/>
      </c>
    </row>
    <row r="157" spans="1:26" x14ac:dyDescent="0.25">
      <c r="A157" s="2">
        <v>1000000000408</v>
      </c>
      <c r="B157" s="5" t="s">
        <v>312</v>
      </c>
      <c r="C157" s="2">
        <v>3000000001131</v>
      </c>
      <c r="D157" s="5" t="s">
        <v>313</v>
      </c>
      <c r="E157" s="1">
        <v>3</v>
      </c>
      <c r="F157" s="1" t="s">
        <v>86</v>
      </c>
      <c r="G157" s="1">
        <v>4</v>
      </c>
      <c r="H157" s="1">
        <v>2</v>
      </c>
      <c r="I157" s="1">
        <v>2</v>
      </c>
      <c r="J157" s="1"/>
      <c r="K157" s="1">
        <v>50</v>
      </c>
      <c r="L157" s="1" t="str">
        <f>IFERROR(_xlfn.LET(_xlpm.x,VLOOKUP($A157,'[1]Markings Threadings'!$B$3:$L$245,3,0),IF(_xlpm.x=0,"",_xlpm.x)),"")</f>
        <v>Orange Green</v>
      </c>
      <c r="M157" s="2">
        <f>IFERROR(_xlfn.LET(_xlpm.x,VLOOKUP($A157,'[1]Markings Threadings'!$B$3:$L$245,7,0),IF(_xlpm.x=0,"",_xlpm.x)),"")</f>
        <v>5000000000559</v>
      </c>
      <c r="N157" s="5" t="str">
        <f>IFERROR(_xlfn.LET(_xlpm.x,VLOOKUP($A157,'[1]Markings Threadings'!$B$3:$L$245,8,0),IF(_xlpm.x=0,"",_xlpm.x)),"")</f>
        <v>v2 - Poultry Solutions Broiler Finisher, 50kg</v>
      </c>
      <c r="O157" s="2">
        <f>IFERROR(_xlfn.LET(_xlpm.x,VLOOKUP($A157,'[1]Markings Threadings'!$B$3:$L$245,10,0),IF(_xlpm.x=0,"",_xlpm.x)),"")</f>
        <v>5000000000115</v>
      </c>
      <c r="P157" s="5" t="str">
        <f>IFERROR(_xlfn.LET(_xlpm.x,VLOOKUP($A157,'[1]Markings Threadings'!$B$3:$L$245,11,0),IF(_xlpm.x=0,"",_xlpm.x)),"")</f>
        <v>Tag - Poultry Solutions Broiler Finisher Crumble</v>
      </c>
      <c r="Q157" s="1" t="str">
        <f>IFERROR(_xlfn.LET(_xlpm.x,VLOOKUP($A157,'[1]Markings Threadings'!$B$3:$L$245,4,0),IF(_xlpm.x=0,"",_xlpm.x)),"")</f>
        <v>408 CE</v>
      </c>
      <c r="R157" s="1" t="str">
        <f>IFERROR(_xlfn.LET(_xlpm.x,VLOOKUP($A157,'[1]Markings Threadings'!$B$3:$L$245,5,0),IF(_xlpm.x=0,"",_xlpm.x)),"")</f>
        <v/>
      </c>
      <c r="S157" s="1">
        <f>IFERROR(_xlfn.LET(_xlpm.x,VLOOKUP($A157,'[1]Markings Threadings'!$B$3:$L$245,6,0),IF(_xlpm.x=0,"",_xlpm.x)),"")</f>
        <v>7</v>
      </c>
      <c r="T157" s="6" t="str">
        <f>IFERROR(_xlfn.LET(_xlpm.x,VLOOKUP($C157,[1]Summary!$A$2:$J$118,4,0),IF(_xlpm.x=0,"",_xlpm.x)),"")</f>
        <v/>
      </c>
      <c r="U157" s="6" t="str">
        <f>IFERROR(_xlfn.LET(_xlpm.x,VLOOKUP($C157,[1]Summary!$A$2:$J$118,5,0),IF(_xlpm.x=0,"",_xlpm.x)),"")</f>
        <v/>
      </c>
      <c r="V157" s="6" t="str">
        <f>IFERROR(_xlfn.LET(_xlpm.x,VLOOKUP($C157,[1]Summary!$A$2:$J$118,6,0),IF(_xlpm.x=0,"",_xlpm.x)),"")</f>
        <v/>
      </c>
      <c r="W157" s="6" t="str">
        <f>IFERROR(_xlfn.LET(_xlpm.x,VLOOKUP($C157,[1]Summary!$A$2:$J$118,7,0),IF(_xlpm.x=0,"",_xlpm.x)),"")</f>
        <v/>
      </c>
      <c r="X157" s="6" t="str">
        <f>IFERROR(_xlfn.LET(_xlpm.x,VLOOKUP($C157,[1]Summary!$A$2:$J$118,8,0),IF(_xlpm.x=0,"",_xlpm.x)),"")</f>
        <v/>
      </c>
      <c r="Y157" s="6" t="str">
        <f>IFERROR(_xlfn.LET(_xlpm.x,VLOOKUP($C157,[1]Summary!$A$2:$J$118,9,0),IF(_xlpm.x=0,"",_xlpm.x)),"")</f>
        <v/>
      </c>
      <c r="Z157" s="6">
        <f>IFERROR(_xlfn.LET(_xlpm.x,VLOOKUP($C157,[1]Summary!$A$2:$J$118,10,0),IF(_xlpm.x=0,"",_xlpm.x)),"")</f>
        <v>9.0200090829694339</v>
      </c>
    </row>
    <row r="158" spans="1:26" x14ac:dyDescent="0.25">
      <c r="A158" s="2">
        <v>1000000000239</v>
      </c>
      <c r="B158" s="5" t="s">
        <v>314</v>
      </c>
      <c r="C158" s="2">
        <v>3000000000567</v>
      </c>
      <c r="D158" s="5" t="s">
        <v>315</v>
      </c>
      <c r="E158" s="1">
        <v>3</v>
      </c>
      <c r="F158" s="1" t="s">
        <v>86</v>
      </c>
      <c r="G158" s="1">
        <v>4</v>
      </c>
      <c r="H158" s="1">
        <v>2</v>
      </c>
      <c r="I158" s="1">
        <v>2</v>
      </c>
      <c r="J158" s="1"/>
      <c r="K158" s="1">
        <v>10</v>
      </c>
      <c r="L158" s="1" t="str">
        <f>IFERROR(_xlfn.LET(_xlpm.x,VLOOKUP($A158,'[1]Markings Threadings'!$B$3:$L$245,3,0),IF(_xlpm.x=0,"",_xlpm.x)),"")</f>
        <v>White</v>
      </c>
      <c r="M158" s="2">
        <f>IFERROR(_xlfn.LET(_xlpm.x,VLOOKUP($A158,'[1]Markings Threadings'!$B$3:$L$245,7,0),IF(_xlpm.x=0,"",_xlpm.x)),"")</f>
        <v>5000000000420</v>
      </c>
      <c r="N158" s="5" t="str">
        <f>IFERROR(_xlfn.LET(_xlpm.x,VLOOKUP($A158,'[1]Markings Threadings'!$B$3:$L$245,8,0),IF(_xlpm.x=0,"",_xlpm.x)),"")</f>
        <v>Elite XP Hog Sprinter 10kg. Mocha PP bag</v>
      </c>
      <c r="O158" s="2">
        <f>IFERROR(_xlfn.LET(_xlpm.x,VLOOKUP($A158,'[1]Markings Threadings'!$B$3:$L$245,10,0),IF(_xlpm.x=0,"",_xlpm.x)),"")</f>
        <v>5000000000479</v>
      </c>
      <c r="P158" s="5" t="str">
        <f>IFERROR(_xlfn.LET(_xlpm.x,VLOOKUP($A158,'[1]Markings Threadings'!$B$3:$L$245,11,0),IF(_xlpm.x=0,"",_xlpm.x)),"")</f>
        <v>Tag- Elite XP Sprinter Mini-Pellet, Pellet 10 kg</v>
      </c>
      <c r="Q158" s="1" t="str">
        <f>IFERROR(_xlfn.LET(_xlpm.x,VLOOKUP($A158,'[1]Markings Threadings'!$B$3:$L$245,4,0),IF(_xlpm.x=0,"",_xlpm.x)),"")</f>
        <v/>
      </c>
      <c r="R158" s="1" t="str">
        <f>IFERROR(_xlfn.LET(_xlpm.x,VLOOKUP($A158,'[1]Markings Threadings'!$B$3:$L$245,5,0),IF(_xlpm.x=0,"",_xlpm.x)),"")</f>
        <v/>
      </c>
      <c r="S158" s="1">
        <f>IFERROR(_xlfn.LET(_xlpm.x,VLOOKUP($A158,'[1]Markings Threadings'!$B$3:$L$245,6,0),IF(_xlpm.x=0,"",_xlpm.x)),"")</f>
        <v>1</v>
      </c>
      <c r="T158" s="6" t="str">
        <f>IFERROR(_xlfn.LET(_xlpm.x,VLOOKUP($C158,[1]Summary!$A$2:$J$118,4,0),IF(_xlpm.x=0,"",_xlpm.x)),"")</f>
        <v/>
      </c>
      <c r="U158" s="6" t="str">
        <f>IFERROR(_xlfn.LET(_xlpm.x,VLOOKUP($C158,[1]Summary!$A$2:$J$118,5,0),IF(_xlpm.x=0,"",_xlpm.x)),"")</f>
        <v/>
      </c>
      <c r="V158" s="6" t="str">
        <f>IFERROR(_xlfn.LET(_xlpm.x,VLOOKUP($C158,[1]Summary!$A$2:$J$118,6,0),IF(_xlpm.x=0,"",_xlpm.x)),"")</f>
        <v/>
      </c>
      <c r="W158" s="6" t="str">
        <f>IFERROR(_xlfn.LET(_xlpm.x,VLOOKUP($C158,[1]Summary!$A$2:$J$118,7,0),IF(_xlpm.x=0,"",_xlpm.x)),"")</f>
        <v/>
      </c>
      <c r="X158" s="6" t="str">
        <f>IFERROR(_xlfn.LET(_xlpm.x,VLOOKUP($C158,[1]Summary!$A$2:$J$118,8,0),IF(_xlpm.x=0,"",_xlpm.x)),"")</f>
        <v/>
      </c>
      <c r="Y158" s="6">
        <f>IFERROR(_xlfn.LET(_xlpm.x,VLOOKUP($C158,[1]Summary!$A$2:$J$118,9,0),IF(_xlpm.x=0,"",_xlpm.x)),"")</f>
        <v>6.5007125959367951</v>
      </c>
      <c r="Z158" s="6">
        <f>IFERROR(_xlfn.LET(_xlpm.x,VLOOKUP($C158,[1]Summary!$A$2:$J$118,10,0),IF(_xlpm.x=0,"",_xlpm.x)),"")</f>
        <v>6.5671997113545872</v>
      </c>
    </row>
    <row r="159" spans="1:26" x14ac:dyDescent="0.25">
      <c r="A159" s="2">
        <v>1000000000915</v>
      </c>
      <c r="B159" s="5" t="s">
        <v>316</v>
      </c>
      <c r="C159" s="2">
        <v>3000000000076</v>
      </c>
      <c r="D159" s="5" t="s">
        <v>77</v>
      </c>
      <c r="E159" s="1">
        <v>3</v>
      </c>
      <c r="F159" s="1" t="s">
        <v>47</v>
      </c>
      <c r="G159" s="1">
        <v>4</v>
      </c>
      <c r="H159" s="1">
        <v>2</v>
      </c>
      <c r="I159" s="1">
        <v>2</v>
      </c>
      <c r="J159" s="1"/>
      <c r="K159" s="1">
        <v>25</v>
      </c>
      <c r="L159" s="1" t="str">
        <f>IFERROR(_xlfn.LET(_xlpm.x,VLOOKUP($A159,'[1]Markings Threadings'!$B$3:$L$245,3,0),IF(_xlpm.x=0,"",_xlpm.x)),"")</f>
        <v>Green</v>
      </c>
      <c r="M159" s="2">
        <f>IFERROR(_xlfn.LET(_xlpm.x,VLOOKUP($A159,'[1]Markings Threadings'!$B$3:$L$245,7,0),IF(_xlpm.x=0,"",_xlpm.x)),"")</f>
        <v>5000000000451</v>
      </c>
      <c r="N159" s="5" t="str">
        <f>IFERROR(_xlfn.LET(_xlpm.x,VLOOKUP($A159,'[1]Markings Threadings'!$B$3:$L$245,8,0),IF(_xlpm.x=0,"",_xlpm.x)),"")</f>
        <v>Pouch Salto Baby Stag Dev 1kg Corn Grits</v>
      </c>
      <c r="O159" s="2">
        <f>IFERROR(_xlfn.LET(_xlpm.x,VLOOKUP($A159,'[1]Markings Threadings'!$B$3:$L$245,10,0),IF(_xlpm.x=0,"",_xlpm.x)),"")</f>
        <v>5000000000130</v>
      </c>
      <c r="P159" s="5" t="str">
        <f>IFERROR(_xlfn.LET(_xlpm.x,VLOOKUP($A159,'[1]Markings Threadings'!$B$3:$L$245,11,0),IF(_xlpm.x=0,"",_xlpm.x)),"")</f>
        <v>Tag - Salto Bundle Pack</v>
      </c>
      <c r="Q159" s="1" t="str">
        <f>IFERROR(_xlfn.LET(_xlpm.x,VLOOKUP($A159,'[1]Markings Threadings'!$B$3:$L$245,4,0),IF(_xlpm.x=0,"",_xlpm.x)),"")</f>
        <v/>
      </c>
      <c r="R159" s="1" t="str">
        <f>IFERROR(_xlfn.LET(_xlpm.x,VLOOKUP($A159,'[1]Markings Threadings'!$B$3:$L$245,5,0),IF(_xlpm.x=0,"",_xlpm.x)),"")</f>
        <v/>
      </c>
      <c r="S159" s="1">
        <f>IFERROR(_xlfn.LET(_xlpm.x,VLOOKUP($A159,'[1]Markings Threadings'!$B$3:$L$245,6,0),IF(_xlpm.x=0,"",_xlpm.x)),"")</f>
        <v>1</v>
      </c>
      <c r="T159" s="6" t="str">
        <f>IFERROR(_xlfn.LET(_xlpm.x,VLOOKUP($C159,[1]Summary!$A$2:$J$118,4,0),IF(_xlpm.x=0,"",_xlpm.x)),"")</f>
        <v/>
      </c>
      <c r="U159" s="6" t="str">
        <f>IFERROR(_xlfn.LET(_xlpm.x,VLOOKUP($C159,[1]Summary!$A$2:$J$118,5,0),IF(_xlpm.x=0,"",_xlpm.x)),"")</f>
        <v/>
      </c>
      <c r="V159" s="6">
        <f>IFERROR(_xlfn.LET(_xlpm.x,VLOOKUP($C159,[1]Summary!$A$2:$J$118,6,0),IF(_xlpm.x=0,"",_xlpm.x)),"")</f>
        <v>6.5492321808127008</v>
      </c>
      <c r="W159" s="6">
        <f>IFERROR(_xlfn.LET(_xlpm.x,VLOOKUP($C159,[1]Summary!$A$2:$J$118,7,0),IF(_xlpm.x=0,"",_xlpm.x)),"")</f>
        <v>7.5474284815724832</v>
      </c>
      <c r="X159" s="6" t="str">
        <f>IFERROR(_xlfn.LET(_xlpm.x,VLOOKUP($C159,[1]Summary!$A$2:$J$118,8,0),IF(_xlpm.x=0,"",_xlpm.x)),"")</f>
        <v/>
      </c>
      <c r="Y159" s="6">
        <f>IFERROR(_xlfn.LET(_xlpm.x,VLOOKUP($C159,[1]Summary!$A$2:$J$118,9,0),IF(_xlpm.x=0,"",_xlpm.x)),"")</f>
        <v>5.8662912000000009</v>
      </c>
      <c r="Z159" s="6" t="str">
        <f>IFERROR(_xlfn.LET(_xlpm.x,VLOOKUP($C159,[1]Summary!$A$2:$J$118,10,0),IF(_xlpm.x=0,"",_xlpm.x)),"")</f>
        <v/>
      </c>
    </row>
    <row r="160" spans="1:26" x14ac:dyDescent="0.25">
      <c r="A160" s="2">
        <v>1000000000344</v>
      </c>
      <c r="B160" s="5" t="s">
        <v>317</v>
      </c>
      <c r="C160" s="2">
        <v>3000000000567</v>
      </c>
      <c r="D160" s="5" t="s">
        <v>318</v>
      </c>
      <c r="E160" s="1">
        <v>3</v>
      </c>
      <c r="F160" s="1" t="s">
        <v>86</v>
      </c>
      <c r="G160" s="1">
        <v>4</v>
      </c>
      <c r="H160" s="1">
        <v>2</v>
      </c>
      <c r="I160" s="1">
        <v>2</v>
      </c>
      <c r="J160" s="1"/>
      <c r="K160" s="1">
        <v>25</v>
      </c>
      <c r="L160" s="1" t="str">
        <f>IFERROR(_xlfn.LET(_xlpm.x,VLOOKUP($A160,'[1]Markings Threadings'!$B$3:$L$245,3,0),IF(_xlpm.x=0,"",_xlpm.x)),"")</f>
        <v>White</v>
      </c>
      <c r="M160" s="2">
        <f>IFERROR(_xlfn.LET(_xlpm.x,VLOOKUP($A160,'[1]Markings Threadings'!$B$3:$L$245,7,0),IF(_xlpm.x=0,"",_xlpm.x)),"")</f>
        <v>5000000000163</v>
      </c>
      <c r="N160" s="5" t="str">
        <f>IFERROR(_xlfn.LET(_xlpm.x,VLOOKUP($A160,'[1]Markings Threadings'!$B$3:$L$245,8,0),IF(_xlpm.x=0,"",_xlpm.x)),"")</f>
        <v>v2- Bundle Packaging for Elite Sprinter 1kg, 25kg</v>
      </c>
      <c r="O160" s="2">
        <f>IFERROR(_xlfn.LET(_xlpm.x,VLOOKUP($A160,'[1]Markings Threadings'!$B$3:$L$245,10,0),IF(_xlpm.x=0,"",_xlpm.x)),"")</f>
        <v>5000000000479</v>
      </c>
      <c r="P160" s="5" t="str">
        <f>IFERROR(_xlfn.LET(_xlpm.x,VLOOKUP($A160,'[1]Markings Threadings'!$B$3:$L$245,11,0),IF(_xlpm.x=0,"",_xlpm.x)),"")</f>
        <v>Tag- Elite XP Sprinter Mini-Pellet, Pellet 10 kg</v>
      </c>
      <c r="Q160" s="1" t="str">
        <f>IFERROR(_xlfn.LET(_xlpm.x,VLOOKUP($A160,'[1]Markings Threadings'!$B$3:$L$245,4,0),IF(_xlpm.x=0,"",_xlpm.x)),"")</f>
        <v/>
      </c>
      <c r="R160" s="1" t="str">
        <f>IFERROR(_xlfn.LET(_xlpm.x,VLOOKUP($A160,'[1]Markings Threadings'!$B$3:$L$245,5,0),IF(_xlpm.x=0,"",_xlpm.x)),"")</f>
        <v/>
      </c>
      <c r="S160" s="1">
        <f>IFERROR(_xlfn.LET(_xlpm.x,VLOOKUP($A160,'[1]Markings Threadings'!$B$3:$L$245,6,0),IF(_xlpm.x=0,"",_xlpm.x)),"")</f>
        <v>2</v>
      </c>
      <c r="T160" s="6" t="str">
        <f>IFERROR(_xlfn.LET(_xlpm.x,VLOOKUP($C160,[1]Summary!$A$2:$J$118,4,0),IF(_xlpm.x=0,"",_xlpm.x)),"")</f>
        <v/>
      </c>
      <c r="U160" s="6" t="str">
        <f>IFERROR(_xlfn.LET(_xlpm.x,VLOOKUP($C160,[1]Summary!$A$2:$J$118,5,0),IF(_xlpm.x=0,"",_xlpm.x)),"")</f>
        <v/>
      </c>
      <c r="V160" s="6" t="str">
        <f>IFERROR(_xlfn.LET(_xlpm.x,VLOOKUP($C160,[1]Summary!$A$2:$J$118,6,0),IF(_xlpm.x=0,"",_xlpm.x)),"")</f>
        <v/>
      </c>
      <c r="W160" s="6" t="str">
        <f>IFERROR(_xlfn.LET(_xlpm.x,VLOOKUP($C160,[1]Summary!$A$2:$J$118,7,0),IF(_xlpm.x=0,"",_xlpm.x)),"")</f>
        <v/>
      </c>
      <c r="X160" s="6" t="str">
        <f>IFERROR(_xlfn.LET(_xlpm.x,VLOOKUP($C160,[1]Summary!$A$2:$J$118,8,0),IF(_xlpm.x=0,"",_xlpm.x)),"")</f>
        <v/>
      </c>
      <c r="Y160" s="6">
        <f>IFERROR(_xlfn.LET(_xlpm.x,VLOOKUP($C160,[1]Summary!$A$2:$J$118,9,0),IF(_xlpm.x=0,"",_xlpm.x)),"")</f>
        <v>6.5007125959367951</v>
      </c>
      <c r="Z160" s="6">
        <f>IFERROR(_xlfn.LET(_xlpm.x,VLOOKUP($C160,[1]Summary!$A$2:$J$118,10,0),IF(_xlpm.x=0,"",_xlpm.x)),"")</f>
        <v>6.5671997113545872</v>
      </c>
    </row>
    <row r="161" spans="1:26" x14ac:dyDescent="0.25">
      <c r="A161" s="2">
        <v>1000000000473</v>
      </c>
      <c r="B161" s="5" t="s">
        <v>319</v>
      </c>
      <c r="C161" s="2">
        <v>3000000000076</v>
      </c>
      <c r="D161" s="5" t="s">
        <v>77</v>
      </c>
      <c r="E161" s="1"/>
      <c r="F161" s="1" t="s">
        <v>75</v>
      </c>
      <c r="G161" s="1">
        <v>4</v>
      </c>
      <c r="H161" s="1">
        <v>2</v>
      </c>
      <c r="I161" s="1">
        <v>2</v>
      </c>
      <c r="J161" s="1"/>
      <c r="K161" s="1">
        <v>50</v>
      </c>
      <c r="L161" s="1" t="str">
        <f>IFERROR(_xlfn.LET(_xlpm.x,VLOOKUP($A161,'[1]Markings Threadings'!$B$3:$L$245,3,0),IF(_xlpm.x=0,"",_xlpm.x)),"")</f>
        <v>White</v>
      </c>
      <c r="M161" s="2">
        <f>IFERROR(_xlfn.LET(_xlpm.x,VLOOKUP($A161,'[1]Markings Threadings'!$B$3:$L$245,7,0),IF(_xlpm.x=0,"",_xlpm.x)),"")</f>
        <v>5000000000717</v>
      </c>
      <c r="N161" s="5" t="str">
        <f>IFERROR(_xlfn.LET(_xlpm.x,VLOOKUP($A161,'[1]Markings Threadings'!$B$3:$L$245,8,0),IF(_xlpm.x=0,"",_xlpm.x)),"")</f>
        <v>Empty Sack - Salto Baby Stag Developer, 50kg</v>
      </c>
      <c r="O161" s="2">
        <f>IFERROR(_xlfn.LET(_xlpm.x,VLOOKUP($A161,'[1]Markings Threadings'!$B$3:$L$245,10,0),IF(_xlpm.x=0,"",_xlpm.x)),"")</f>
        <v>5000000000720</v>
      </c>
      <c r="P161" s="5" t="str">
        <f>IFERROR(_xlfn.LET(_xlpm.x,VLOOKUP($A161,'[1]Markings Threadings'!$B$3:$L$245,11,0),IF(_xlpm.x=0,"",_xlpm.x)),"")</f>
        <v>Tag - Salto Baby Stag Developer, 50kg</v>
      </c>
      <c r="Q161" s="1" t="str">
        <f>IFERROR(_xlfn.LET(_xlpm.x,VLOOKUP($A161,'[1]Markings Threadings'!$B$3:$L$245,4,0),IF(_xlpm.x=0,"",_xlpm.x)),"")</f>
        <v/>
      </c>
      <c r="R161" s="1" t="str">
        <f>IFERROR(_xlfn.LET(_xlpm.x,VLOOKUP($A161,'[1]Markings Threadings'!$B$3:$L$245,5,0),IF(_xlpm.x=0,"",_xlpm.x)),"")</f>
        <v/>
      </c>
      <c r="S161" s="1">
        <f>IFERROR(_xlfn.LET(_xlpm.x,VLOOKUP($A161,'[1]Markings Threadings'!$B$3:$L$245,6,0),IF(_xlpm.x=0,"",_xlpm.x)),"")</f>
        <v>2</v>
      </c>
      <c r="T161" s="6" t="str">
        <f>IFERROR(_xlfn.LET(_xlpm.x,VLOOKUP($C161,[1]Summary!$A$2:$J$118,4,0),IF(_xlpm.x=0,"",_xlpm.x)),"")</f>
        <v/>
      </c>
      <c r="U161" s="6" t="str">
        <f>IFERROR(_xlfn.LET(_xlpm.x,VLOOKUP($C161,[1]Summary!$A$2:$J$118,5,0),IF(_xlpm.x=0,"",_xlpm.x)),"")</f>
        <v/>
      </c>
      <c r="V161" s="6">
        <f>IFERROR(_xlfn.LET(_xlpm.x,VLOOKUP($C161,[1]Summary!$A$2:$J$118,6,0),IF(_xlpm.x=0,"",_xlpm.x)),"")</f>
        <v>6.5492321808127008</v>
      </c>
      <c r="W161" s="6">
        <f>IFERROR(_xlfn.LET(_xlpm.x,VLOOKUP($C161,[1]Summary!$A$2:$J$118,7,0),IF(_xlpm.x=0,"",_xlpm.x)),"")</f>
        <v>7.5474284815724832</v>
      </c>
      <c r="X161" s="6" t="str">
        <f>IFERROR(_xlfn.LET(_xlpm.x,VLOOKUP($C161,[1]Summary!$A$2:$J$118,8,0),IF(_xlpm.x=0,"",_xlpm.x)),"")</f>
        <v/>
      </c>
      <c r="Y161" s="6">
        <f>IFERROR(_xlfn.LET(_xlpm.x,VLOOKUP($C161,[1]Summary!$A$2:$J$118,9,0),IF(_xlpm.x=0,"",_xlpm.x)),"")</f>
        <v>5.8662912000000009</v>
      </c>
      <c r="Z161" s="6" t="str">
        <f>IFERROR(_xlfn.LET(_xlpm.x,VLOOKUP($C161,[1]Summary!$A$2:$J$118,10,0),IF(_xlpm.x=0,"",_xlpm.x)),"")</f>
        <v/>
      </c>
    </row>
    <row r="162" spans="1:26" x14ac:dyDescent="0.25">
      <c r="A162" s="2">
        <v>1000000000830</v>
      </c>
      <c r="B162" s="5" t="s">
        <v>320</v>
      </c>
      <c r="C162" s="2">
        <v>3000000000569</v>
      </c>
      <c r="D162" s="5" t="s">
        <v>321</v>
      </c>
      <c r="E162" s="1">
        <v>3</v>
      </c>
      <c r="F162" s="1" t="s">
        <v>86</v>
      </c>
      <c r="G162" s="1">
        <v>4</v>
      </c>
      <c r="H162" s="1">
        <v>2</v>
      </c>
      <c r="I162" s="1">
        <v>2</v>
      </c>
      <c r="J162" s="1"/>
      <c r="K162" s="1">
        <v>50</v>
      </c>
      <c r="L162" s="1" t="str">
        <f>IFERROR(_xlfn.LET(_xlpm.x,VLOOKUP($A162,'[1]Markings Threadings'!$B$3:$L$245,3,0),IF(_xlpm.x=0,"",_xlpm.x)),"")</f>
        <v>Yellow</v>
      </c>
      <c r="M162" s="2">
        <f>IFERROR(_xlfn.LET(_xlpm.x,VLOOKUP($A162,'[1]Markings Threadings'!$B$3:$L$245,7,0),IF(_xlpm.x=0,"",_xlpm.x)),"")</f>
        <v>5000000000057</v>
      </c>
      <c r="N162" s="5" t="str">
        <f>IFERROR(_xlfn.LET(_xlpm.x,VLOOKUP($A162,'[1]Markings Threadings'!$B$3:$L$245,8,0),IF(_xlpm.x=0,"",_xlpm.x)),"")</f>
        <v>Empty Sack - Pork Solutions Pre-starter Mini Pellet ,50kg</v>
      </c>
      <c r="O162" s="2">
        <f>IFERROR(_xlfn.LET(_xlpm.x,VLOOKUP($A162,'[1]Markings Threadings'!$B$3:$L$245,10,0),IF(_xlpm.x=0,"",_xlpm.x)),"")</f>
        <v>5000000000102</v>
      </c>
      <c r="P162" s="5" t="str">
        <f>IFERROR(_xlfn.LET(_xlpm.x,VLOOKUP($A162,'[1]Markings Threadings'!$B$3:$L$245,11,0),IF(_xlpm.x=0,"",_xlpm.x)),"")</f>
        <v>Tag Pork Solutions Hog Pre-Starter 1 Mini Pellet 50kg</v>
      </c>
      <c r="Q162" s="1" t="str">
        <f>IFERROR(_xlfn.LET(_xlpm.x,VLOOKUP($A162,'[1]Markings Threadings'!$B$3:$L$245,4,0),IF(_xlpm.x=0,"",_xlpm.x)),"")</f>
        <v>830 PH</v>
      </c>
      <c r="R162" s="1" t="str">
        <f>IFERROR(_xlfn.LET(_xlpm.x,VLOOKUP($A162,'[1]Markings Threadings'!$B$3:$L$245,5,0),IF(_xlpm.x=0,"",_xlpm.x)),"")</f>
        <v/>
      </c>
      <c r="S162" s="1">
        <f>IFERROR(_xlfn.LET(_xlpm.x,VLOOKUP($A162,'[1]Markings Threadings'!$B$3:$L$245,6,0),IF(_xlpm.x=0,"",_xlpm.x)),"")</f>
        <v>5</v>
      </c>
      <c r="T162" s="6" t="str">
        <f>IFERROR(_xlfn.LET(_xlpm.x,VLOOKUP($C162,[1]Summary!$A$2:$J$118,4,0),IF(_xlpm.x=0,"",_xlpm.x)),"")</f>
        <v/>
      </c>
      <c r="U162" s="6" t="str">
        <f>IFERROR(_xlfn.LET(_xlpm.x,VLOOKUP($C162,[1]Summary!$A$2:$J$118,5,0),IF(_xlpm.x=0,"",_xlpm.x)),"")</f>
        <v/>
      </c>
      <c r="V162" s="6" t="str">
        <f>IFERROR(_xlfn.LET(_xlpm.x,VLOOKUP($C162,[1]Summary!$A$2:$J$118,6,0),IF(_xlpm.x=0,"",_xlpm.x)),"")</f>
        <v/>
      </c>
      <c r="W162" s="6" t="str">
        <f>IFERROR(_xlfn.LET(_xlpm.x,VLOOKUP($C162,[1]Summary!$A$2:$J$118,7,0),IF(_xlpm.x=0,"",_xlpm.x)),"")</f>
        <v/>
      </c>
      <c r="X162" s="6" t="str">
        <f>IFERROR(_xlfn.LET(_xlpm.x,VLOOKUP($C162,[1]Summary!$A$2:$J$118,8,0),IF(_xlpm.x=0,"",_xlpm.x)),"")</f>
        <v/>
      </c>
      <c r="Y162" s="6">
        <f>IFERROR(_xlfn.LET(_xlpm.x,VLOOKUP($C162,[1]Summary!$A$2:$J$118,9,0),IF(_xlpm.x=0,"",_xlpm.x)),"")</f>
        <v>6.8321843166090295</v>
      </c>
      <c r="Z162" s="6">
        <f>IFERROR(_xlfn.LET(_xlpm.x,VLOOKUP($C162,[1]Summary!$A$2:$J$118,10,0),IF(_xlpm.x=0,"",_xlpm.x)),"")</f>
        <v>7.0731008656475867</v>
      </c>
    </row>
    <row r="163" spans="1:26" x14ac:dyDescent="0.25">
      <c r="A163" s="2">
        <v>1000000000829</v>
      </c>
      <c r="B163" s="5" t="s">
        <v>322</v>
      </c>
      <c r="C163" s="2">
        <v>3000000000567</v>
      </c>
      <c r="D163" s="5" t="s">
        <v>323</v>
      </c>
      <c r="E163" s="1">
        <v>3</v>
      </c>
      <c r="F163" s="1" t="s">
        <v>86</v>
      </c>
      <c r="G163" s="1">
        <v>4</v>
      </c>
      <c r="H163" s="1">
        <v>2</v>
      </c>
      <c r="I163" s="1">
        <v>2</v>
      </c>
      <c r="J163" s="1"/>
      <c r="K163" s="1">
        <v>25</v>
      </c>
      <c r="L163" s="1" t="str">
        <f>IFERROR(_xlfn.LET(_xlpm.x,VLOOKUP($A163,'[1]Markings Threadings'!$B$3:$L$245,3,0),IF(_xlpm.x=0,"",_xlpm.x)),"")</f>
        <v>Yellow</v>
      </c>
      <c r="M163" s="2">
        <f>IFERROR(_xlfn.LET(_xlpm.x,VLOOKUP($A163,'[1]Markings Threadings'!$B$3:$L$245,7,0),IF(_xlpm.x=0,"",_xlpm.x)),"")</f>
        <v>5000000000055</v>
      </c>
      <c r="N163" s="5" t="str">
        <f>IFERROR(_xlfn.LET(_xlpm.x,VLOOKUP($A163,'[1]Markings Threadings'!$B$3:$L$245,8,0),IF(_xlpm.x=0,"",_xlpm.x)),"")</f>
        <v>Pork Solution Hog Booster 25kg</v>
      </c>
      <c r="O163" s="2">
        <f>IFERROR(_xlfn.LET(_xlpm.x,VLOOKUP($A163,'[1]Markings Threadings'!$B$3:$L$245,10,0),IF(_xlpm.x=0,"",_xlpm.x)),"")</f>
        <v>5000000000603</v>
      </c>
      <c r="P163" s="5" t="str">
        <f>IFERROR(_xlfn.LET(_xlpm.x,VLOOKUP($A163,'[1]Markings Threadings'!$B$3:$L$245,11,0),IF(_xlpm.x=0,"",_xlpm.x)),"")</f>
        <v>Tag - Pork Solutions Hog Booster Mini Pellet 25kg</v>
      </c>
      <c r="Q163" s="1" t="str">
        <f>IFERROR(_xlfn.LET(_xlpm.x,VLOOKUP($A163,'[1]Markings Threadings'!$B$3:$L$245,4,0),IF(_xlpm.x=0,"",_xlpm.x)),"")</f>
        <v>829 PH</v>
      </c>
      <c r="R163" s="1" t="str">
        <f>IFERROR(_xlfn.LET(_xlpm.x,VLOOKUP($A163,'[1]Markings Threadings'!$B$3:$L$245,5,0),IF(_xlpm.x=0,"",_xlpm.x)),"")</f>
        <v/>
      </c>
      <c r="S163" s="1">
        <f>IFERROR(_xlfn.LET(_xlpm.x,VLOOKUP($A163,'[1]Markings Threadings'!$B$3:$L$245,6,0),IF(_xlpm.x=0,"",_xlpm.x)),"")</f>
        <v>5</v>
      </c>
      <c r="T163" s="6" t="str">
        <f>IFERROR(_xlfn.LET(_xlpm.x,VLOOKUP($C163,[1]Summary!$A$2:$J$118,4,0),IF(_xlpm.x=0,"",_xlpm.x)),"")</f>
        <v/>
      </c>
      <c r="U163" s="6" t="str">
        <f>IFERROR(_xlfn.LET(_xlpm.x,VLOOKUP($C163,[1]Summary!$A$2:$J$118,5,0),IF(_xlpm.x=0,"",_xlpm.x)),"")</f>
        <v/>
      </c>
      <c r="V163" s="6" t="str">
        <f>IFERROR(_xlfn.LET(_xlpm.x,VLOOKUP($C163,[1]Summary!$A$2:$J$118,6,0),IF(_xlpm.x=0,"",_xlpm.x)),"")</f>
        <v/>
      </c>
      <c r="W163" s="6" t="str">
        <f>IFERROR(_xlfn.LET(_xlpm.x,VLOOKUP($C163,[1]Summary!$A$2:$J$118,7,0),IF(_xlpm.x=0,"",_xlpm.x)),"")</f>
        <v/>
      </c>
      <c r="X163" s="6" t="str">
        <f>IFERROR(_xlfn.LET(_xlpm.x,VLOOKUP($C163,[1]Summary!$A$2:$J$118,8,0),IF(_xlpm.x=0,"",_xlpm.x)),"")</f>
        <v/>
      </c>
      <c r="Y163" s="6">
        <f>IFERROR(_xlfn.LET(_xlpm.x,VLOOKUP($C163,[1]Summary!$A$2:$J$118,9,0),IF(_xlpm.x=0,"",_xlpm.x)),"")</f>
        <v>6.5007125959367951</v>
      </c>
      <c r="Z163" s="6">
        <f>IFERROR(_xlfn.LET(_xlpm.x,VLOOKUP($C163,[1]Summary!$A$2:$J$118,10,0),IF(_xlpm.x=0,"",_xlpm.x)),"")</f>
        <v>6.5671997113545872</v>
      </c>
    </row>
    <row r="164" spans="1:26" x14ac:dyDescent="0.25">
      <c r="A164" s="2">
        <v>1000000000118</v>
      </c>
      <c r="B164" s="5" t="s">
        <v>324</v>
      </c>
      <c r="C164" s="2">
        <v>3000000001125</v>
      </c>
      <c r="D164" s="5" t="s">
        <v>325</v>
      </c>
      <c r="E164" s="1">
        <v>4</v>
      </c>
      <c r="F164" s="1" t="s">
        <v>67</v>
      </c>
      <c r="G164" s="1">
        <v>4</v>
      </c>
      <c r="H164" s="1">
        <v>2</v>
      </c>
      <c r="I164" s="1">
        <v>2</v>
      </c>
      <c r="J164" s="1"/>
      <c r="K164" s="1">
        <v>50</v>
      </c>
      <c r="L164" s="1" t="str">
        <f>IFERROR(_xlfn.LET(_xlpm.x,VLOOKUP($A164,'[1]Markings Threadings'!$B$3:$L$245,3,0),IF(_xlpm.x=0,"",_xlpm.x)),"")</f>
        <v>Red Green</v>
      </c>
      <c r="M164" s="2">
        <f>IFERROR(_xlfn.LET(_xlpm.x,VLOOKUP($A164,'[1]Markings Threadings'!$B$3:$L$245,7,0),IF(_xlpm.x=0,"",_xlpm.x)),"")</f>
        <v>5000000000562</v>
      </c>
      <c r="N164" s="5" t="str">
        <f>IFERROR(_xlfn.LET(_xlpm.x,VLOOKUP($A164,'[1]Markings Threadings'!$B$3:$L$245,8,0),IF(_xlpm.x=0,"",_xlpm.x)),"")</f>
        <v>Sack Poultry Sol Chick Growex 1, 50kg</v>
      </c>
      <c r="O164" s="2">
        <f>IFERROR(_xlfn.LET(_xlpm.x,VLOOKUP($A164,'[1]Markings Threadings'!$B$3:$L$245,10,0),IF(_xlpm.x=0,"",_xlpm.x)),"")</f>
        <v>5000000000122</v>
      </c>
      <c r="P164" s="5" t="str">
        <f>IFERROR(_xlfn.LET(_xlpm.x,VLOOKUP($A164,'[1]Markings Threadings'!$B$3:$L$245,11,0),IF(_xlpm.x=0,"",_xlpm.x)),"")</f>
        <v>Tag - Poultry Solutions Chick Grower 1 Crumble</v>
      </c>
      <c r="Q164" s="1" t="str">
        <f>IFERROR(_xlfn.LET(_xlpm.x,VLOOKUP($A164,'[1]Markings Threadings'!$B$3:$L$245,4,0),IF(_xlpm.x=0,"",_xlpm.x)),"")</f>
        <v>118 Brdr Gwr</v>
      </c>
      <c r="R164" s="1" t="str">
        <f>IFERROR(_xlfn.LET(_xlpm.x,VLOOKUP($A164,'[1]Markings Threadings'!$B$3:$L$245,5,0),IF(_xlpm.x=0,"",_xlpm.x)),"")</f>
        <v/>
      </c>
      <c r="S164" s="1">
        <f>IFERROR(_xlfn.LET(_xlpm.x,VLOOKUP($A164,'[1]Markings Threadings'!$B$3:$L$245,6,0),IF(_xlpm.x=0,"",_xlpm.x)),"")</f>
        <v>14</v>
      </c>
      <c r="T164" s="6" t="str">
        <f>IFERROR(_xlfn.LET(_xlpm.x,VLOOKUP($C164,[1]Summary!$A$2:$J$118,4,0),IF(_xlpm.x=0,"",_xlpm.x)),"")</f>
        <v/>
      </c>
      <c r="U164" s="6" t="str">
        <f>IFERROR(_xlfn.LET(_xlpm.x,VLOOKUP($C164,[1]Summary!$A$2:$J$118,5,0),IF(_xlpm.x=0,"",_xlpm.x)),"")</f>
        <v/>
      </c>
      <c r="V164" s="6" t="str">
        <f>IFERROR(_xlfn.LET(_xlpm.x,VLOOKUP($C164,[1]Summary!$A$2:$J$118,6,0),IF(_xlpm.x=0,"",_xlpm.x)),"")</f>
        <v/>
      </c>
      <c r="W164" s="6" t="str">
        <f>IFERROR(_xlfn.LET(_xlpm.x,VLOOKUP($C164,[1]Summary!$A$2:$J$118,7,0),IF(_xlpm.x=0,"",_xlpm.x)),"")</f>
        <v/>
      </c>
      <c r="X164" s="6" t="str">
        <f>IFERROR(_xlfn.LET(_xlpm.x,VLOOKUP($C164,[1]Summary!$A$2:$J$118,8,0),IF(_xlpm.x=0,"",_xlpm.x)),"")</f>
        <v/>
      </c>
      <c r="Y164" s="6" t="str">
        <f>IFERROR(_xlfn.LET(_xlpm.x,VLOOKUP($C164,[1]Summary!$A$2:$J$118,9,0),IF(_xlpm.x=0,"",_xlpm.x)),"")</f>
        <v/>
      </c>
      <c r="Z164" s="6" t="str">
        <f>IFERROR(_xlfn.LET(_xlpm.x,VLOOKUP($C164,[1]Summary!$A$2:$J$118,10,0),IF(_xlpm.x=0,"",_xlpm.x)),"")</f>
        <v/>
      </c>
    </row>
    <row r="165" spans="1:26" x14ac:dyDescent="0.25">
      <c r="A165" s="2">
        <v>1000000000848</v>
      </c>
      <c r="B165" s="5" t="s">
        <v>326</v>
      </c>
      <c r="C165" s="2">
        <v>3000000000130</v>
      </c>
      <c r="D165" s="5" t="s">
        <v>327</v>
      </c>
      <c r="E165" s="1"/>
      <c r="F165" s="1" t="s">
        <v>44</v>
      </c>
      <c r="G165" s="1">
        <v>4</v>
      </c>
      <c r="H165" s="1">
        <v>2</v>
      </c>
      <c r="I165" s="1">
        <v>2</v>
      </c>
      <c r="J165" s="1"/>
      <c r="K165" s="1">
        <v>50</v>
      </c>
      <c r="L165" s="1" t="str">
        <f>IFERROR(_xlfn.LET(_xlpm.x,VLOOKUP($A165,'[1]Markings Threadings'!$B$3:$L$245,3,0),IF(_xlpm.x=0,"",_xlpm.x)),"")</f>
        <v>Orange</v>
      </c>
      <c r="M165" s="2">
        <f>IFERROR(_xlfn.LET(_xlpm.x,VLOOKUP($A165,'[1]Markings Threadings'!$B$3:$L$245,7,0),IF(_xlpm.x=0,"",_xlpm.x)),"")</f>
        <v>5000000000053</v>
      </c>
      <c r="N165" s="5" t="str">
        <f>IFERROR(_xlfn.LET(_xlpm.x,VLOOKUP($A165,'[1]Markings Threadings'!$B$3:$L$245,8,0),IF(_xlpm.x=0,"",_xlpm.x)),"")</f>
        <v>Pork Solution Breeder Hog (Lactation) New Design</v>
      </c>
      <c r="O165" s="2">
        <f>IFERROR(_xlfn.LET(_xlpm.x,VLOOKUP($A165,'[1]Markings Threadings'!$B$3:$L$245,10,0),IF(_xlpm.x=0,"",_xlpm.x)),"")</f>
        <v>5000000000112</v>
      </c>
      <c r="P165" s="5" t="str">
        <f>IFERROR(_xlfn.LET(_xlpm.x,VLOOKUP($A165,'[1]Markings Threadings'!$B$3:$L$245,11,0),IF(_xlpm.x=0,"",_xlpm.x)),"")</f>
        <v>Tag Pork Solution Lactation – Mash</v>
      </c>
      <c r="Q165" s="1" t="str">
        <f>IFERROR(_xlfn.LET(_xlpm.x,VLOOKUP($A165,'[1]Markings Threadings'!$B$3:$L$245,4,0),IF(_xlpm.x=0,"",_xlpm.x)),"")</f>
        <v>848 LACT PH</v>
      </c>
      <c r="R165" s="1" t="str">
        <f>IFERROR(_xlfn.LET(_xlpm.x,VLOOKUP($A165,'[1]Markings Threadings'!$B$3:$L$245,5,0),IF(_xlpm.x=0,"",_xlpm.x)),"")</f>
        <v/>
      </c>
      <c r="S165" s="1">
        <f>IFERROR(_xlfn.LET(_xlpm.x,VLOOKUP($A165,'[1]Markings Threadings'!$B$3:$L$245,6,0),IF(_xlpm.x=0,"",_xlpm.x)),"")</f>
        <v>4</v>
      </c>
      <c r="T165" s="6" t="str">
        <f>IFERROR(_xlfn.LET(_xlpm.x,VLOOKUP($C165,[1]Summary!$A$2:$J$118,4,0),IF(_xlpm.x=0,"",_xlpm.x)),"")</f>
        <v/>
      </c>
      <c r="U165" s="6" t="str">
        <f>IFERROR(_xlfn.LET(_xlpm.x,VLOOKUP($C165,[1]Summary!$A$2:$J$118,5,0),IF(_xlpm.x=0,"",_xlpm.x)),"")</f>
        <v/>
      </c>
      <c r="V165" s="6" t="str">
        <f>IFERROR(_xlfn.LET(_xlpm.x,VLOOKUP($C165,[1]Summary!$A$2:$J$118,6,0),IF(_xlpm.x=0,"",_xlpm.x)),"")</f>
        <v/>
      </c>
      <c r="W165" s="6" t="str">
        <f>IFERROR(_xlfn.LET(_xlpm.x,VLOOKUP($C165,[1]Summary!$A$2:$J$118,7,0),IF(_xlpm.x=0,"",_xlpm.x)),"")</f>
        <v/>
      </c>
      <c r="X165" s="6" t="str">
        <f>IFERROR(_xlfn.LET(_xlpm.x,VLOOKUP($C165,[1]Summary!$A$2:$J$118,8,0),IF(_xlpm.x=0,"",_xlpm.x)),"")</f>
        <v/>
      </c>
      <c r="Y165" s="6" t="str">
        <f>IFERROR(_xlfn.LET(_xlpm.x,VLOOKUP($C165,[1]Summary!$A$2:$J$118,9,0),IF(_xlpm.x=0,"",_xlpm.x)),"")</f>
        <v/>
      </c>
      <c r="Z165" s="6" t="str">
        <f>IFERROR(_xlfn.LET(_xlpm.x,VLOOKUP($C165,[1]Summary!$A$2:$J$118,10,0),IF(_xlpm.x=0,"",_xlpm.x)),"")</f>
        <v/>
      </c>
    </row>
    <row r="166" spans="1:26" x14ac:dyDescent="0.25">
      <c r="A166" s="2">
        <v>1000000000850</v>
      </c>
      <c r="B166" s="5" t="s">
        <v>328</v>
      </c>
      <c r="C166" s="2">
        <v>3000000000134</v>
      </c>
      <c r="D166" s="5" t="s">
        <v>329</v>
      </c>
      <c r="E166" s="1"/>
      <c r="F166" s="1" t="s">
        <v>44</v>
      </c>
      <c r="G166" s="1">
        <v>2</v>
      </c>
      <c r="H166" s="1">
        <v>2</v>
      </c>
      <c r="I166" s="1">
        <v>2</v>
      </c>
      <c r="J166" s="1"/>
      <c r="K166" s="1">
        <v>50</v>
      </c>
      <c r="L166" s="1" t="str">
        <f>IFERROR(_xlfn.LET(_xlpm.x,VLOOKUP($A166,'[1]Markings Threadings'!$B$3:$L$245,3,0),IF(_xlpm.x=0,"",_xlpm.x)),"")</f>
        <v>Orange</v>
      </c>
      <c r="M166" s="2">
        <f>IFERROR(_xlfn.LET(_xlpm.x,VLOOKUP($A166,'[1]Markings Threadings'!$B$3:$L$245,7,0),IF(_xlpm.x=0,"",_xlpm.x)),"")</f>
        <v>5000000000057</v>
      </c>
      <c r="N166" s="5" t="str">
        <f>IFERROR(_xlfn.LET(_xlpm.x,VLOOKUP($A166,'[1]Markings Threadings'!$B$3:$L$245,8,0),IF(_xlpm.x=0,"",_xlpm.x)),"")</f>
        <v>Pork Solution Pre-Starter 50kg</v>
      </c>
      <c r="O166" s="2">
        <f>IFERROR(_xlfn.LET(_xlpm.x,VLOOKUP($A166,'[1]Markings Threadings'!$B$3:$L$245,10,0),IF(_xlpm.x=0,"",_xlpm.x)),"")</f>
        <v>5000000000102</v>
      </c>
      <c r="P166" s="5" t="str">
        <f>IFERROR(_xlfn.LET(_xlpm.x,VLOOKUP($A166,'[1]Markings Threadings'!$B$3:$L$245,11,0),IF(_xlpm.x=0,"",_xlpm.x)),"")</f>
        <v>Tag Pork Solutions Hog Pre-Starter 1 Mini Pellet 50kg</v>
      </c>
      <c r="Q166" s="1" t="str">
        <f>IFERROR(_xlfn.LET(_xlpm.x,VLOOKUP($A166,'[1]Markings Threadings'!$B$3:$L$245,4,0),IF(_xlpm.x=0,"",_xlpm.x)),"")</f>
        <v>850 PRE STR PH</v>
      </c>
      <c r="R166" s="1" t="str">
        <f>IFERROR(_xlfn.LET(_xlpm.x,VLOOKUP($A166,'[1]Markings Threadings'!$B$3:$L$245,5,0),IF(_xlpm.x=0,"",_xlpm.x)),"")</f>
        <v/>
      </c>
      <c r="S166" s="1">
        <f>IFERROR(_xlfn.LET(_xlpm.x,VLOOKUP($A166,'[1]Markings Threadings'!$B$3:$L$245,6,0),IF(_xlpm.x=0,"",_xlpm.x)),"")</f>
        <v>5</v>
      </c>
      <c r="T166" s="6" t="str">
        <f>IFERROR(_xlfn.LET(_xlpm.x,VLOOKUP($C166,[1]Summary!$A$2:$J$118,4,0),IF(_xlpm.x=0,"",_xlpm.x)),"")</f>
        <v/>
      </c>
      <c r="U166" s="6" t="str">
        <f>IFERROR(_xlfn.LET(_xlpm.x,VLOOKUP($C166,[1]Summary!$A$2:$J$118,5,0),IF(_xlpm.x=0,"",_xlpm.x)),"")</f>
        <v/>
      </c>
      <c r="V166" s="6" t="str">
        <f>IFERROR(_xlfn.LET(_xlpm.x,VLOOKUP($C166,[1]Summary!$A$2:$J$118,6,0),IF(_xlpm.x=0,"",_xlpm.x)),"")</f>
        <v/>
      </c>
      <c r="W166" s="6" t="str">
        <f>IFERROR(_xlfn.LET(_xlpm.x,VLOOKUP($C166,[1]Summary!$A$2:$J$118,7,0),IF(_xlpm.x=0,"",_xlpm.x)),"")</f>
        <v/>
      </c>
      <c r="X166" s="6" t="str">
        <f>IFERROR(_xlfn.LET(_xlpm.x,VLOOKUP($C166,[1]Summary!$A$2:$J$118,8,0),IF(_xlpm.x=0,"",_xlpm.x)),"")</f>
        <v/>
      </c>
      <c r="Y166" s="6" t="str">
        <f>IFERROR(_xlfn.LET(_xlpm.x,VLOOKUP($C166,[1]Summary!$A$2:$J$118,9,0),IF(_xlpm.x=0,"",_xlpm.x)),"")</f>
        <v/>
      </c>
      <c r="Z166" s="6" t="str">
        <f>IFERROR(_xlfn.LET(_xlpm.x,VLOOKUP($C166,[1]Summary!$A$2:$J$118,10,0),IF(_xlpm.x=0,"",_xlpm.x)),"")</f>
        <v/>
      </c>
    </row>
    <row r="167" spans="1:26" x14ac:dyDescent="0.25">
      <c r="A167" s="2">
        <v>1000000001605</v>
      </c>
      <c r="B167" s="5" t="s">
        <v>330</v>
      </c>
      <c r="C167" s="2">
        <v>3000000000212</v>
      </c>
      <c r="D167" s="5" t="s">
        <v>331</v>
      </c>
      <c r="E167" s="1">
        <v>3</v>
      </c>
      <c r="F167" s="1" t="s">
        <v>67</v>
      </c>
      <c r="G167" s="1">
        <v>4</v>
      </c>
      <c r="H167" s="1">
        <v>2</v>
      </c>
      <c r="I167" s="1">
        <v>2</v>
      </c>
      <c r="J167" s="1"/>
      <c r="K167" s="1">
        <v>25</v>
      </c>
      <c r="L167" s="1" t="str">
        <f>IFERROR(_xlfn.LET(_xlpm.x,VLOOKUP($A167,'[1]Markings Threadings'!$B$3:$L$245,3,0),IF(_xlpm.x=0,"",_xlpm.x)),"")</f>
        <v>White</v>
      </c>
      <c r="M167" s="2" t="str">
        <f>IFERROR(_xlfn.LET(_xlpm.x,VLOOKUP($A167,'[1]Markings Threadings'!$B$3:$L$245,7,0),IF(_xlpm.x=0,"",_xlpm.x)),"")</f>
        <v/>
      </c>
      <c r="N167" s="5" t="str">
        <f>IFERROR(_xlfn.LET(_xlpm.x,VLOOKUP($A167,'[1]Markings Threadings'!$B$3:$L$245,8,0),IF(_xlpm.x=0,"",_xlpm.x)),"")</f>
        <v>Empty Sack - Powerheal Crumble, 1kg</v>
      </c>
      <c r="O167" s="2" t="str">
        <f>IFERROR(_xlfn.LET(_xlpm.x,VLOOKUP($A167,'[1]Markings Threadings'!$B$3:$L$245,10,0),IF(_xlpm.x=0,"",_xlpm.x)),"")</f>
        <v/>
      </c>
      <c r="P167" s="5" t="str">
        <f>IFERROR(_xlfn.LET(_xlpm.x,VLOOKUP($A167,'[1]Markings Threadings'!$B$3:$L$245,11,0),IF(_xlpm.x=0,"",_xlpm.x)),"")</f>
        <v>-</v>
      </c>
      <c r="Q167" s="1">
        <f>IFERROR(_xlfn.LET(_xlpm.x,VLOOKUP($A167,'[1]Markings Threadings'!$B$3:$L$245,4,0),IF(_xlpm.x=0,"",_xlpm.x)),"")</f>
        <v>1605</v>
      </c>
      <c r="R167" s="1" t="str">
        <f>IFERROR(_xlfn.LET(_xlpm.x,VLOOKUP($A167,'[1]Markings Threadings'!$B$3:$L$245,5,0),IF(_xlpm.x=0,"",_xlpm.x)),"")</f>
        <v/>
      </c>
      <c r="S167" s="1" t="str">
        <f>IFERROR(_xlfn.LET(_xlpm.x,VLOOKUP($A167,'[1]Markings Threadings'!$B$3:$L$245,6,0),IF(_xlpm.x=0,"",_xlpm.x)),"")</f>
        <v/>
      </c>
      <c r="T167" s="6" t="str">
        <f>IFERROR(_xlfn.LET(_xlpm.x,VLOOKUP($C167,[1]Summary!$A$2:$J$118,4,0),IF(_xlpm.x=0,"",_xlpm.x)),"")</f>
        <v/>
      </c>
      <c r="U167" s="6" t="str">
        <f>IFERROR(_xlfn.LET(_xlpm.x,VLOOKUP($C167,[1]Summary!$A$2:$J$118,5,0),IF(_xlpm.x=0,"",_xlpm.x)),"")</f>
        <v/>
      </c>
      <c r="V167" s="6" t="str">
        <f>IFERROR(_xlfn.LET(_xlpm.x,VLOOKUP($C167,[1]Summary!$A$2:$J$118,6,0),IF(_xlpm.x=0,"",_xlpm.x)),"")</f>
        <v/>
      </c>
      <c r="W167" s="6" t="str">
        <f>IFERROR(_xlfn.LET(_xlpm.x,VLOOKUP($C167,[1]Summary!$A$2:$J$118,7,0),IF(_xlpm.x=0,"",_xlpm.x)),"")</f>
        <v/>
      </c>
      <c r="X167" s="6" t="str">
        <f>IFERROR(_xlfn.LET(_xlpm.x,VLOOKUP($C167,[1]Summary!$A$2:$J$118,8,0),IF(_xlpm.x=0,"",_xlpm.x)),"")</f>
        <v/>
      </c>
      <c r="Y167" s="6" t="str">
        <f>IFERROR(_xlfn.LET(_xlpm.x,VLOOKUP($C167,[1]Summary!$A$2:$J$118,9,0),IF(_xlpm.x=0,"",_xlpm.x)),"")</f>
        <v/>
      </c>
      <c r="Z167" s="6" t="str">
        <f>IFERROR(_xlfn.LET(_xlpm.x,VLOOKUP($C167,[1]Summary!$A$2:$J$118,10,0),IF(_xlpm.x=0,"",_xlpm.x)),"")</f>
        <v/>
      </c>
    </row>
    <row r="168" spans="1:26" x14ac:dyDescent="0.25">
      <c r="A168" s="2">
        <v>1000000001985</v>
      </c>
      <c r="B168" s="5" t="s">
        <v>332</v>
      </c>
      <c r="C168" s="2">
        <v>3000000000216</v>
      </c>
      <c r="D168" s="5" t="s">
        <v>333</v>
      </c>
      <c r="E168" s="1">
        <v>3</v>
      </c>
      <c r="F168" s="1" t="s">
        <v>86</v>
      </c>
      <c r="G168" s="1">
        <v>4</v>
      </c>
      <c r="H168" s="1">
        <v>2</v>
      </c>
      <c r="I168" s="1">
        <v>2</v>
      </c>
      <c r="J168" s="1"/>
      <c r="K168" s="1">
        <v>25</v>
      </c>
      <c r="L168" s="1" t="str">
        <f>IFERROR(_xlfn.LET(_xlpm.x,VLOOKUP($A168,'[1]Markings Threadings'!$B$3:$L$245,3,0),IF(_xlpm.x=0,"",_xlpm.x)),"")</f>
        <v>White</v>
      </c>
      <c r="M168" s="2" t="str">
        <f>IFERROR(_xlfn.LET(_xlpm.x,VLOOKUP($A168,'[1]Markings Threadings'!$B$3:$L$245,7,0),IF(_xlpm.x=0,"",_xlpm.x)),"")</f>
        <v/>
      </c>
      <c r="N168" s="5" t="str">
        <f>IFERROR(_xlfn.LET(_xlpm.x,VLOOKUP($A168,'[1]Markings Threadings'!$B$3:$L$245,8,0),IF(_xlpm.x=0,"",_xlpm.x)),"")</f>
        <v>Empty Sack - Powerheal CS Pellet, 1kg</v>
      </c>
      <c r="O168" s="2" t="str">
        <f>IFERROR(_xlfn.LET(_xlpm.x,VLOOKUP($A168,'[1]Markings Threadings'!$B$3:$L$245,10,0),IF(_xlpm.x=0,"",_xlpm.x)),"")</f>
        <v/>
      </c>
      <c r="P168" s="5" t="str">
        <f>IFERROR(_xlfn.LET(_xlpm.x,VLOOKUP($A168,'[1]Markings Threadings'!$B$3:$L$245,11,0),IF(_xlpm.x=0,"",_xlpm.x)),"")</f>
        <v>-</v>
      </c>
      <c r="Q168" s="1" t="str">
        <f>IFERROR(_xlfn.LET(_xlpm.x,VLOOKUP($A168,'[1]Markings Threadings'!$B$3:$L$245,4,0),IF(_xlpm.x=0,"",_xlpm.x)),"")</f>
        <v/>
      </c>
      <c r="R168" s="1" t="str">
        <f>IFERROR(_xlfn.LET(_xlpm.x,VLOOKUP($A168,'[1]Markings Threadings'!$B$3:$L$245,5,0),IF(_xlpm.x=0,"",_xlpm.x)),"")</f>
        <v/>
      </c>
      <c r="S168" s="1" t="str">
        <f>IFERROR(_xlfn.LET(_xlpm.x,VLOOKUP($A168,'[1]Markings Threadings'!$B$3:$L$245,6,0),IF(_xlpm.x=0,"",_xlpm.x)),"")</f>
        <v/>
      </c>
      <c r="T168" s="6" t="str">
        <f>IFERROR(_xlfn.LET(_xlpm.x,VLOOKUP($C168,[1]Summary!$A$2:$J$118,4,0),IF(_xlpm.x=0,"",_xlpm.x)),"")</f>
        <v/>
      </c>
      <c r="U168" s="6" t="str">
        <f>IFERROR(_xlfn.LET(_xlpm.x,VLOOKUP($C168,[1]Summary!$A$2:$J$118,5,0),IF(_xlpm.x=0,"",_xlpm.x)),"")</f>
        <v/>
      </c>
      <c r="V168" s="6" t="str">
        <f>IFERROR(_xlfn.LET(_xlpm.x,VLOOKUP($C168,[1]Summary!$A$2:$J$118,6,0),IF(_xlpm.x=0,"",_xlpm.x)),"")</f>
        <v/>
      </c>
      <c r="W168" s="6" t="str">
        <f>IFERROR(_xlfn.LET(_xlpm.x,VLOOKUP($C168,[1]Summary!$A$2:$J$118,7,0),IF(_xlpm.x=0,"",_xlpm.x)),"")</f>
        <v/>
      </c>
      <c r="X168" s="6" t="str">
        <f>IFERROR(_xlfn.LET(_xlpm.x,VLOOKUP($C168,[1]Summary!$A$2:$J$118,8,0),IF(_xlpm.x=0,"",_xlpm.x)),"")</f>
        <v/>
      </c>
      <c r="Y168" s="6" t="str">
        <f>IFERROR(_xlfn.LET(_xlpm.x,VLOOKUP($C168,[1]Summary!$A$2:$J$118,9,0),IF(_xlpm.x=0,"",_xlpm.x)),"")</f>
        <v/>
      </c>
      <c r="Z168" s="6" t="str">
        <f>IFERROR(_xlfn.LET(_xlpm.x,VLOOKUP($C168,[1]Summary!$A$2:$J$118,10,0),IF(_xlpm.x=0,"",_xlpm.x)),"")</f>
        <v/>
      </c>
    </row>
    <row r="169" spans="1:26" x14ac:dyDescent="0.25">
      <c r="A169" s="2">
        <v>1000000000963</v>
      </c>
      <c r="B169" s="5" t="s">
        <v>334</v>
      </c>
      <c r="C169" s="2">
        <v>3000000000567</v>
      </c>
      <c r="D169" s="5" t="s">
        <v>318</v>
      </c>
      <c r="E169" s="1">
        <v>3</v>
      </c>
      <c r="F169" s="1" t="s">
        <v>86</v>
      </c>
      <c r="G169" s="1">
        <v>4</v>
      </c>
      <c r="H169" s="1">
        <v>2</v>
      </c>
      <c r="I169" s="1">
        <v>2</v>
      </c>
      <c r="J169" s="1"/>
      <c r="K169" s="1">
        <v>24</v>
      </c>
      <c r="L169" s="1" t="str">
        <f>IFERROR(_xlfn.LET(_xlpm.x,VLOOKUP($A169,'[1]Markings Threadings'!$B$3:$L$245,3,0),IF(_xlpm.x=0,"",_xlpm.x)),"")</f>
        <v/>
      </c>
      <c r="M169" s="2" t="str">
        <f>IFERROR(_xlfn.LET(_xlpm.x,VLOOKUP($A169,'[1]Markings Threadings'!$B$3:$L$245,7,0),IF(_xlpm.x=0,"",_xlpm.x)),"")</f>
        <v/>
      </c>
      <c r="N169" s="5" t="str">
        <f>IFERROR(_xlfn.LET(_xlpm.x,VLOOKUP($A169,'[1]Markings Threadings'!$B$3:$L$245,8,0),IF(_xlpm.x=0,"",_xlpm.x)),"")</f>
        <v/>
      </c>
      <c r="O169" s="2" t="str">
        <f>IFERROR(_xlfn.LET(_xlpm.x,VLOOKUP($A169,'[1]Markings Threadings'!$B$3:$L$245,10,0),IF(_xlpm.x=0,"",_xlpm.x)),"")</f>
        <v/>
      </c>
      <c r="P169" s="5" t="str">
        <f>IFERROR(_xlfn.LET(_xlpm.x,VLOOKUP($A169,'[1]Markings Threadings'!$B$3:$L$245,11,0),IF(_xlpm.x=0,"",_xlpm.x)),"")</f>
        <v/>
      </c>
      <c r="Q169" s="1" t="str">
        <f>IFERROR(_xlfn.LET(_xlpm.x,VLOOKUP($A169,'[1]Markings Threadings'!$B$3:$L$245,4,0),IF(_xlpm.x=0,"",_xlpm.x)),"")</f>
        <v/>
      </c>
      <c r="R169" s="1" t="str">
        <f>IFERROR(_xlfn.LET(_xlpm.x,VLOOKUP($A169,'[1]Markings Threadings'!$B$3:$L$245,5,0),IF(_xlpm.x=0,"",_xlpm.x)),"")</f>
        <v/>
      </c>
      <c r="S169" s="1" t="str">
        <f>IFERROR(_xlfn.LET(_xlpm.x,VLOOKUP($A169,'[1]Markings Threadings'!$B$3:$L$245,6,0),IF(_xlpm.x=0,"",_xlpm.x)),"")</f>
        <v/>
      </c>
      <c r="T169" s="6" t="str">
        <f>IFERROR(_xlfn.LET(_xlpm.x,VLOOKUP($C169,[1]Summary!$A$2:$J$118,4,0),IF(_xlpm.x=0,"",_xlpm.x)),"")</f>
        <v/>
      </c>
      <c r="U169" s="6" t="str">
        <f>IFERROR(_xlfn.LET(_xlpm.x,VLOOKUP($C169,[1]Summary!$A$2:$J$118,5,0),IF(_xlpm.x=0,"",_xlpm.x)),"")</f>
        <v/>
      </c>
      <c r="V169" s="6" t="str">
        <f>IFERROR(_xlfn.LET(_xlpm.x,VLOOKUP($C169,[1]Summary!$A$2:$J$118,6,0),IF(_xlpm.x=0,"",_xlpm.x)),"")</f>
        <v/>
      </c>
      <c r="W169" s="6" t="str">
        <f>IFERROR(_xlfn.LET(_xlpm.x,VLOOKUP($C169,[1]Summary!$A$2:$J$118,7,0),IF(_xlpm.x=0,"",_xlpm.x)),"")</f>
        <v/>
      </c>
      <c r="X169" s="6" t="str">
        <f>IFERROR(_xlfn.LET(_xlpm.x,VLOOKUP($C169,[1]Summary!$A$2:$J$118,8,0),IF(_xlpm.x=0,"",_xlpm.x)),"")</f>
        <v/>
      </c>
      <c r="Y169" s="6">
        <f>IFERROR(_xlfn.LET(_xlpm.x,VLOOKUP($C169,[1]Summary!$A$2:$J$118,9,0),IF(_xlpm.x=0,"",_xlpm.x)),"")</f>
        <v>6.5007125959367951</v>
      </c>
      <c r="Z169" s="6">
        <f>IFERROR(_xlfn.LET(_xlpm.x,VLOOKUP($C169,[1]Summary!$A$2:$J$118,10,0),IF(_xlpm.x=0,"",_xlpm.x)),"")</f>
        <v>6.5671997113545872</v>
      </c>
    </row>
    <row r="170" spans="1:26" x14ac:dyDescent="0.25">
      <c r="A170" s="2">
        <v>1000000001475</v>
      </c>
      <c r="B170" s="5" t="s">
        <v>335</v>
      </c>
      <c r="C170" s="2">
        <v>3000000000067</v>
      </c>
      <c r="D170" s="5" t="s">
        <v>159</v>
      </c>
      <c r="E170" s="1">
        <v>3</v>
      </c>
      <c r="F170" s="1" t="s">
        <v>86</v>
      </c>
      <c r="G170" s="1">
        <v>4</v>
      </c>
      <c r="H170" s="1">
        <v>2</v>
      </c>
      <c r="I170" s="1">
        <v>2</v>
      </c>
      <c r="J170" s="1"/>
      <c r="K170" s="1">
        <v>25</v>
      </c>
      <c r="L170" s="1" t="str">
        <f>IFERROR(_xlfn.LET(_xlpm.x,VLOOKUP($A170,'[1]Markings Threadings'!$B$3:$L$245,3,0),IF(_xlpm.x=0,"",_xlpm.x)),"")</f>
        <v>White</v>
      </c>
      <c r="M170" s="2">
        <f>IFERROR(_xlfn.LET(_xlpm.x,VLOOKUP($A170,'[1]Markings Threadings'!$B$3:$L$245,7,0),IF(_xlpm.x=0,"",_xlpm.x)),"")</f>
        <v>5000000000666</v>
      </c>
      <c r="N170" s="5" t="str">
        <f>IFERROR(_xlfn.LET(_xlpm.x,VLOOKUP($A170,'[1]Markings Threadings'!$B$3:$L$245,8,0),IF(_xlpm.x=0,"",_xlpm.x)),"")</f>
        <v>Empty Sack - Salto Power Pellet 1kg Packaging</v>
      </c>
      <c r="O170" s="2">
        <f>IFERROR(_xlfn.LET(_xlpm.x,VLOOKUP($A170,'[1]Markings Threadings'!$B$3:$L$245,10,0),IF(_xlpm.x=0,"",_xlpm.x)),"")</f>
        <v>5000000000130</v>
      </c>
      <c r="P170" s="5" t="str">
        <f>IFERROR(_xlfn.LET(_xlpm.x,VLOOKUP($A170,'[1]Markings Threadings'!$B$3:$L$245,11,0),IF(_xlpm.x=0,"",_xlpm.x)),"")</f>
        <v>Tag - Salto Bundle Pack</v>
      </c>
      <c r="Q170" s="1" t="str">
        <f>IFERROR(_xlfn.LET(_xlpm.x,VLOOKUP($A170,'[1]Markings Threadings'!$B$3:$L$245,4,0),IF(_xlpm.x=0,"",_xlpm.x)),"")</f>
        <v/>
      </c>
      <c r="R170" s="1" t="str">
        <f>IFERROR(_xlfn.LET(_xlpm.x,VLOOKUP($A170,'[1]Markings Threadings'!$B$3:$L$245,5,0),IF(_xlpm.x=0,"",_xlpm.x)),"")</f>
        <v/>
      </c>
      <c r="S170" s="1">
        <f>IFERROR(_xlfn.LET(_xlpm.x,VLOOKUP($A170,'[1]Markings Threadings'!$B$3:$L$245,6,0),IF(_xlpm.x=0,"",_xlpm.x)),"")</f>
        <v>1</v>
      </c>
      <c r="T170" s="6">
        <f>IFERROR(_xlfn.LET(_xlpm.x,VLOOKUP($C170,[1]Summary!$A$2:$J$118,4,0),IF(_xlpm.x=0,"",_xlpm.x)),"")</f>
        <v>18.195462301761221</v>
      </c>
      <c r="U170" s="6" t="str">
        <f>IFERROR(_xlfn.LET(_xlpm.x,VLOOKUP($C170,[1]Summary!$A$2:$J$118,5,0),IF(_xlpm.x=0,"",_xlpm.x)),"")</f>
        <v/>
      </c>
      <c r="V170" s="6" t="str">
        <f>IFERROR(_xlfn.LET(_xlpm.x,VLOOKUP($C170,[1]Summary!$A$2:$J$118,6,0),IF(_xlpm.x=0,"",_xlpm.x)),"")</f>
        <v/>
      </c>
      <c r="W170" s="6" t="str">
        <f>IFERROR(_xlfn.LET(_xlpm.x,VLOOKUP($C170,[1]Summary!$A$2:$J$118,7,0),IF(_xlpm.x=0,"",_xlpm.x)),"")</f>
        <v/>
      </c>
      <c r="X170" s="6" t="str">
        <f>IFERROR(_xlfn.LET(_xlpm.x,VLOOKUP($C170,[1]Summary!$A$2:$J$118,8,0),IF(_xlpm.x=0,"",_xlpm.x)),"")</f>
        <v/>
      </c>
      <c r="Y170" s="6" t="str">
        <f>IFERROR(_xlfn.LET(_xlpm.x,VLOOKUP($C170,[1]Summary!$A$2:$J$118,9,0),IF(_xlpm.x=0,"",_xlpm.x)),"")</f>
        <v/>
      </c>
      <c r="Z170" s="6" t="str">
        <f>IFERROR(_xlfn.LET(_xlpm.x,VLOOKUP($C170,[1]Summary!$A$2:$J$118,10,0),IF(_xlpm.x=0,"",_xlpm.x)),"")</f>
        <v/>
      </c>
    </row>
    <row r="171" spans="1:26" x14ac:dyDescent="0.25">
      <c r="A171" s="2">
        <v>1000000000978</v>
      </c>
      <c r="B171" s="5" t="s">
        <v>336</v>
      </c>
      <c r="C171" s="2">
        <v>3000000000072</v>
      </c>
      <c r="D171" s="5" t="s">
        <v>337</v>
      </c>
      <c r="E171" s="1">
        <v>3</v>
      </c>
      <c r="F171" s="1" t="s">
        <v>86</v>
      </c>
      <c r="G171" s="1">
        <v>4</v>
      </c>
      <c r="H171" s="1">
        <v>2</v>
      </c>
      <c r="I171" s="1">
        <v>2</v>
      </c>
      <c r="J171" s="1"/>
      <c r="K171" s="1">
        <v>16.8</v>
      </c>
      <c r="L171" s="1" t="str">
        <f>IFERROR(_xlfn.LET(_xlpm.x,VLOOKUP($A171,'[1]Markings Threadings'!$B$3:$L$245,3,0),IF(_xlpm.x=0,"",_xlpm.x)),"")</f>
        <v/>
      </c>
      <c r="M171" s="2" t="str">
        <f>IFERROR(_xlfn.LET(_xlpm.x,VLOOKUP($A171,'[1]Markings Threadings'!$B$3:$L$245,7,0),IF(_xlpm.x=0,"",_xlpm.x)),"")</f>
        <v/>
      </c>
      <c r="N171" s="5" t="str">
        <f>IFERROR(_xlfn.LET(_xlpm.x,VLOOKUP($A171,'[1]Markings Threadings'!$B$3:$L$245,8,0),IF(_xlpm.x=0,"",_xlpm.x)),"")</f>
        <v/>
      </c>
      <c r="O171" s="2" t="str">
        <f>IFERROR(_xlfn.LET(_xlpm.x,VLOOKUP($A171,'[1]Markings Threadings'!$B$3:$L$245,10,0),IF(_xlpm.x=0,"",_xlpm.x)),"")</f>
        <v/>
      </c>
      <c r="P171" s="5" t="str">
        <f>IFERROR(_xlfn.LET(_xlpm.x,VLOOKUP($A171,'[1]Markings Threadings'!$B$3:$L$245,11,0),IF(_xlpm.x=0,"",_xlpm.x)),"")</f>
        <v/>
      </c>
      <c r="Q171" s="1" t="str">
        <f>IFERROR(_xlfn.LET(_xlpm.x,VLOOKUP($A171,'[1]Markings Threadings'!$B$3:$L$245,4,0),IF(_xlpm.x=0,"",_xlpm.x)),"")</f>
        <v/>
      </c>
      <c r="R171" s="1" t="str">
        <f>IFERROR(_xlfn.LET(_xlpm.x,VLOOKUP($A171,'[1]Markings Threadings'!$B$3:$L$245,5,0),IF(_xlpm.x=0,"",_xlpm.x)),"")</f>
        <v/>
      </c>
      <c r="S171" s="1" t="str">
        <f>IFERROR(_xlfn.LET(_xlpm.x,VLOOKUP($A171,'[1]Markings Threadings'!$B$3:$L$245,6,0),IF(_xlpm.x=0,"",_xlpm.x)),"")</f>
        <v/>
      </c>
      <c r="T171" s="6">
        <f>IFERROR(_xlfn.LET(_xlpm.x,VLOOKUP($C171,[1]Summary!$A$2:$J$118,4,0),IF(_xlpm.x=0,"",_xlpm.x)),"")</f>
        <v>19.663669007990393</v>
      </c>
      <c r="U171" s="6" t="str">
        <f>IFERROR(_xlfn.LET(_xlpm.x,VLOOKUP($C171,[1]Summary!$A$2:$J$118,5,0),IF(_xlpm.x=0,"",_xlpm.x)),"")</f>
        <v/>
      </c>
      <c r="V171" s="6" t="str">
        <f>IFERROR(_xlfn.LET(_xlpm.x,VLOOKUP($C171,[1]Summary!$A$2:$J$118,6,0),IF(_xlpm.x=0,"",_xlpm.x)),"")</f>
        <v/>
      </c>
      <c r="W171" s="6" t="str">
        <f>IFERROR(_xlfn.LET(_xlpm.x,VLOOKUP($C171,[1]Summary!$A$2:$J$118,7,0),IF(_xlpm.x=0,"",_xlpm.x)),"")</f>
        <v/>
      </c>
      <c r="X171" s="6" t="str">
        <f>IFERROR(_xlfn.LET(_xlpm.x,VLOOKUP($C171,[1]Summary!$A$2:$J$118,8,0),IF(_xlpm.x=0,"",_xlpm.x)),"")</f>
        <v/>
      </c>
      <c r="Y171" s="6" t="str">
        <f>IFERROR(_xlfn.LET(_xlpm.x,VLOOKUP($C171,[1]Summary!$A$2:$J$118,9,0),IF(_xlpm.x=0,"",_xlpm.x)),"")</f>
        <v/>
      </c>
      <c r="Z171" s="6" t="str">
        <f>IFERROR(_xlfn.LET(_xlpm.x,VLOOKUP($C171,[1]Summary!$A$2:$J$118,10,0),IF(_xlpm.x=0,"",_xlpm.x)),"")</f>
        <v/>
      </c>
    </row>
    <row r="172" spans="1:26" x14ac:dyDescent="0.25">
      <c r="A172" s="2">
        <v>3000000000057</v>
      </c>
      <c r="B172" s="5" t="s">
        <v>338</v>
      </c>
      <c r="C172" s="2">
        <v>3000000000057</v>
      </c>
      <c r="D172" s="5" t="s">
        <v>338</v>
      </c>
      <c r="E172" s="1">
        <v>3</v>
      </c>
      <c r="F172" s="1" t="s">
        <v>86</v>
      </c>
      <c r="G172" s="1">
        <v>4</v>
      </c>
      <c r="H172" s="1">
        <v>2</v>
      </c>
      <c r="I172" s="1">
        <v>2</v>
      </c>
      <c r="J172" s="1"/>
      <c r="K172" s="1">
        <v>50</v>
      </c>
      <c r="L172" s="1" t="str">
        <f>IFERROR(_xlfn.LET(_xlpm.x,VLOOKUP($A172,'[1]Markings Threadings'!$B$3:$L$245,3,0),IF(_xlpm.x=0,"",_xlpm.x)),"")</f>
        <v>White</v>
      </c>
      <c r="M172" s="2">
        <f>IFERROR(_xlfn.LET(_xlpm.x,VLOOKUP($A172,'[1]Markings Threadings'!$B$3:$L$245,7,0),IF(_xlpm.x=0,"",_xlpm.x)),"")</f>
        <v>5000000000042</v>
      </c>
      <c r="N172" s="5" t="str">
        <f>IFERROR(_xlfn.LET(_xlpm.x,VLOOKUP($A172,'[1]Markings Threadings'!$B$3:$L$245,8,0),IF(_xlpm.x=0,"",_xlpm.x)),"")</f>
        <v>Sack Plain Yellow 50kg</v>
      </c>
      <c r="O172" s="2" t="str">
        <f>IFERROR(_xlfn.LET(_xlpm.x,VLOOKUP($A172,'[1]Markings Threadings'!$B$3:$L$245,10,0),IF(_xlpm.x=0,"",_xlpm.x)),"")</f>
        <v/>
      </c>
      <c r="P172" s="5" t="str">
        <f>IFERROR(_xlfn.LET(_xlpm.x,VLOOKUP($A172,'[1]Markings Threadings'!$B$3:$L$245,11,0),IF(_xlpm.x=0,"",_xlpm.x)),"")</f>
        <v>-</v>
      </c>
      <c r="Q172" s="1" t="str">
        <f>IFERROR(_xlfn.LET(_xlpm.x,VLOOKUP($A172,'[1]Markings Threadings'!$B$3:$L$245,4,0),IF(_xlpm.x=0,"",_xlpm.x)),"")</f>
        <v>PMRX 3 pellet</v>
      </c>
      <c r="R172" s="1" t="str">
        <f>IFERROR(_xlfn.LET(_xlpm.x,VLOOKUP($A172,'[1]Markings Threadings'!$B$3:$L$245,5,0),IF(_xlpm.x=0,"",_xlpm.x)),"")</f>
        <v/>
      </c>
      <c r="S172" s="1">
        <f>IFERROR(_xlfn.LET(_xlpm.x,VLOOKUP($A172,'[1]Markings Threadings'!$B$3:$L$245,6,0),IF(_xlpm.x=0,"",_xlpm.x)),"")</f>
        <v>1</v>
      </c>
      <c r="T172" s="6">
        <f>IFERROR(_xlfn.LET(_xlpm.x,VLOOKUP($C172,[1]Summary!$A$2:$J$118,4,0),IF(_xlpm.x=0,"",_xlpm.x)),"")</f>
        <v>19.113977617489983</v>
      </c>
      <c r="U172" s="6" t="str">
        <f>IFERROR(_xlfn.LET(_xlpm.x,VLOOKUP($C172,[1]Summary!$A$2:$J$118,5,0),IF(_xlpm.x=0,"",_xlpm.x)),"")</f>
        <v/>
      </c>
      <c r="V172" s="6" t="str">
        <f>IFERROR(_xlfn.LET(_xlpm.x,VLOOKUP($C172,[1]Summary!$A$2:$J$118,6,0),IF(_xlpm.x=0,"",_xlpm.x)),"")</f>
        <v/>
      </c>
      <c r="W172" s="6" t="str">
        <f>IFERROR(_xlfn.LET(_xlpm.x,VLOOKUP($C172,[1]Summary!$A$2:$J$118,7,0),IF(_xlpm.x=0,"",_xlpm.x)),"")</f>
        <v/>
      </c>
      <c r="X172" s="6" t="str">
        <f>IFERROR(_xlfn.LET(_xlpm.x,VLOOKUP($C172,[1]Summary!$A$2:$J$118,8,0),IF(_xlpm.x=0,"",_xlpm.x)),"")</f>
        <v/>
      </c>
      <c r="Y172" s="6" t="str">
        <f>IFERROR(_xlfn.LET(_xlpm.x,VLOOKUP($C172,[1]Summary!$A$2:$J$118,9,0),IF(_xlpm.x=0,"",_xlpm.x)),"")</f>
        <v/>
      </c>
      <c r="Z172" s="6" t="str">
        <f>IFERROR(_xlfn.LET(_xlpm.x,VLOOKUP($C172,[1]Summary!$A$2:$J$118,10,0),IF(_xlpm.x=0,"",_xlpm.x)),"")</f>
        <v/>
      </c>
    </row>
    <row r="173" spans="1:26" x14ac:dyDescent="0.25">
      <c r="A173" s="2">
        <v>1000000000406</v>
      </c>
      <c r="B173" s="5" t="s">
        <v>339</v>
      </c>
      <c r="C173" s="2">
        <v>3000000001127</v>
      </c>
      <c r="D173" s="5" t="s">
        <v>271</v>
      </c>
      <c r="E173" s="1">
        <v>4</v>
      </c>
      <c r="F173" s="1" t="s">
        <v>47</v>
      </c>
      <c r="G173" s="1">
        <v>4</v>
      </c>
      <c r="H173" s="1">
        <v>2</v>
      </c>
      <c r="I173" s="1">
        <v>2</v>
      </c>
      <c r="J173" s="1"/>
      <c r="K173" s="1">
        <v>50</v>
      </c>
      <c r="L173" s="1" t="str">
        <f>IFERROR(_xlfn.LET(_xlpm.x,VLOOKUP($A173,'[1]Markings Threadings'!$B$3:$L$245,3,0),IF(_xlpm.x=0,"",_xlpm.x)),"")</f>
        <v>Orange Green</v>
      </c>
      <c r="M173" s="2">
        <f>IFERROR(_xlfn.LET(_xlpm.x,VLOOKUP($A173,'[1]Markings Threadings'!$B$3:$L$245,7,0),IF(_xlpm.x=0,"",_xlpm.x)),"")</f>
        <v>5000000000557</v>
      </c>
      <c r="N173" s="5" t="str">
        <f>IFERROR(_xlfn.LET(_xlpm.x,VLOOKUP($A173,'[1]Markings Threadings'!$B$3:$L$245,8,0),IF(_xlpm.x=0,"",_xlpm.x)),"")</f>
        <v>v2 - Poultry Solutions Broiler Booster, 50kg</v>
      </c>
      <c r="O173" s="2">
        <f>IFERROR(_xlfn.LET(_xlpm.x,VLOOKUP($A173,'[1]Markings Threadings'!$B$3:$L$245,10,0),IF(_xlpm.x=0,"",_xlpm.x)),"")</f>
        <v>5000000000154</v>
      </c>
      <c r="P173" s="5" t="str">
        <f>IFERROR(_xlfn.LET(_xlpm.x,VLOOKUP($A173,'[1]Markings Threadings'!$B$3:$L$245,11,0),IF(_xlpm.x=0,"",_xlpm.x)),"")</f>
        <v>Tag - Poultry Solutions Broiler Booster, 50kg</v>
      </c>
      <c r="Q173" s="1" t="str">
        <f>IFERROR(_xlfn.LET(_xlpm.x,VLOOKUP($A173,'[1]Markings Threadings'!$B$3:$L$245,4,0),IF(_xlpm.x=0,"",_xlpm.x)),"")</f>
        <v>406 CE</v>
      </c>
      <c r="R173" s="1" t="str">
        <f>IFERROR(_xlfn.LET(_xlpm.x,VLOOKUP($A173,'[1]Markings Threadings'!$B$3:$L$245,5,0),IF(_xlpm.x=0,"",_xlpm.x)),"")</f>
        <v/>
      </c>
      <c r="S173" s="1">
        <f>IFERROR(_xlfn.LET(_xlpm.x,VLOOKUP($A173,'[1]Markings Threadings'!$B$3:$L$245,6,0),IF(_xlpm.x=0,"",_xlpm.x)),"")</f>
        <v>6</v>
      </c>
      <c r="T173" s="6" t="str">
        <f>IFERROR(_xlfn.LET(_xlpm.x,VLOOKUP($C173,[1]Summary!$A$2:$J$118,4,0),IF(_xlpm.x=0,"",_xlpm.x)),"")</f>
        <v/>
      </c>
      <c r="U173" s="6" t="str">
        <f>IFERROR(_xlfn.LET(_xlpm.x,VLOOKUP($C173,[1]Summary!$A$2:$J$118,5,0),IF(_xlpm.x=0,"",_xlpm.x)),"")</f>
        <v/>
      </c>
      <c r="V173" s="6" t="str">
        <f>IFERROR(_xlfn.LET(_xlpm.x,VLOOKUP($C173,[1]Summary!$A$2:$J$118,6,0),IF(_xlpm.x=0,"",_xlpm.x)),"")</f>
        <v/>
      </c>
      <c r="W173" s="6">
        <f>IFERROR(_xlfn.LET(_xlpm.x,VLOOKUP($C173,[1]Summary!$A$2:$J$118,7,0),IF(_xlpm.x=0,"",_xlpm.x)),"")</f>
        <v>8.5170149500924222</v>
      </c>
      <c r="X173" s="6" t="str">
        <f>IFERROR(_xlfn.LET(_xlpm.x,VLOOKUP($C173,[1]Summary!$A$2:$J$118,8,0),IF(_xlpm.x=0,"",_xlpm.x)),"")</f>
        <v/>
      </c>
      <c r="Y173" s="6" t="str">
        <f>IFERROR(_xlfn.LET(_xlpm.x,VLOOKUP($C173,[1]Summary!$A$2:$J$118,9,0),IF(_xlpm.x=0,"",_xlpm.x)),"")</f>
        <v/>
      </c>
      <c r="Z173" s="6" t="str">
        <f>IFERROR(_xlfn.LET(_xlpm.x,VLOOKUP($C173,[1]Summary!$A$2:$J$118,10,0),IF(_xlpm.x=0,"",_xlpm.x)),"")</f>
        <v/>
      </c>
    </row>
    <row r="174" spans="1:26" x14ac:dyDescent="0.25">
      <c r="A174" s="2">
        <v>1000000000137</v>
      </c>
      <c r="B174" s="5" t="s">
        <v>340</v>
      </c>
      <c r="C174" s="2">
        <v>3000000001135</v>
      </c>
      <c r="D174" s="5" t="s">
        <v>341</v>
      </c>
      <c r="E174" s="1">
        <v>3</v>
      </c>
      <c r="F174" s="1" t="s">
        <v>67</v>
      </c>
      <c r="G174" s="1">
        <v>4</v>
      </c>
      <c r="H174" s="1">
        <v>2</v>
      </c>
      <c r="I174" s="1">
        <v>2</v>
      </c>
      <c r="J174" s="1"/>
      <c r="K174" s="1">
        <v>50</v>
      </c>
      <c r="L174" s="1" t="str">
        <f>IFERROR(_xlfn.LET(_xlpm.x,VLOOKUP($A174,'[1]Markings Threadings'!$B$3:$L$245,3,0),IF(_xlpm.x=0,"",_xlpm.x)),"")</f>
        <v>White Green</v>
      </c>
      <c r="M174" s="2">
        <f>IFERROR(_xlfn.LET(_xlpm.x,VLOOKUP($A174,'[1]Markings Threadings'!$B$3:$L$245,7,0),IF(_xlpm.x=0,"",_xlpm.x)),"")</f>
        <v>5000000000561</v>
      </c>
      <c r="N174" s="5" t="str">
        <f>IFERROR(_xlfn.LET(_xlpm.x,VLOOKUP($A174,'[1]Markings Threadings'!$B$3:$L$245,8,0),IF(_xlpm.x=0,"",_xlpm.x)),"")</f>
        <v>v2 - Poultry Solutions Chick Starter, 50</v>
      </c>
      <c r="O174" s="2">
        <f>IFERROR(_xlfn.LET(_xlpm.x,VLOOKUP($A174,'[1]Markings Threadings'!$B$3:$L$245,10,0),IF(_xlpm.x=0,"",_xlpm.x)),"")</f>
        <v>5000000000125</v>
      </c>
      <c r="P174" s="5" t="str">
        <f>IFERROR(_xlfn.LET(_xlpm.x,VLOOKUP($A174,'[1]Markings Threadings'!$B$3:$L$245,11,0),IF(_xlpm.x=0,"",_xlpm.x)),"")</f>
        <v>Tag - Poultry Solutions Chick Starter Crumble</v>
      </c>
      <c r="Q174" s="1" t="str">
        <f>IFERROR(_xlfn.LET(_xlpm.x,VLOOKUP($A174,'[1]Markings Threadings'!$B$3:$L$245,4,0),IF(_xlpm.x=0,"",_xlpm.x)),"")</f>
        <v>137 Sml</v>
      </c>
      <c r="R174" s="1" t="str">
        <f>IFERROR(_xlfn.LET(_xlpm.x,VLOOKUP($A174,'[1]Markings Threadings'!$B$3:$L$245,5,0),IF(_xlpm.x=0,"",_xlpm.x)),"")</f>
        <v/>
      </c>
      <c r="S174" s="1">
        <f>IFERROR(_xlfn.LET(_xlpm.x,VLOOKUP($A174,'[1]Markings Threadings'!$B$3:$L$245,6,0),IF(_xlpm.x=0,"",_xlpm.x)),"")</f>
        <v>15</v>
      </c>
      <c r="T174" s="6" t="str">
        <f>IFERROR(_xlfn.LET(_xlpm.x,VLOOKUP($C174,[1]Summary!$A$2:$J$118,4,0),IF(_xlpm.x=0,"",_xlpm.x)),"")</f>
        <v/>
      </c>
      <c r="U174" s="6" t="str">
        <f>IFERROR(_xlfn.LET(_xlpm.x,VLOOKUP($C174,[1]Summary!$A$2:$J$118,5,0),IF(_xlpm.x=0,"",_xlpm.x)),"")</f>
        <v/>
      </c>
      <c r="V174" s="6" t="str">
        <f>IFERROR(_xlfn.LET(_xlpm.x,VLOOKUP($C174,[1]Summary!$A$2:$J$118,6,0),IF(_xlpm.x=0,"",_xlpm.x)),"")</f>
        <v/>
      </c>
      <c r="W174" s="6" t="str">
        <f>IFERROR(_xlfn.LET(_xlpm.x,VLOOKUP($C174,[1]Summary!$A$2:$J$118,7,0),IF(_xlpm.x=0,"",_xlpm.x)),"")</f>
        <v/>
      </c>
      <c r="X174" s="6" t="str">
        <f>IFERROR(_xlfn.LET(_xlpm.x,VLOOKUP($C174,[1]Summary!$A$2:$J$118,8,0),IF(_xlpm.x=0,"",_xlpm.x)),"")</f>
        <v/>
      </c>
      <c r="Y174" s="6" t="str">
        <f>IFERROR(_xlfn.LET(_xlpm.x,VLOOKUP($C174,[1]Summary!$A$2:$J$118,9,0),IF(_xlpm.x=0,"",_xlpm.x)),"")</f>
        <v/>
      </c>
      <c r="Z174" s="6" t="str">
        <f>IFERROR(_xlfn.LET(_xlpm.x,VLOOKUP($C174,[1]Summary!$A$2:$J$118,10,0),IF(_xlpm.x=0,"",_xlpm.x)),"")</f>
        <v/>
      </c>
    </row>
    <row r="175" spans="1:26" x14ac:dyDescent="0.25">
      <c r="A175" s="2">
        <v>1000000001697</v>
      </c>
      <c r="B175" s="5" t="s">
        <v>342</v>
      </c>
      <c r="C175" s="2">
        <v>3000000000657</v>
      </c>
      <c r="D175" s="5" t="s">
        <v>343</v>
      </c>
      <c r="E175" s="1">
        <v>3</v>
      </c>
      <c r="F175" s="1" t="s">
        <v>86</v>
      </c>
      <c r="G175" s="1">
        <v>4</v>
      </c>
      <c r="H175" s="1">
        <v>2</v>
      </c>
      <c r="I175" s="1">
        <v>2</v>
      </c>
      <c r="J175" s="1"/>
      <c r="K175" s="1">
        <v>25</v>
      </c>
      <c r="L175" s="1" t="str">
        <f>IFERROR(_xlfn.LET(_xlpm.x,VLOOKUP($A175,'[1]Markings Threadings'!$B$3:$L$245,3,0),IF(_xlpm.x=0,"",_xlpm.x)),"")</f>
        <v>Yellow</v>
      </c>
      <c r="M175" s="2">
        <f>IFERROR(_xlfn.LET(_xlpm.x,VLOOKUP($A175,'[1]Markings Threadings'!$B$3:$L$245,7,0),IF(_xlpm.x=0,"",_xlpm.x)),"")</f>
        <v>5000000000422</v>
      </c>
      <c r="N175" s="5" t="str">
        <f>IFERROR(_xlfn.LET(_xlpm.x,VLOOKUP($A175,'[1]Markings Threadings'!$B$3:$L$245,8,0),IF(_xlpm.x=0,"",_xlpm.x)),"")</f>
        <v>Elite XP Hog Pre-startex, 25kg mocha PP bag</v>
      </c>
      <c r="O175" s="2">
        <f>IFERROR(_xlfn.LET(_xlpm.x,VLOOKUP($A175,'[1]Markings Threadings'!$B$3:$L$245,10,0),IF(_xlpm.x=0,"",_xlpm.x)),"")</f>
        <v>5000000000478</v>
      </c>
      <c r="P175" s="5" t="str">
        <f>IFERROR(_xlfn.LET(_xlpm.x,VLOOKUP($A175,'[1]Markings Threadings'!$B$3:$L$245,11,0),IF(_xlpm.x=0,"",_xlpm.x)),"")</f>
        <v>Tag- Elite XP Pre-Starter Mini-Pellet, Pellet 50 kg</v>
      </c>
      <c r="Q175" s="1" t="str">
        <f>IFERROR(_xlfn.LET(_xlpm.x,VLOOKUP($A175,'[1]Markings Threadings'!$B$3:$L$245,4,0),IF(_xlpm.x=0,"",_xlpm.x)),"")</f>
        <v/>
      </c>
      <c r="R175" s="1" t="str">
        <f>IFERROR(_xlfn.LET(_xlpm.x,VLOOKUP($A175,'[1]Markings Threadings'!$B$3:$L$245,5,0),IF(_xlpm.x=0,"",_xlpm.x)),"")</f>
        <v>1697 - PS T2</v>
      </c>
      <c r="S175" s="1">
        <f>IFERROR(_xlfn.LET(_xlpm.x,VLOOKUP($A175,'[1]Markings Threadings'!$B$3:$L$245,6,0),IF(_xlpm.x=0,"",_xlpm.x)),"")</f>
        <v>2</v>
      </c>
      <c r="T175" s="6" t="str">
        <f>IFERROR(_xlfn.LET(_xlpm.x,VLOOKUP($C175,[1]Summary!$A$2:$J$118,4,0),IF(_xlpm.x=0,"",_xlpm.x)),"")</f>
        <v/>
      </c>
      <c r="U175" s="6" t="str">
        <f>IFERROR(_xlfn.LET(_xlpm.x,VLOOKUP($C175,[1]Summary!$A$2:$J$118,5,0),IF(_xlpm.x=0,"",_xlpm.x)),"")</f>
        <v/>
      </c>
      <c r="V175" s="6" t="str">
        <f>IFERROR(_xlfn.LET(_xlpm.x,VLOOKUP($C175,[1]Summary!$A$2:$J$118,6,0),IF(_xlpm.x=0,"",_xlpm.x)),"")</f>
        <v/>
      </c>
      <c r="W175" s="6" t="str">
        <f>IFERROR(_xlfn.LET(_xlpm.x,VLOOKUP($C175,[1]Summary!$A$2:$J$118,7,0),IF(_xlpm.x=0,"",_xlpm.x)),"")</f>
        <v/>
      </c>
      <c r="X175" s="6" t="str">
        <f>IFERROR(_xlfn.LET(_xlpm.x,VLOOKUP($C175,[1]Summary!$A$2:$J$118,8,0),IF(_xlpm.x=0,"",_xlpm.x)),"")</f>
        <v/>
      </c>
      <c r="Y175" s="6">
        <f>IFERROR(_xlfn.LET(_xlpm.x,VLOOKUP($C175,[1]Summary!$A$2:$J$118,9,0),IF(_xlpm.x=0,"",_xlpm.x)),"")</f>
        <v>7.6795084800000035</v>
      </c>
      <c r="Z175" s="6">
        <f>IFERROR(_xlfn.LET(_xlpm.x,VLOOKUP($C175,[1]Summary!$A$2:$J$118,10,0),IF(_xlpm.x=0,"",_xlpm.x)),"")</f>
        <v>6.8756335509202451</v>
      </c>
    </row>
    <row r="176" spans="1:26" x14ac:dyDescent="0.25">
      <c r="A176" s="2">
        <v>1000000001666</v>
      </c>
      <c r="B176" s="5" t="s">
        <v>344</v>
      </c>
      <c r="C176" s="2">
        <v>3000000001297</v>
      </c>
      <c r="D176" s="5" t="s">
        <v>345</v>
      </c>
      <c r="E176" s="1">
        <v>3</v>
      </c>
      <c r="F176" s="1" t="s">
        <v>86</v>
      </c>
      <c r="G176" s="1">
        <v>4</v>
      </c>
      <c r="H176" s="1">
        <v>2</v>
      </c>
      <c r="I176" s="1">
        <v>2</v>
      </c>
      <c r="J176" s="1"/>
      <c r="K176" s="1">
        <v>50</v>
      </c>
      <c r="L176" s="1" t="str">
        <f>IFERROR(_xlfn.LET(_xlpm.x,VLOOKUP($A176,'[1]Markings Threadings'!$B$3:$L$245,3,0),IF(_xlpm.x=0,"",_xlpm.x)),"")</f>
        <v>Green</v>
      </c>
      <c r="M176" s="2" t="str">
        <f>IFERROR(_xlfn.LET(_xlpm.x,VLOOKUP($A176,'[1]Markings Threadings'!$B$3:$L$245,7,0),IF(_xlpm.x=0,"",_xlpm.x)),"")</f>
        <v/>
      </c>
      <c r="N176" s="5" t="str">
        <f>IFERROR(_xlfn.LET(_xlpm.x,VLOOKUP($A176,'[1]Markings Threadings'!$B$3:$L$245,8,0),IF(_xlpm.x=0,"",_xlpm.x)),"")</f>
        <v/>
      </c>
      <c r="O176" s="2" t="str">
        <f>IFERROR(_xlfn.LET(_xlpm.x,VLOOKUP($A176,'[1]Markings Threadings'!$B$3:$L$245,10,0),IF(_xlpm.x=0,"",_xlpm.x)),"")</f>
        <v/>
      </c>
      <c r="P176" s="5" t="str">
        <f>IFERROR(_xlfn.LET(_xlpm.x,VLOOKUP($A176,'[1]Markings Threadings'!$B$3:$L$245,11,0),IF(_xlpm.x=0,"",_xlpm.x)),"")</f>
        <v/>
      </c>
      <c r="Q176" s="1" t="str">
        <f>IFERROR(_xlfn.LET(_xlpm.x,VLOOKUP($A176,'[1]Markings Threadings'!$B$3:$L$245,4,0),IF(_xlpm.x=0,"",_xlpm.x)),"")</f>
        <v>PS T2</v>
      </c>
      <c r="R176" s="1" t="str">
        <f>IFERROR(_xlfn.LET(_xlpm.x,VLOOKUP($A176,'[1]Markings Threadings'!$B$3:$L$245,5,0),IF(_xlpm.x=0,"",_xlpm.x)),"")</f>
        <v/>
      </c>
      <c r="S176" s="1" t="str">
        <f>IFERROR(_xlfn.LET(_xlpm.x,VLOOKUP($A176,'[1]Markings Threadings'!$B$3:$L$245,6,0),IF(_xlpm.x=0,"",_xlpm.x)),"")</f>
        <v/>
      </c>
      <c r="T176" s="6" t="str">
        <f>IFERROR(_xlfn.LET(_xlpm.x,VLOOKUP($C176,[1]Summary!$A$2:$J$118,4,0),IF(_xlpm.x=0,"",_xlpm.x)),"")</f>
        <v/>
      </c>
      <c r="U176" s="6" t="str">
        <f>IFERROR(_xlfn.LET(_xlpm.x,VLOOKUP($C176,[1]Summary!$A$2:$J$118,5,0),IF(_xlpm.x=0,"",_xlpm.x)),"")</f>
        <v/>
      </c>
      <c r="V176" s="6" t="str">
        <f>IFERROR(_xlfn.LET(_xlpm.x,VLOOKUP($C176,[1]Summary!$A$2:$J$118,6,0),IF(_xlpm.x=0,"",_xlpm.x)),"")</f>
        <v/>
      </c>
      <c r="W176" s="6" t="str">
        <f>IFERROR(_xlfn.LET(_xlpm.x,VLOOKUP($C176,[1]Summary!$A$2:$J$118,7,0),IF(_xlpm.x=0,"",_xlpm.x)),"")</f>
        <v/>
      </c>
      <c r="X176" s="6" t="str">
        <f>IFERROR(_xlfn.LET(_xlpm.x,VLOOKUP($C176,[1]Summary!$A$2:$J$118,8,0),IF(_xlpm.x=0,"",_xlpm.x)),"")</f>
        <v/>
      </c>
      <c r="Y176" s="6" t="str">
        <f>IFERROR(_xlfn.LET(_xlpm.x,VLOOKUP($C176,[1]Summary!$A$2:$J$118,9,0),IF(_xlpm.x=0,"",_xlpm.x)),"")</f>
        <v/>
      </c>
      <c r="Z176" s="6">
        <f>IFERROR(_xlfn.LET(_xlpm.x,VLOOKUP($C176,[1]Summary!$A$2:$J$118,10,0),IF(_xlpm.x=0,"",_xlpm.x)),"")</f>
        <v>7.999488000000027</v>
      </c>
    </row>
    <row r="177" spans="1:26" x14ac:dyDescent="0.25">
      <c r="A177" s="2">
        <v>1000000001636</v>
      </c>
      <c r="B177" s="5" t="s">
        <v>346</v>
      </c>
      <c r="C177" s="2">
        <v>3000000001137</v>
      </c>
      <c r="D177" s="5" t="s">
        <v>347</v>
      </c>
      <c r="E177" s="1">
        <v>4</v>
      </c>
      <c r="F177" s="1" t="s">
        <v>67</v>
      </c>
      <c r="G177" s="1">
        <v>4</v>
      </c>
      <c r="H177" s="1">
        <v>2</v>
      </c>
      <c r="I177" s="1">
        <v>2</v>
      </c>
      <c r="J177" s="1"/>
      <c r="K177" s="1">
        <v>50</v>
      </c>
      <c r="L177" s="1" t="str">
        <f>IFERROR(_xlfn.LET(_xlpm.x,VLOOKUP($A177,'[1]Markings Threadings'!$B$3:$L$245,3,0),IF(_xlpm.x=0,"",_xlpm.x)),"")</f>
        <v>White Orange</v>
      </c>
      <c r="M177" s="2">
        <f>IFERROR(_xlfn.LET(_xlpm.x,VLOOKUP($A177,'[1]Markings Threadings'!$B$3:$L$245,7,0),IF(_xlpm.x=0,"",_xlpm.x)),"")</f>
        <v>5000000000562</v>
      </c>
      <c r="N177" s="5" t="str">
        <f>IFERROR(_xlfn.LET(_xlpm.x,VLOOKUP($A177,'[1]Markings Threadings'!$B$3:$L$245,8,0),IF(_xlpm.x=0,"",_xlpm.x)),"")</f>
        <v>Sack Poultry Sol Chick Growex 1, 50kg</v>
      </c>
      <c r="O177" s="2">
        <f>IFERROR(_xlfn.LET(_xlpm.x,VLOOKUP($A177,'[1]Markings Threadings'!$B$3:$L$245,10,0),IF(_xlpm.x=0,"",_xlpm.x)),"")</f>
        <v>5000000000123</v>
      </c>
      <c r="P177" s="5" t="str">
        <f>IFERROR(_xlfn.LET(_xlpm.x,VLOOKUP($A177,'[1]Markings Threadings'!$B$3:$L$245,11,0),IF(_xlpm.x=0,"",_xlpm.x)),"")</f>
        <v>Tag Poultry Solution Chick Grower II</v>
      </c>
      <c r="Q177" s="1" t="str">
        <f>IFERROR(_xlfn.LET(_xlpm.x,VLOOKUP($A177,'[1]Markings Threadings'!$B$3:$L$245,4,0),IF(_xlpm.x=0,"",_xlpm.x)),"")</f>
        <v>1636 PS Brdr Gr 2 Cr</v>
      </c>
      <c r="R177" s="1" t="str">
        <f>IFERROR(_xlfn.LET(_xlpm.x,VLOOKUP($A177,'[1]Markings Threadings'!$B$3:$L$245,5,0),IF(_xlpm.x=0,"",_xlpm.x)),"")</f>
        <v/>
      </c>
      <c r="S177" s="1">
        <f>IFERROR(_xlfn.LET(_xlpm.x,VLOOKUP($A177,'[1]Markings Threadings'!$B$3:$L$245,6,0),IF(_xlpm.x=0,"",_xlpm.x)),"")</f>
        <v>14</v>
      </c>
      <c r="T177" s="6" t="str">
        <f>IFERROR(_xlfn.LET(_xlpm.x,VLOOKUP($C177,[1]Summary!$A$2:$J$118,4,0),IF(_xlpm.x=0,"",_xlpm.x)),"")</f>
        <v/>
      </c>
      <c r="U177" s="6" t="str">
        <f>IFERROR(_xlfn.LET(_xlpm.x,VLOOKUP($C177,[1]Summary!$A$2:$J$118,5,0),IF(_xlpm.x=0,"",_xlpm.x)),"")</f>
        <v/>
      </c>
      <c r="V177" s="6" t="str">
        <f>IFERROR(_xlfn.LET(_xlpm.x,VLOOKUP($C177,[1]Summary!$A$2:$J$118,6,0),IF(_xlpm.x=0,"",_xlpm.x)),"")</f>
        <v/>
      </c>
      <c r="W177" s="6" t="str">
        <f>IFERROR(_xlfn.LET(_xlpm.x,VLOOKUP($C177,[1]Summary!$A$2:$J$118,7,0),IF(_xlpm.x=0,"",_xlpm.x)),"")</f>
        <v/>
      </c>
      <c r="X177" s="6" t="str">
        <f>IFERROR(_xlfn.LET(_xlpm.x,VLOOKUP($C177,[1]Summary!$A$2:$J$118,8,0),IF(_xlpm.x=0,"",_xlpm.x)),"")</f>
        <v/>
      </c>
      <c r="Y177" s="6" t="str">
        <f>IFERROR(_xlfn.LET(_xlpm.x,VLOOKUP($C177,[1]Summary!$A$2:$J$118,9,0),IF(_xlpm.x=0,"",_xlpm.x)),"")</f>
        <v/>
      </c>
      <c r="Z177" s="6" t="str">
        <f>IFERROR(_xlfn.LET(_xlpm.x,VLOOKUP($C177,[1]Summary!$A$2:$J$118,10,0),IF(_xlpm.x=0,"",_xlpm.x)),"")</f>
        <v/>
      </c>
    </row>
    <row r="178" spans="1:26" x14ac:dyDescent="0.25">
      <c r="A178" s="2">
        <v>1000000000117</v>
      </c>
      <c r="B178" s="5" t="s">
        <v>348</v>
      </c>
      <c r="C178" s="2">
        <v>3000000001123</v>
      </c>
      <c r="D178" s="5" t="s">
        <v>341</v>
      </c>
      <c r="E178" s="1">
        <v>4</v>
      </c>
      <c r="F178" s="1" t="s">
        <v>67</v>
      </c>
      <c r="G178" s="1">
        <v>4</v>
      </c>
      <c r="H178" s="1">
        <v>2</v>
      </c>
      <c r="I178" s="1">
        <v>2</v>
      </c>
      <c r="J178" s="1"/>
      <c r="K178" s="1">
        <v>50</v>
      </c>
      <c r="L178" s="1" t="str">
        <f>IFERROR(_xlfn.LET(_xlpm.x,VLOOKUP($A178,'[1]Markings Threadings'!$B$3:$L$245,3,0),IF(_xlpm.x=0,"",_xlpm.x)),"")</f>
        <v>Red Green</v>
      </c>
      <c r="M178" s="2">
        <f>IFERROR(_xlfn.LET(_xlpm.x,VLOOKUP($A178,'[1]Markings Threadings'!$B$3:$L$245,7,0),IF(_xlpm.x=0,"",_xlpm.x)),"")</f>
        <v>5000000000561</v>
      </c>
      <c r="N178" s="5" t="str">
        <f>IFERROR(_xlfn.LET(_xlpm.x,VLOOKUP($A178,'[1]Markings Threadings'!$B$3:$L$245,8,0),IF(_xlpm.x=0,"",_xlpm.x)),"")</f>
        <v>v2 - Poultry Solutions Chick Starter, 50</v>
      </c>
      <c r="O178" s="2">
        <f>IFERROR(_xlfn.LET(_xlpm.x,VLOOKUP($A178,'[1]Markings Threadings'!$B$3:$L$245,10,0),IF(_xlpm.x=0,"",_xlpm.x)),"")</f>
        <v>5000000000125</v>
      </c>
      <c r="P178" s="5" t="str">
        <f>IFERROR(_xlfn.LET(_xlpm.x,VLOOKUP($A178,'[1]Markings Threadings'!$B$3:$L$245,11,0),IF(_xlpm.x=0,"",_xlpm.x)),"")</f>
        <v>Tag - Poultry Solutions Chick Starter Crumble</v>
      </c>
      <c r="Q178" s="1" t="str">
        <f>IFERROR(_xlfn.LET(_xlpm.x,VLOOKUP($A178,'[1]Markings Threadings'!$B$3:$L$245,4,0),IF(_xlpm.x=0,"",_xlpm.x)),"")</f>
        <v>117 Brdr Str</v>
      </c>
      <c r="R178" s="1" t="str">
        <f>IFERROR(_xlfn.LET(_xlpm.x,VLOOKUP($A178,'[1]Markings Threadings'!$B$3:$L$245,5,0),IF(_xlpm.x=0,"",_xlpm.x)),"")</f>
        <v/>
      </c>
      <c r="S178" s="1">
        <f>IFERROR(_xlfn.LET(_xlpm.x,VLOOKUP($A178,'[1]Markings Threadings'!$B$3:$L$245,6,0),IF(_xlpm.x=0,"",_xlpm.x)),"")</f>
        <v>15</v>
      </c>
      <c r="T178" s="6" t="str">
        <f>IFERROR(_xlfn.LET(_xlpm.x,VLOOKUP($C178,[1]Summary!$A$2:$J$118,4,0),IF(_xlpm.x=0,"",_xlpm.x)),"")</f>
        <v/>
      </c>
      <c r="U178" s="6" t="str">
        <f>IFERROR(_xlfn.LET(_xlpm.x,VLOOKUP($C178,[1]Summary!$A$2:$J$118,5,0),IF(_xlpm.x=0,"",_xlpm.x)),"")</f>
        <v/>
      </c>
      <c r="V178" s="6" t="str">
        <f>IFERROR(_xlfn.LET(_xlpm.x,VLOOKUP($C178,[1]Summary!$A$2:$J$118,6,0),IF(_xlpm.x=0,"",_xlpm.x)),"")</f>
        <v/>
      </c>
      <c r="W178" s="6" t="str">
        <f>IFERROR(_xlfn.LET(_xlpm.x,VLOOKUP($C178,[1]Summary!$A$2:$J$118,7,0),IF(_xlpm.x=0,"",_xlpm.x)),"")</f>
        <v/>
      </c>
      <c r="X178" s="6" t="str">
        <f>IFERROR(_xlfn.LET(_xlpm.x,VLOOKUP($C178,[1]Summary!$A$2:$J$118,8,0),IF(_xlpm.x=0,"",_xlpm.x)),"")</f>
        <v/>
      </c>
      <c r="Y178" s="6" t="str">
        <f>IFERROR(_xlfn.LET(_xlpm.x,VLOOKUP($C178,[1]Summary!$A$2:$J$118,9,0),IF(_xlpm.x=0,"",_xlpm.x)),"")</f>
        <v/>
      </c>
      <c r="Z178" s="6" t="str">
        <f>IFERROR(_xlfn.LET(_xlpm.x,VLOOKUP($C178,[1]Summary!$A$2:$J$118,10,0),IF(_xlpm.x=0,"",_xlpm.x)),"")</f>
        <v/>
      </c>
    </row>
    <row r="179" spans="1:26" x14ac:dyDescent="0.25">
      <c r="A179" s="2">
        <v>1000000000967</v>
      </c>
      <c r="B179" s="5" t="s">
        <v>349</v>
      </c>
      <c r="C179" s="2">
        <v>3000000000190</v>
      </c>
      <c r="D179" s="5" t="s">
        <v>350</v>
      </c>
      <c r="E179" s="1"/>
      <c r="F179" s="1" t="s">
        <v>44</v>
      </c>
      <c r="G179" s="1">
        <v>4</v>
      </c>
      <c r="H179" s="1">
        <v>2</v>
      </c>
      <c r="I179" s="1">
        <v>2</v>
      </c>
      <c r="J179" s="1"/>
      <c r="K179" s="1">
        <v>500</v>
      </c>
      <c r="L179" s="1" t="str">
        <f>IFERROR(_xlfn.LET(_xlpm.x,VLOOKUP($A179,'[1]Markings Threadings'!$B$3:$L$245,3,0),IF(_xlpm.x=0,"",_xlpm.x)),"")</f>
        <v>White</v>
      </c>
      <c r="M179" s="2">
        <f>IFERROR(_xlfn.LET(_xlpm.x,VLOOKUP($A179,'[1]Markings Threadings'!$B$3:$L$245,7,0),IF(_xlpm.x=0,"",_xlpm.x)),"")</f>
        <v>5000000000601</v>
      </c>
      <c r="N179" s="5" t="str">
        <f>IFERROR(_xlfn.LET(_xlpm.x,VLOOKUP($A179,'[1]Markings Threadings'!$B$3:$L$245,8,0),IF(_xlpm.x=0,"",_xlpm.x)),"")</f>
        <v>Tote Bag 1000 kg</v>
      </c>
      <c r="O179" s="2" t="str">
        <f>IFERROR(_xlfn.LET(_xlpm.x,VLOOKUP($A179,'[1]Markings Threadings'!$B$3:$L$245,10,0),IF(_xlpm.x=0,"",_xlpm.x)),"")</f>
        <v/>
      </c>
      <c r="P179" s="5" t="str">
        <f>IFERROR(_xlfn.LET(_xlpm.x,VLOOKUP($A179,'[1]Markings Threadings'!$B$3:$L$245,11,0),IF(_xlpm.x=0,"",_xlpm.x)),"")</f>
        <v/>
      </c>
      <c r="Q179" s="1" t="str">
        <f>IFERROR(_xlfn.LET(_xlpm.x,VLOOKUP($A179,'[1]Markings Threadings'!$B$3:$L$245,4,0),IF(_xlpm.x=0,"",_xlpm.x)),"")</f>
        <v/>
      </c>
      <c r="R179" s="1" t="str">
        <f>IFERROR(_xlfn.LET(_xlpm.x,VLOOKUP($A179,'[1]Markings Threadings'!$B$3:$L$245,5,0),IF(_xlpm.x=0,"",_xlpm.x)),"")</f>
        <v/>
      </c>
      <c r="S179" s="1">
        <f>IFERROR(_xlfn.LET(_xlpm.x,VLOOKUP($A179,'[1]Markings Threadings'!$B$3:$L$245,6,0),IF(_xlpm.x=0,"",_xlpm.x)),"")</f>
        <v>12</v>
      </c>
      <c r="T179" s="6" t="str">
        <f>IFERROR(_xlfn.LET(_xlpm.x,VLOOKUP($C179,[1]Summary!$A$2:$J$118,4,0),IF(_xlpm.x=0,"",_xlpm.x)),"")</f>
        <v/>
      </c>
      <c r="U179" s="6" t="str">
        <f>IFERROR(_xlfn.LET(_xlpm.x,VLOOKUP($C179,[1]Summary!$A$2:$J$118,5,0),IF(_xlpm.x=0,"",_xlpm.x)),"")</f>
        <v/>
      </c>
      <c r="V179" s="6" t="str">
        <f>IFERROR(_xlfn.LET(_xlpm.x,VLOOKUP($C179,[1]Summary!$A$2:$J$118,6,0),IF(_xlpm.x=0,"",_xlpm.x)),"")</f>
        <v/>
      </c>
      <c r="W179" s="6" t="str">
        <f>IFERROR(_xlfn.LET(_xlpm.x,VLOOKUP($C179,[1]Summary!$A$2:$J$118,7,0),IF(_xlpm.x=0,"",_xlpm.x)),"")</f>
        <v/>
      </c>
      <c r="X179" s="6" t="str">
        <f>IFERROR(_xlfn.LET(_xlpm.x,VLOOKUP($C179,[1]Summary!$A$2:$J$118,8,0),IF(_xlpm.x=0,"",_xlpm.x)),"")</f>
        <v/>
      </c>
      <c r="Y179" s="6" t="str">
        <f>IFERROR(_xlfn.LET(_xlpm.x,VLOOKUP($C179,[1]Summary!$A$2:$J$118,9,0),IF(_xlpm.x=0,"",_xlpm.x)),"")</f>
        <v/>
      </c>
      <c r="Z179" s="6" t="str">
        <f>IFERROR(_xlfn.LET(_xlpm.x,VLOOKUP($C179,[1]Summary!$A$2:$J$118,10,0),IF(_xlpm.x=0,"",_xlpm.x)),"")</f>
        <v/>
      </c>
    </row>
    <row r="180" spans="1:26" x14ac:dyDescent="0.25">
      <c r="A180" s="2">
        <v>1000000000984</v>
      </c>
      <c r="B180" s="5" t="s">
        <v>351</v>
      </c>
      <c r="C180" s="2">
        <v>3000000000264</v>
      </c>
      <c r="D180" s="5" t="s">
        <v>352</v>
      </c>
      <c r="E180" s="1">
        <v>4</v>
      </c>
      <c r="F180" s="1" t="s">
        <v>54</v>
      </c>
      <c r="G180" s="1">
        <v>4</v>
      </c>
      <c r="H180" s="1">
        <v>2</v>
      </c>
      <c r="I180" s="1">
        <v>2</v>
      </c>
      <c r="J180" s="1"/>
      <c r="K180" s="1">
        <v>50</v>
      </c>
      <c r="L180" s="1" t="str">
        <f>IFERROR(_xlfn.LET(_xlpm.x,VLOOKUP($A180,'[1]Markings Threadings'!$B$3:$L$245,3,0),IF(_xlpm.x=0,"",_xlpm.x)),"")</f>
        <v>Green</v>
      </c>
      <c r="M180" s="2">
        <f>IFERROR(_xlfn.LET(_xlpm.x,VLOOKUP($A180,'[1]Markings Threadings'!$B$3:$L$245,7,0),IF(_xlpm.x=0,"",_xlpm.x)),"")</f>
        <v>5000000000983</v>
      </c>
      <c r="N180" s="5" t="str">
        <f>IFERROR(_xlfn.LET(_xlpm.x,VLOOKUP($A180,'[1]Markings Threadings'!$B$3:$L$245,8,0),IF(_xlpm.x=0,"",_xlpm.x)),"")</f>
        <v>v2 - Poultry Solutions Breeder Layer 2, 50kg</v>
      </c>
      <c r="O180" s="2">
        <f>IFERROR(_xlfn.LET(_xlpm.x,VLOOKUP($A180,'[1]Markings Threadings'!$B$3:$L$245,10,0),IF(_xlpm.x=0,"",_xlpm.x)),"")</f>
        <v>5000000000117</v>
      </c>
      <c r="P180" s="5" t="str">
        <f>IFERROR(_xlfn.LET(_xlpm.x,VLOOKUP($A180,'[1]Markings Threadings'!$B$3:$L$245,11,0),IF(_xlpm.x=0,"",_xlpm.x)),"")</f>
        <v>Tag Poultry Solutions Chicken Layer 2</v>
      </c>
      <c r="Q180" s="1" t="str">
        <f>IFERROR(_xlfn.LET(_xlpm.x,VLOOKUP($A180,'[1]Markings Threadings'!$B$3:$L$245,4,0),IF(_xlpm.x=0,"",_xlpm.x)),"")</f>
        <v>984 - L 2</v>
      </c>
      <c r="R180" s="1" t="str">
        <f>IFERROR(_xlfn.LET(_xlpm.x,VLOOKUP($A180,'[1]Markings Threadings'!$B$3:$L$245,5,0),IF(_xlpm.x=0,"",_xlpm.x)),"")</f>
        <v/>
      </c>
      <c r="S180" s="1">
        <f>IFERROR(_xlfn.LET(_xlpm.x,VLOOKUP($A180,'[1]Markings Threadings'!$B$3:$L$245,6,0),IF(_xlpm.x=0,"",_xlpm.x)),"")</f>
        <v>6</v>
      </c>
      <c r="T180" s="6" t="str">
        <f>IFERROR(_xlfn.LET(_xlpm.x,VLOOKUP($C180,[1]Summary!$A$2:$J$118,4,0),IF(_xlpm.x=0,"",_xlpm.x)),"")</f>
        <v/>
      </c>
      <c r="U180" s="6" t="str">
        <f>IFERROR(_xlfn.LET(_xlpm.x,VLOOKUP($C180,[1]Summary!$A$2:$J$118,5,0),IF(_xlpm.x=0,"",_xlpm.x)),"")</f>
        <v/>
      </c>
      <c r="V180" s="6">
        <f>IFERROR(_xlfn.LET(_xlpm.x,VLOOKUP($C180,[1]Summary!$A$2:$J$118,6,0),IF(_xlpm.x=0,"",_xlpm.x)),"")</f>
        <v>7.3841427692307713</v>
      </c>
      <c r="W180" s="6">
        <f>IFERROR(_xlfn.LET(_xlpm.x,VLOOKUP($C180,[1]Summary!$A$2:$J$118,7,0),IF(_xlpm.x=0,"",_xlpm.x)),"")</f>
        <v>7.9994880000000048</v>
      </c>
      <c r="X180" s="6" t="str">
        <f>IFERROR(_xlfn.LET(_xlpm.x,VLOOKUP($C180,[1]Summary!$A$2:$J$118,8,0),IF(_xlpm.x=0,"",_xlpm.x)),"")</f>
        <v/>
      </c>
      <c r="Y180" s="6" t="str">
        <f>IFERROR(_xlfn.LET(_xlpm.x,VLOOKUP($C180,[1]Summary!$A$2:$J$118,9,0),IF(_xlpm.x=0,"",_xlpm.x)),"")</f>
        <v/>
      </c>
      <c r="Z180" s="6" t="str">
        <f>IFERROR(_xlfn.LET(_xlpm.x,VLOOKUP($C180,[1]Summary!$A$2:$J$118,10,0),IF(_xlpm.x=0,"",_xlpm.x)),"")</f>
        <v/>
      </c>
    </row>
    <row r="181" spans="1:26" x14ac:dyDescent="0.25">
      <c r="A181" s="2">
        <v>1000000001722</v>
      </c>
      <c r="B181" s="5" t="s">
        <v>353</v>
      </c>
      <c r="C181" s="2">
        <v>3000000001300</v>
      </c>
      <c r="D181" s="5" t="s">
        <v>354</v>
      </c>
      <c r="E181" s="1">
        <v>3</v>
      </c>
      <c r="F181" s="1" t="s">
        <v>37</v>
      </c>
      <c r="G181" s="1">
        <v>4</v>
      </c>
      <c r="H181" s="1">
        <v>2</v>
      </c>
      <c r="I181" s="1">
        <v>2</v>
      </c>
      <c r="J181" s="1"/>
      <c r="K181" s="1">
        <v>50</v>
      </c>
      <c r="L181" s="1" t="str">
        <f>IFERROR(_xlfn.LET(_xlpm.x,VLOOKUP($A181,'[1]Markings Threadings'!$B$3:$L$245,3,0),IF(_xlpm.x=0,"",_xlpm.x)),"")</f>
        <v>Green</v>
      </c>
      <c r="M181" s="2">
        <f>IFERROR(_xlfn.LET(_xlpm.x,VLOOKUP($A181,'[1]Markings Threadings'!$B$3:$L$245,7,0),IF(_xlpm.x=0,"",_xlpm.x)),"")</f>
        <v>5000000000419</v>
      </c>
      <c r="N181" s="5" t="str">
        <f>IFERROR(_xlfn.LET(_xlpm.x,VLOOKUP($A181,'[1]Markings Threadings'!$B$3:$L$245,8,0),IF(_xlpm.x=0,"",_xlpm.x)),"")</f>
        <v>Elite XP Hog Startex 50kg. Mocha PP bag</v>
      </c>
      <c r="O181" s="2">
        <f>IFERROR(_xlfn.LET(_xlpm.x,VLOOKUP($A181,'[1]Markings Threadings'!$B$3:$L$245,10,0),IF(_xlpm.x=0,"",_xlpm.x)),"")</f>
        <v>5000000000477</v>
      </c>
      <c r="P181" s="5" t="str">
        <f>IFERROR(_xlfn.LET(_xlpm.x,VLOOKUP($A181,'[1]Markings Threadings'!$B$3:$L$245,11,0),IF(_xlpm.x=0,"",_xlpm.x)),"")</f>
        <v>Tag- Elite XP Startex Mini-Pellet, Pellet 50 kg</v>
      </c>
      <c r="Q181" s="1" t="str">
        <f>IFERROR(_xlfn.LET(_xlpm.x,VLOOKUP($A181,'[1]Markings Threadings'!$B$3:$L$245,4,0),IF(_xlpm.x=0,"",_xlpm.x)),"")</f>
        <v/>
      </c>
      <c r="R181" s="1" t="str">
        <f>IFERROR(_xlfn.LET(_xlpm.x,VLOOKUP($A181,'[1]Markings Threadings'!$B$3:$L$245,5,0),IF(_xlpm.x=0,"",_xlpm.x)),"")</f>
        <v>1722 XP RFG</v>
      </c>
      <c r="S181" s="1">
        <f>IFERROR(_xlfn.LET(_xlpm.x,VLOOKUP($A181,'[1]Markings Threadings'!$B$3:$L$245,6,0),IF(_xlpm.x=0,"",_xlpm.x)),"")</f>
        <v>3</v>
      </c>
      <c r="T181" s="6">
        <f>IFERROR(_xlfn.LET(_xlpm.x,VLOOKUP($C181,[1]Summary!$A$2:$J$118,4,0),IF(_xlpm.x=0,"",_xlpm.x)),"")</f>
        <v>19.029619030837011</v>
      </c>
      <c r="U181" s="6" t="str">
        <f>IFERROR(_xlfn.LET(_xlpm.x,VLOOKUP($C181,[1]Summary!$A$2:$J$118,5,0),IF(_xlpm.x=0,"",_xlpm.x)),"")</f>
        <v/>
      </c>
      <c r="V181" s="6" t="str">
        <f>IFERROR(_xlfn.LET(_xlpm.x,VLOOKUP($C181,[1]Summary!$A$2:$J$118,6,0),IF(_xlpm.x=0,"",_xlpm.x)),"")</f>
        <v/>
      </c>
      <c r="W181" s="6" t="str">
        <f>IFERROR(_xlfn.LET(_xlpm.x,VLOOKUP($C181,[1]Summary!$A$2:$J$118,7,0),IF(_xlpm.x=0,"",_xlpm.x)),"")</f>
        <v/>
      </c>
      <c r="X181" s="6" t="str">
        <f>IFERROR(_xlfn.LET(_xlpm.x,VLOOKUP($C181,[1]Summary!$A$2:$J$118,8,0),IF(_xlpm.x=0,"",_xlpm.x)),"")</f>
        <v/>
      </c>
      <c r="Y181" s="6" t="str">
        <f>IFERROR(_xlfn.LET(_xlpm.x,VLOOKUP($C181,[1]Summary!$A$2:$J$118,9,0),IF(_xlpm.x=0,"",_xlpm.x)),"")</f>
        <v/>
      </c>
      <c r="Z181" s="6" t="str">
        <f>IFERROR(_xlfn.LET(_xlpm.x,VLOOKUP($C181,[1]Summary!$A$2:$J$118,10,0),IF(_xlpm.x=0,"",_xlpm.x)),"")</f>
        <v/>
      </c>
    </row>
    <row r="182" spans="1:26" x14ac:dyDescent="0.25">
      <c r="A182" s="2">
        <v>1000000001723</v>
      </c>
      <c r="B182" s="5" t="s">
        <v>355</v>
      </c>
      <c r="C182" s="2">
        <v>3000000001302</v>
      </c>
      <c r="D182" s="5" t="s">
        <v>356</v>
      </c>
      <c r="E182" s="1">
        <v>3</v>
      </c>
      <c r="F182" s="1" t="s">
        <v>37</v>
      </c>
      <c r="G182" s="1">
        <v>4</v>
      </c>
      <c r="H182" s="1">
        <v>2</v>
      </c>
      <c r="I182" s="1">
        <v>2</v>
      </c>
      <c r="J182" s="1"/>
      <c r="K182" s="1">
        <v>50</v>
      </c>
      <c r="L182" s="1" t="str">
        <f>IFERROR(_xlfn.LET(_xlpm.x,VLOOKUP($A182,'[1]Markings Threadings'!$B$3:$L$245,3,0),IF(_xlpm.x=0,"",_xlpm.x)),"")</f>
        <v>Red</v>
      </c>
      <c r="M182" s="2">
        <f>IFERROR(_xlfn.LET(_xlpm.x,VLOOKUP($A182,'[1]Markings Threadings'!$B$3:$L$245,7,0),IF(_xlpm.x=0,"",_xlpm.x)),"")</f>
        <v>5000000000419</v>
      </c>
      <c r="N182" s="5" t="str">
        <f>IFERROR(_xlfn.LET(_xlpm.x,VLOOKUP($A182,'[1]Markings Threadings'!$B$3:$L$245,8,0),IF(_xlpm.x=0,"",_xlpm.x)),"")</f>
        <v>Elite XP Hog Startex, 50kg mocha PP bag</v>
      </c>
      <c r="O182" s="2">
        <f>IFERROR(_xlfn.LET(_xlpm.x,VLOOKUP($A182,'[1]Markings Threadings'!$B$3:$L$245,10,0),IF(_xlpm.x=0,"",_xlpm.x)),"")</f>
        <v>5000000000477</v>
      </c>
      <c r="P182" s="5" t="str">
        <f>IFERROR(_xlfn.LET(_xlpm.x,VLOOKUP($A182,'[1]Markings Threadings'!$B$3:$L$245,11,0),IF(_xlpm.x=0,"",_xlpm.x)),"")</f>
        <v>Tag Elite XP Startex Mini-pellet 50kg</v>
      </c>
      <c r="Q182" s="1" t="str">
        <f>IFERROR(_xlfn.LET(_xlpm.x,VLOOKUP($A182,'[1]Markings Threadings'!$B$3:$L$245,4,0),IF(_xlpm.x=0,"",_xlpm.x)),"")</f>
        <v/>
      </c>
      <c r="R182" s="1" t="str">
        <f>IFERROR(_xlfn.LET(_xlpm.x,VLOOKUP($A182,'[1]Markings Threadings'!$B$3:$L$245,5,0),IF(_xlpm.x=0,"",_xlpm.x)),"")</f>
        <v/>
      </c>
      <c r="S182" s="1">
        <f>IFERROR(_xlfn.LET(_xlpm.x,VLOOKUP($A182,'[1]Markings Threadings'!$B$3:$L$245,6,0),IF(_xlpm.x=0,"",_xlpm.x)),"")</f>
        <v>3</v>
      </c>
      <c r="T182" s="6">
        <f>IFERROR(_xlfn.LET(_xlpm.x,VLOOKUP($C182,[1]Summary!$A$2:$J$118,4,0),IF(_xlpm.x=0,"",_xlpm.x)),"")</f>
        <v>19.427632986389106</v>
      </c>
      <c r="U182" s="6">
        <f>IFERROR(_xlfn.LET(_xlpm.x,VLOOKUP($C182,[1]Summary!$A$2:$J$118,5,0),IF(_xlpm.x=0,"",_xlpm.x)),"")</f>
        <v>20.500482510023637</v>
      </c>
      <c r="V182" s="6" t="str">
        <f>IFERROR(_xlfn.LET(_xlpm.x,VLOOKUP($C182,[1]Summary!$A$2:$J$118,6,0),IF(_xlpm.x=0,"",_xlpm.x)),"")</f>
        <v/>
      </c>
      <c r="W182" s="6" t="str">
        <f>IFERROR(_xlfn.LET(_xlpm.x,VLOOKUP($C182,[1]Summary!$A$2:$J$118,7,0),IF(_xlpm.x=0,"",_xlpm.x)),"")</f>
        <v/>
      </c>
      <c r="X182" s="6" t="str">
        <f>IFERROR(_xlfn.LET(_xlpm.x,VLOOKUP($C182,[1]Summary!$A$2:$J$118,8,0),IF(_xlpm.x=0,"",_xlpm.x)),"")</f>
        <v/>
      </c>
      <c r="Y182" s="6" t="str">
        <f>IFERROR(_xlfn.LET(_xlpm.x,VLOOKUP($C182,[1]Summary!$A$2:$J$118,9,0),IF(_xlpm.x=0,"",_xlpm.x)),"")</f>
        <v/>
      </c>
      <c r="Z182" s="6">
        <f>IFERROR(_xlfn.LET(_xlpm.x,VLOOKUP($C182,[1]Summary!$A$2:$J$118,10,0),IF(_xlpm.x=0,"",_xlpm.x)),"")</f>
        <v>7.0239406829268267</v>
      </c>
    </row>
    <row r="183" spans="1:26" x14ac:dyDescent="0.25">
      <c r="A183" s="2">
        <v>1000000001404</v>
      </c>
      <c r="B183" s="5" t="s">
        <v>357</v>
      </c>
      <c r="C183" s="2">
        <v>3000000001118</v>
      </c>
      <c r="D183" s="5" t="s">
        <v>358</v>
      </c>
      <c r="E183" s="1"/>
      <c r="F183" s="1" t="s">
        <v>44</v>
      </c>
      <c r="G183" s="1">
        <v>4</v>
      </c>
      <c r="H183" s="1">
        <v>2</v>
      </c>
      <c r="I183" s="1">
        <v>2</v>
      </c>
      <c r="J183" s="1"/>
      <c r="K183" s="1">
        <v>50</v>
      </c>
      <c r="L183" s="1" t="str">
        <f>IFERROR(_xlfn.LET(_xlpm.x,VLOOKUP($A183,'[1]Markings Threadings'!$B$3:$L$245,3,0),IF(_xlpm.x=0,"",_xlpm.x)),"")</f>
        <v>White Orange</v>
      </c>
      <c r="M183" s="2">
        <f>IFERROR(_xlfn.LET(_xlpm.x,VLOOKUP($A183,'[1]Markings Threadings'!$B$3:$L$245,7,0),IF(_xlpm.x=0,"",_xlpm.x)),"")</f>
        <v>5000000000053</v>
      </c>
      <c r="N183" s="5" t="str">
        <f>IFERROR(_xlfn.LET(_xlpm.x,VLOOKUP($A183,'[1]Markings Threadings'!$B$3:$L$245,8,0),IF(_xlpm.x=0,"",_xlpm.x)),"")</f>
        <v>Empty Sack - Pork Solutions Breeder Hog Lactation, 50 kg</v>
      </c>
      <c r="O183" s="2">
        <f>IFERROR(_xlfn.LET(_xlpm.x,VLOOKUP($A183,'[1]Markings Threadings'!$B$3:$L$245,10,0),IF(_xlpm.x=0,"",_xlpm.x)),"")</f>
        <v>5000000000112</v>
      </c>
      <c r="P183" s="5" t="str">
        <f>IFERROR(_xlfn.LET(_xlpm.x,VLOOKUP($A183,'[1]Markings Threadings'!$B$3:$L$245,11,0),IF(_xlpm.x=0,"",_xlpm.x)),"")</f>
        <v>Tag - Pork Solutions Breeder Hog Lactation Mash</v>
      </c>
      <c r="Q183" s="1">
        <f>IFERROR(_xlfn.LET(_xlpm.x,VLOOKUP($A183,'[1]Markings Threadings'!$B$3:$L$245,4,0),IF(_xlpm.x=0,"",_xlpm.x)),"")</f>
        <v>1404</v>
      </c>
      <c r="R183" s="1" t="str">
        <f>IFERROR(_xlfn.LET(_xlpm.x,VLOOKUP($A183,'[1]Markings Threadings'!$B$3:$L$245,5,0),IF(_xlpm.x=0,"",_xlpm.x)),"")</f>
        <v/>
      </c>
      <c r="S183" s="1">
        <f>IFERROR(_xlfn.LET(_xlpm.x,VLOOKUP($A183,'[1]Markings Threadings'!$B$3:$L$245,6,0),IF(_xlpm.x=0,"",_xlpm.x)),"")</f>
        <v>4</v>
      </c>
      <c r="T183" s="6" t="str">
        <f>IFERROR(_xlfn.LET(_xlpm.x,VLOOKUP($C183,[1]Summary!$A$2:$J$118,4,0),IF(_xlpm.x=0,"",_xlpm.x)),"")</f>
        <v/>
      </c>
      <c r="U183" s="6" t="str">
        <f>IFERROR(_xlfn.LET(_xlpm.x,VLOOKUP($C183,[1]Summary!$A$2:$J$118,5,0),IF(_xlpm.x=0,"",_xlpm.x)),"")</f>
        <v/>
      </c>
      <c r="V183" s="6" t="str">
        <f>IFERROR(_xlfn.LET(_xlpm.x,VLOOKUP($C183,[1]Summary!$A$2:$J$118,6,0),IF(_xlpm.x=0,"",_xlpm.x)),"")</f>
        <v/>
      </c>
      <c r="W183" s="6" t="str">
        <f>IFERROR(_xlfn.LET(_xlpm.x,VLOOKUP($C183,[1]Summary!$A$2:$J$118,7,0),IF(_xlpm.x=0,"",_xlpm.x)),"")</f>
        <v/>
      </c>
      <c r="X183" s="6" t="str">
        <f>IFERROR(_xlfn.LET(_xlpm.x,VLOOKUP($C183,[1]Summary!$A$2:$J$118,8,0),IF(_xlpm.x=0,"",_xlpm.x)),"")</f>
        <v/>
      </c>
      <c r="Y183" s="6" t="str">
        <f>IFERROR(_xlfn.LET(_xlpm.x,VLOOKUP($C183,[1]Summary!$A$2:$J$118,9,0),IF(_xlpm.x=0,"",_xlpm.x)),"")</f>
        <v/>
      </c>
      <c r="Z183" s="6" t="str">
        <f>IFERROR(_xlfn.LET(_xlpm.x,VLOOKUP($C183,[1]Summary!$A$2:$J$118,10,0),IF(_xlpm.x=0,"",_xlpm.x)),"")</f>
        <v/>
      </c>
    </row>
    <row r="184" spans="1:26" x14ac:dyDescent="0.25">
      <c r="A184" s="2">
        <v>1000000001716</v>
      </c>
      <c r="B184" s="5" t="s">
        <v>359</v>
      </c>
      <c r="C184" s="2">
        <v>3000000001304</v>
      </c>
      <c r="D184" s="5" t="s">
        <v>360</v>
      </c>
      <c r="E184" s="1">
        <v>4</v>
      </c>
      <c r="F184" s="1" t="s">
        <v>28</v>
      </c>
      <c r="G184" s="1">
        <v>4</v>
      </c>
      <c r="H184" s="1">
        <v>2</v>
      </c>
      <c r="I184" s="1">
        <v>2</v>
      </c>
      <c r="J184" s="1"/>
      <c r="K184" s="1">
        <v>50</v>
      </c>
      <c r="L184" s="1" t="str">
        <f>IFERROR(_xlfn.LET(_xlpm.x,VLOOKUP($A184,'[1]Markings Threadings'!$B$3:$L$245,3,0),IF(_xlpm.x=0,"",_xlpm.x)),"")</f>
        <v>Green</v>
      </c>
      <c r="M184" s="2" t="str">
        <f>IFERROR(_xlfn.LET(_xlpm.x,VLOOKUP($A184,'[1]Markings Threadings'!$B$3:$L$245,7,0),IF(_xlpm.x=0,"",_xlpm.x)),"")</f>
        <v/>
      </c>
      <c r="N184" s="5" t="str">
        <f>IFERROR(_xlfn.LET(_xlpm.x,VLOOKUP($A184,'[1]Markings Threadings'!$B$3:$L$245,8,0),IF(_xlpm.x=0,"",_xlpm.x)),"")</f>
        <v/>
      </c>
      <c r="O184" s="2">
        <f>IFERROR(_xlfn.LET(_xlpm.x,VLOOKUP($A184,'[1]Markings Threadings'!$B$3:$L$245,10,0),IF(_xlpm.x=0,"",_xlpm.x)),"")</f>
        <v>5000000000476</v>
      </c>
      <c r="P184" s="5" t="str">
        <f>IFERROR(_xlfn.LET(_xlpm.x,VLOOKUP($A184,'[1]Markings Threadings'!$B$3:$L$245,11,0),IF(_xlpm.x=0,"",_xlpm.x)),"")</f>
        <v>Tag- Elite XP Growex 1, Pellet 50 kg</v>
      </c>
      <c r="Q184" s="1" t="str">
        <f>IFERROR(_xlfn.LET(_xlpm.x,VLOOKUP($A184,'[1]Markings Threadings'!$B$3:$L$245,4,0),IF(_xlpm.x=0,"",_xlpm.x)),"")</f>
        <v>will comment marking</v>
      </c>
      <c r="R184" s="1" t="str">
        <f>IFERROR(_xlfn.LET(_xlpm.x,VLOOKUP($A184,'[1]Markings Threadings'!$B$3:$L$245,5,0),IF(_xlpm.x=0,"",_xlpm.x)),"")</f>
        <v>GRO T2</v>
      </c>
      <c r="S184" s="1" t="str">
        <f>IFERROR(_xlfn.LET(_xlpm.x,VLOOKUP($A184,'[1]Markings Threadings'!$B$3:$L$245,6,0),IF(_xlpm.x=0,"",_xlpm.x)),"")</f>
        <v/>
      </c>
      <c r="T184" s="6" t="str">
        <f>IFERROR(_xlfn.LET(_xlpm.x,VLOOKUP($C184,[1]Summary!$A$2:$J$118,4,0),IF(_xlpm.x=0,"",_xlpm.x)),"")</f>
        <v/>
      </c>
      <c r="U184" s="6">
        <f>IFERROR(_xlfn.LET(_xlpm.x,VLOOKUP($C184,[1]Summary!$A$2:$J$118,5,0),IF(_xlpm.x=0,"",_xlpm.x)),"")</f>
        <v>20.078396175298717</v>
      </c>
      <c r="V184" s="6" t="str">
        <f>IFERROR(_xlfn.LET(_xlpm.x,VLOOKUP($C184,[1]Summary!$A$2:$J$118,6,0),IF(_xlpm.x=0,"",_xlpm.x)),"")</f>
        <v/>
      </c>
      <c r="W184" s="6" t="str">
        <f>IFERROR(_xlfn.LET(_xlpm.x,VLOOKUP($C184,[1]Summary!$A$2:$J$118,7,0),IF(_xlpm.x=0,"",_xlpm.x)),"")</f>
        <v/>
      </c>
      <c r="X184" s="6" t="str">
        <f>IFERROR(_xlfn.LET(_xlpm.x,VLOOKUP($C184,[1]Summary!$A$2:$J$118,8,0),IF(_xlpm.x=0,"",_xlpm.x)),"")</f>
        <v/>
      </c>
      <c r="Y184" s="6" t="str">
        <f>IFERROR(_xlfn.LET(_xlpm.x,VLOOKUP($C184,[1]Summary!$A$2:$J$118,9,0),IF(_xlpm.x=0,"",_xlpm.x)),"")</f>
        <v/>
      </c>
      <c r="Z184" s="6" t="str">
        <f>IFERROR(_xlfn.LET(_xlpm.x,VLOOKUP($C184,[1]Summary!$A$2:$J$118,10,0),IF(_xlpm.x=0,"",_xlpm.x)),"")</f>
        <v/>
      </c>
    </row>
    <row r="185" spans="1:26" x14ac:dyDescent="0.25">
      <c r="A185" s="2">
        <v>1000000001715</v>
      </c>
      <c r="B185" s="5" t="s">
        <v>361</v>
      </c>
      <c r="C185" s="2">
        <v>3000000001306</v>
      </c>
      <c r="D185" s="5" t="s">
        <v>362</v>
      </c>
      <c r="E185" s="1">
        <v>4</v>
      </c>
      <c r="F185" s="1" t="s">
        <v>28</v>
      </c>
      <c r="G185" s="1">
        <v>4</v>
      </c>
      <c r="H185" s="1">
        <v>2</v>
      </c>
      <c r="I185" s="1">
        <v>2</v>
      </c>
      <c r="J185" s="1"/>
      <c r="K185" s="1">
        <v>50</v>
      </c>
      <c r="L185" s="1" t="str">
        <f>IFERROR(_xlfn.LET(_xlpm.x,VLOOKUP($A185,'[1]Markings Threadings'!$B$3:$L$245,3,0),IF(_xlpm.x=0,"",_xlpm.x)),"")</f>
        <v>Green</v>
      </c>
      <c r="M185" s="2" t="str">
        <f>IFERROR(_xlfn.LET(_xlpm.x,VLOOKUP($A185,'[1]Markings Threadings'!$B$3:$L$245,7,0),IF(_xlpm.x=0,"",_xlpm.x)),"")</f>
        <v/>
      </c>
      <c r="N185" s="5" t="str">
        <f>IFERROR(_xlfn.LET(_xlpm.x,VLOOKUP($A185,'[1]Markings Threadings'!$B$3:$L$245,8,0),IF(_xlpm.x=0,"",_xlpm.x)),"")</f>
        <v/>
      </c>
      <c r="O185" s="2">
        <f>IFERROR(_xlfn.LET(_xlpm.x,VLOOKUP($A185,'[1]Markings Threadings'!$B$3:$L$245,10,0),IF(_xlpm.x=0,"",_xlpm.x)),"")</f>
        <v>5000000000475</v>
      </c>
      <c r="P185" s="5" t="str">
        <f>IFERROR(_xlfn.LET(_xlpm.x,VLOOKUP($A185,'[1]Markings Threadings'!$B$3:$L$245,11,0),IF(_xlpm.x=0,"",_xlpm.x)),"")</f>
        <v>Tag- Elite XP Growex 2, Pellet 50 kg</v>
      </c>
      <c r="Q185" s="1" t="str">
        <f>IFERROR(_xlfn.LET(_xlpm.x,VLOOKUP($A185,'[1]Markings Threadings'!$B$3:$L$245,4,0),IF(_xlpm.x=0,"",_xlpm.x)),"")</f>
        <v>will comment marking</v>
      </c>
      <c r="R185" s="1" t="str">
        <f>IFERROR(_xlfn.LET(_xlpm.x,VLOOKUP($A185,'[1]Markings Threadings'!$B$3:$L$245,5,0),IF(_xlpm.x=0,"",_xlpm.x)),"")</f>
        <v>XP G2 T2</v>
      </c>
      <c r="S185" s="1" t="str">
        <f>IFERROR(_xlfn.LET(_xlpm.x,VLOOKUP($A185,'[1]Markings Threadings'!$B$3:$L$245,6,0),IF(_xlpm.x=0,"",_xlpm.x)),"")</f>
        <v/>
      </c>
      <c r="T185" s="6" t="str">
        <f>IFERROR(_xlfn.LET(_xlpm.x,VLOOKUP($C185,[1]Summary!$A$2:$J$118,4,0),IF(_xlpm.x=0,"",_xlpm.x)),"")</f>
        <v/>
      </c>
      <c r="U185" s="6">
        <f>IFERROR(_xlfn.LET(_xlpm.x,VLOOKUP($C185,[1]Summary!$A$2:$J$118,5,0),IF(_xlpm.x=0,"",_xlpm.x)),"")</f>
        <v>20.180696143888238</v>
      </c>
      <c r="V185" s="6" t="str">
        <f>IFERROR(_xlfn.LET(_xlpm.x,VLOOKUP($C185,[1]Summary!$A$2:$J$118,6,0),IF(_xlpm.x=0,"",_xlpm.x)),"")</f>
        <v/>
      </c>
      <c r="W185" s="6" t="str">
        <f>IFERROR(_xlfn.LET(_xlpm.x,VLOOKUP($C185,[1]Summary!$A$2:$J$118,7,0),IF(_xlpm.x=0,"",_xlpm.x)),"")</f>
        <v/>
      </c>
      <c r="X185" s="6" t="str">
        <f>IFERROR(_xlfn.LET(_xlpm.x,VLOOKUP($C185,[1]Summary!$A$2:$J$118,8,0),IF(_xlpm.x=0,"",_xlpm.x)),"")</f>
        <v/>
      </c>
      <c r="Y185" s="6" t="str">
        <f>IFERROR(_xlfn.LET(_xlpm.x,VLOOKUP($C185,[1]Summary!$A$2:$J$118,9,0),IF(_xlpm.x=0,"",_xlpm.x)),"")</f>
        <v/>
      </c>
      <c r="Z185" s="6" t="str">
        <f>IFERROR(_xlfn.LET(_xlpm.x,VLOOKUP($C185,[1]Summary!$A$2:$J$118,10,0),IF(_xlpm.x=0,"",_xlpm.x)),"")</f>
        <v/>
      </c>
    </row>
    <row r="186" spans="1:26" x14ac:dyDescent="0.25">
      <c r="A186" s="2">
        <v>1000000001714</v>
      </c>
      <c r="B186" s="5" t="s">
        <v>363</v>
      </c>
      <c r="C186" s="2">
        <v>3000000001308</v>
      </c>
      <c r="D186" s="5" t="s">
        <v>364</v>
      </c>
      <c r="E186" s="1">
        <v>4</v>
      </c>
      <c r="F186" s="1" t="s">
        <v>28</v>
      </c>
      <c r="G186" s="1">
        <v>4</v>
      </c>
      <c r="H186" s="1">
        <v>2</v>
      </c>
      <c r="I186" s="1">
        <v>2</v>
      </c>
      <c r="J186" s="1"/>
      <c r="K186" s="1">
        <v>50</v>
      </c>
      <c r="L186" s="1" t="str">
        <f>IFERROR(_xlfn.LET(_xlpm.x,VLOOKUP($A186,'[1]Markings Threadings'!$B$3:$L$245,3,0),IF(_xlpm.x=0,"",_xlpm.x)),"")</f>
        <v>Green</v>
      </c>
      <c r="M186" s="2" t="str">
        <f>IFERROR(_xlfn.LET(_xlpm.x,VLOOKUP($A186,'[1]Markings Threadings'!$B$3:$L$245,7,0),IF(_xlpm.x=0,"",_xlpm.x)),"")</f>
        <v/>
      </c>
      <c r="N186" s="5" t="str">
        <f>IFERROR(_xlfn.LET(_xlpm.x,VLOOKUP($A186,'[1]Markings Threadings'!$B$3:$L$245,8,0),IF(_xlpm.x=0,"",_xlpm.x)),"")</f>
        <v/>
      </c>
      <c r="O186" s="2" t="str">
        <f>IFERROR(_xlfn.LET(_xlpm.x,VLOOKUP($A186,'[1]Markings Threadings'!$B$3:$L$245,10,0),IF(_xlpm.x=0,"",_xlpm.x)),"")</f>
        <v/>
      </c>
      <c r="P186" s="5" t="str">
        <f>IFERROR(_xlfn.LET(_xlpm.x,VLOOKUP($A186,'[1]Markings Threadings'!$B$3:$L$245,11,0),IF(_xlpm.x=0,"",_xlpm.x)),"")</f>
        <v/>
      </c>
      <c r="Q186" s="1" t="str">
        <f>IFERROR(_xlfn.LET(_xlpm.x,VLOOKUP($A186,'[1]Markings Threadings'!$B$3:$L$245,4,0),IF(_xlpm.x=0,"",_xlpm.x)),"")</f>
        <v>Fin T2</v>
      </c>
      <c r="R186" s="1" t="str">
        <f>IFERROR(_xlfn.LET(_xlpm.x,VLOOKUP($A186,'[1]Markings Threadings'!$B$3:$L$245,5,0),IF(_xlpm.x=0,"",_xlpm.x)),"")</f>
        <v/>
      </c>
      <c r="S186" s="1" t="str">
        <f>IFERROR(_xlfn.LET(_xlpm.x,VLOOKUP($A186,'[1]Markings Threadings'!$B$3:$L$245,6,0),IF(_xlpm.x=0,"",_xlpm.x)),"")</f>
        <v/>
      </c>
      <c r="T186" s="6" t="str">
        <f>IFERROR(_xlfn.LET(_xlpm.x,VLOOKUP($C186,[1]Summary!$A$2:$J$118,4,0),IF(_xlpm.x=0,"",_xlpm.x)),"")</f>
        <v/>
      </c>
      <c r="U186" s="6">
        <f>IFERROR(_xlfn.LET(_xlpm.x,VLOOKUP($C186,[1]Summary!$A$2:$J$118,5,0),IF(_xlpm.x=0,"",_xlpm.x)),"")</f>
        <v>20.071514811383182</v>
      </c>
      <c r="V186" s="6" t="str">
        <f>IFERROR(_xlfn.LET(_xlpm.x,VLOOKUP($C186,[1]Summary!$A$2:$J$118,6,0),IF(_xlpm.x=0,"",_xlpm.x)),"")</f>
        <v/>
      </c>
      <c r="W186" s="6" t="str">
        <f>IFERROR(_xlfn.LET(_xlpm.x,VLOOKUP($C186,[1]Summary!$A$2:$J$118,7,0),IF(_xlpm.x=0,"",_xlpm.x)),"")</f>
        <v/>
      </c>
      <c r="X186" s="6" t="str">
        <f>IFERROR(_xlfn.LET(_xlpm.x,VLOOKUP($C186,[1]Summary!$A$2:$J$118,8,0),IF(_xlpm.x=0,"",_xlpm.x)),"")</f>
        <v/>
      </c>
      <c r="Y186" s="6" t="str">
        <f>IFERROR(_xlfn.LET(_xlpm.x,VLOOKUP($C186,[1]Summary!$A$2:$J$118,9,0),IF(_xlpm.x=0,"",_xlpm.x)),"")</f>
        <v/>
      </c>
      <c r="Z186" s="6" t="str">
        <f>IFERROR(_xlfn.LET(_xlpm.x,VLOOKUP($C186,[1]Summary!$A$2:$J$118,10,0),IF(_xlpm.x=0,"",_xlpm.x)),"")</f>
        <v/>
      </c>
    </row>
    <row r="187" spans="1:26" x14ac:dyDescent="0.25">
      <c r="A187" s="2">
        <v>1000000002338</v>
      </c>
      <c r="B187" s="5" t="s">
        <v>365</v>
      </c>
      <c r="C187" s="2">
        <v>3000000001517</v>
      </c>
      <c r="D187" s="5" t="s">
        <v>366</v>
      </c>
      <c r="E187" s="1"/>
      <c r="F187" s="1" t="s">
        <v>44</v>
      </c>
      <c r="G187" s="1">
        <v>4</v>
      </c>
      <c r="H187" s="1">
        <v>2</v>
      </c>
      <c r="I187" s="1">
        <v>2</v>
      </c>
      <c r="J187" s="1"/>
      <c r="K187" s="1">
        <v>50</v>
      </c>
      <c r="L187" s="1" t="str">
        <f>IFERROR(_xlfn.LET(_xlpm.x,VLOOKUP($A187,'[1]Markings Threadings'!$B$3:$L$245,3,0),IF(_xlpm.x=0,"",_xlpm.x)),"")</f>
        <v>Blue Orange</v>
      </c>
      <c r="M187" s="2">
        <f>IFERROR(_xlfn.LET(_xlpm.x,VLOOKUP($A187,'[1]Markings Threadings'!$B$3:$L$245,7,0),IF(_xlpm.x=0,"",_xlpm.x)),"")</f>
        <v>5000000000564</v>
      </c>
      <c r="N187" s="5" t="str">
        <f>IFERROR(_xlfn.LET(_xlpm.x,VLOOKUP($A187,'[1]Markings Threadings'!$B$3:$L$245,8,0),IF(_xlpm.x=0,"",_xlpm.x)),"")</f>
        <v>v2 - Poultry Solutions Layer 1, 50kg</v>
      </c>
      <c r="O187" s="2">
        <f>IFERROR(_xlfn.LET(_xlpm.x,VLOOKUP($A187,'[1]Markings Threadings'!$B$3:$L$245,10,0),IF(_xlpm.x=0,"",_xlpm.x)),"")</f>
        <v>5000000000116</v>
      </c>
      <c r="P187" s="5" t="str">
        <f>IFERROR(_xlfn.LET(_xlpm.x,VLOOKUP($A187,'[1]Markings Threadings'!$B$3:$L$245,11,0),IF(_xlpm.x=0,"",_xlpm.x)),"")</f>
        <v>Tag - Poultry Solutions Chicken Layer 1 Crumble</v>
      </c>
      <c r="Q187" s="1" t="str">
        <f>IFERROR(_xlfn.LET(_xlpm.x,VLOOKUP($A187,'[1]Markings Threadings'!$B$3:$L$245,4,0),IF(_xlpm.x=0,"",_xlpm.x)),"")</f>
        <v>2338 CL 1 M - RCF</v>
      </c>
      <c r="R187" s="1" t="str">
        <f>IFERROR(_xlfn.LET(_xlpm.x,VLOOKUP($A187,'[1]Markings Threadings'!$B$3:$L$245,5,0),IF(_xlpm.x=0,"",_xlpm.x)),"")</f>
        <v/>
      </c>
      <c r="S187" s="1">
        <f>IFERROR(_xlfn.LET(_xlpm.x,VLOOKUP($A187,'[1]Markings Threadings'!$B$3:$L$245,6,0),IF(_xlpm.x=0,"",_xlpm.x)),"")</f>
        <v>8</v>
      </c>
      <c r="T187" s="6" t="str">
        <f>IFERROR(_xlfn.LET(_xlpm.x,VLOOKUP($C187,[1]Summary!$A$2:$J$118,4,0),IF(_xlpm.x=0,"",_xlpm.x)),"")</f>
        <v/>
      </c>
      <c r="U187" s="6" t="str">
        <f>IFERROR(_xlfn.LET(_xlpm.x,VLOOKUP($C187,[1]Summary!$A$2:$J$118,5,0),IF(_xlpm.x=0,"",_xlpm.x)),"")</f>
        <v/>
      </c>
      <c r="V187" s="6" t="str">
        <f>IFERROR(_xlfn.LET(_xlpm.x,VLOOKUP($C187,[1]Summary!$A$2:$J$118,6,0),IF(_xlpm.x=0,"",_xlpm.x)),"")</f>
        <v/>
      </c>
      <c r="W187" s="6" t="str">
        <f>IFERROR(_xlfn.LET(_xlpm.x,VLOOKUP($C187,[1]Summary!$A$2:$J$118,7,0),IF(_xlpm.x=0,"",_xlpm.x)),"")</f>
        <v/>
      </c>
      <c r="X187" s="6" t="str">
        <f>IFERROR(_xlfn.LET(_xlpm.x,VLOOKUP($C187,[1]Summary!$A$2:$J$118,8,0),IF(_xlpm.x=0,"",_xlpm.x)),"")</f>
        <v/>
      </c>
      <c r="Y187" s="6" t="str">
        <f>IFERROR(_xlfn.LET(_xlpm.x,VLOOKUP($C187,[1]Summary!$A$2:$J$118,9,0),IF(_xlpm.x=0,"",_xlpm.x)),"")</f>
        <v/>
      </c>
      <c r="Z187" s="6" t="str">
        <f>IFERROR(_xlfn.LET(_xlpm.x,VLOOKUP($C187,[1]Summary!$A$2:$J$118,10,0),IF(_xlpm.x=0,"",_xlpm.x)),"")</f>
        <v/>
      </c>
    </row>
    <row r="188" spans="1:26" x14ac:dyDescent="0.25">
      <c r="A188" s="2">
        <v>1000000002339</v>
      </c>
      <c r="B188" s="5" t="s">
        <v>367</v>
      </c>
      <c r="C188" s="2">
        <v>3000000001518</v>
      </c>
      <c r="D188" s="5" t="s">
        <v>368</v>
      </c>
      <c r="E188" s="1"/>
      <c r="F188" s="1" t="s">
        <v>44</v>
      </c>
      <c r="G188" s="1">
        <v>4</v>
      </c>
      <c r="H188" s="1">
        <v>2</v>
      </c>
      <c r="I188" s="1">
        <v>2</v>
      </c>
      <c r="J188" s="1"/>
      <c r="K188" s="1">
        <v>50</v>
      </c>
      <c r="L188" s="1" t="str">
        <f>IFERROR(_xlfn.LET(_xlpm.x,VLOOKUP($A188,'[1]Markings Threadings'!$B$3:$L$245,3,0),IF(_xlpm.x=0,"",_xlpm.x)),"")</f>
        <v>Blue Orange</v>
      </c>
      <c r="M188" s="2">
        <f>IFERROR(_xlfn.LET(_xlpm.x,VLOOKUP($A188,'[1]Markings Threadings'!$B$3:$L$245,7,0),IF(_xlpm.x=0,"",_xlpm.x)),"")</f>
        <v>5000000000565</v>
      </c>
      <c r="N188" s="5" t="str">
        <f>IFERROR(_xlfn.LET(_xlpm.x,VLOOKUP($A188,'[1]Markings Threadings'!$B$3:$L$245,8,0),IF(_xlpm.x=0,"",_xlpm.x)),"")</f>
        <v>v2 - Poultry Solutions Layer 2 50kg.</v>
      </c>
      <c r="O188" s="2">
        <f>IFERROR(_xlfn.LET(_xlpm.x,VLOOKUP($A188,'[1]Markings Threadings'!$B$3:$L$245,10,0),IF(_xlpm.x=0,"",_xlpm.x)),"")</f>
        <v>5000000000117</v>
      </c>
      <c r="P188" s="5" t="str">
        <f>IFERROR(_xlfn.LET(_xlpm.x,VLOOKUP($A188,'[1]Markings Threadings'!$B$3:$L$245,11,0),IF(_xlpm.x=0,"",_xlpm.x)),"")</f>
        <v>Tag Poultry Solution Chicken Layer II (C)</v>
      </c>
      <c r="Q188" s="1" t="str">
        <f>IFERROR(_xlfn.LET(_xlpm.x,VLOOKUP($A188,'[1]Markings Threadings'!$B$3:$L$245,4,0),IF(_xlpm.x=0,"",_xlpm.x)),"")</f>
        <v>2339 CL 2 M - RCF</v>
      </c>
      <c r="R188" s="1" t="str">
        <f>IFERROR(_xlfn.LET(_xlpm.x,VLOOKUP($A188,'[1]Markings Threadings'!$B$3:$L$245,5,0),IF(_xlpm.x=0,"",_xlpm.x)),"")</f>
        <v/>
      </c>
      <c r="S188" s="1">
        <f>IFERROR(_xlfn.LET(_xlpm.x,VLOOKUP($A188,'[1]Markings Threadings'!$B$3:$L$245,6,0),IF(_xlpm.x=0,"",_xlpm.x)),"")</f>
        <v>7</v>
      </c>
      <c r="T188" s="6" t="str">
        <f>IFERROR(_xlfn.LET(_xlpm.x,VLOOKUP($C188,[1]Summary!$A$2:$J$118,4,0),IF(_xlpm.x=0,"",_xlpm.x)),"")</f>
        <v/>
      </c>
      <c r="U188" s="6" t="str">
        <f>IFERROR(_xlfn.LET(_xlpm.x,VLOOKUP($C188,[1]Summary!$A$2:$J$118,5,0),IF(_xlpm.x=0,"",_xlpm.x)),"")</f>
        <v/>
      </c>
      <c r="V188" s="6" t="str">
        <f>IFERROR(_xlfn.LET(_xlpm.x,VLOOKUP($C188,[1]Summary!$A$2:$J$118,6,0),IF(_xlpm.x=0,"",_xlpm.x)),"")</f>
        <v/>
      </c>
      <c r="W188" s="6" t="str">
        <f>IFERROR(_xlfn.LET(_xlpm.x,VLOOKUP($C188,[1]Summary!$A$2:$J$118,7,0),IF(_xlpm.x=0,"",_xlpm.x)),"")</f>
        <v/>
      </c>
      <c r="X188" s="6" t="str">
        <f>IFERROR(_xlfn.LET(_xlpm.x,VLOOKUP($C188,[1]Summary!$A$2:$J$118,8,0),IF(_xlpm.x=0,"",_xlpm.x)),"")</f>
        <v/>
      </c>
      <c r="Y188" s="6" t="str">
        <f>IFERROR(_xlfn.LET(_xlpm.x,VLOOKUP($C188,[1]Summary!$A$2:$J$118,9,0),IF(_xlpm.x=0,"",_xlpm.x)),"")</f>
        <v/>
      </c>
      <c r="Z188" s="6" t="str">
        <f>IFERROR(_xlfn.LET(_xlpm.x,VLOOKUP($C188,[1]Summary!$A$2:$J$118,10,0),IF(_xlpm.x=0,"",_xlpm.x)),"")</f>
        <v/>
      </c>
    </row>
    <row r="189" spans="1:26" x14ac:dyDescent="0.25">
      <c r="A189" s="2">
        <v>1000000002340</v>
      </c>
      <c r="B189" s="5" t="s">
        <v>369</v>
      </c>
      <c r="C189" s="2">
        <v>3000000001519</v>
      </c>
      <c r="D189" s="5" t="s">
        <v>370</v>
      </c>
      <c r="E189" s="1"/>
      <c r="F189" s="1" t="s">
        <v>44</v>
      </c>
      <c r="G189" s="1">
        <v>4</v>
      </c>
      <c r="H189" s="1">
        <v>2</v>
      </c>
      <c r="I189" s="1">
        <v>2</v>
      </c>
      <c r="J189" s="1"/>
      <c r="K189" s="1">
        <v>50</v>
      </c>
      <c r="L189" s="1" t="str">
        <f>IFERROR(_xlfn.LET(_xlpm.x,VLOOKUP($A189,'[1]Markings Threadings'!$B$3:$L$245,3,0),IF(_xlpm.x=0,"",_xlpm.x)),"")</f>
        <v>Blue Orange</v>
      </c>
      <c r="M189" s="2">
        <f>IFERROR(_xlfn.LET(_xlpm.x,VLOOKUP($A189,'[1]Markings Threadings'!$B$3:$L$245,7,0),IF(_xlpm.x=0,"",_xlpm.x)),"")</f>
        <v>5000000000610</v>
      </c>
      <c r="N189" s="5" t="str">
        <f>IFERROR(_xlfn.LET(_xlpm.x,VLOOKUP($A189,'[1]Markings Threadings'!$B$3:$L$245,8,0),IF(_xlpm.x=0,"",_xlpm.x)),"")</f>
        <v>Plain white PP 26x45</v>
      </c>
      <c r="O189" s="2">
        <f>IFERROR(_xlfn.LET(_xlpm.x,VLOOKUP($A189,'[1]Markings Threadings'!$B$3:$L$245,10,0),IF(_xlpm.x=0,"",_xlpm.x)),"")</f>
        <v>5000000000116</v>
      </c>
      <c r="P189" s="5" t="str">
        <f>IFERROR(_xlfn.LET(_xlpm.x,VLOOKUP($A189,'[1]Markings Threadings'!$B$3:$L$245,11,0),IF(_xlpm.x=0,"",_xlpm.x)),"")</f>
        <v>Tag - Poultry Solutions Chicken Layer 1 Crumble</v>
      </c>
      <c r="Q189" s="1" t="str">
        <f>IFERROR(_xlfn.LET(_xlpm.x,VLOOKUP($A189,'[1]Markings Threadings'!$B$3:$L$245,4,0),IF(_xlpm.x=0,"",_xlpm.x)),"")</f>
        <v>2340 CL 3 M - RCF</v>
      </c>
      <c r="R189" s="1" t="str">
        <f>IFERROR(_xlfn.LET(_xlpm.x,VLOOKUP($A189,'[1]Markings Threadings'!$B$3:$L$245,5,0),IF(_xlpm.x=0,"",_xlpm.x)),"")</f>
        <v/>
      </c>
      <c r="S189" s="1">
        <f>IFERROR(_xlfn.LET(_xlpm.x,VLOOKUP($A189,'[1]Markings Threadings'!$B$3:$L$245,6,0),IF(_xlpm.x=0,"",_xlpm.x)),"")</f>
        <v>4</v>
      </c>
      <c r="T189" s="6" t="str">
        <f>IFERROR(_xlfn.LET(_xlpm.x,VLOOKUP($C189,[1]Summary!$A$2:$J$118,4,0),IF(_xlpm.x=0,"",_xlpm.x)),"")</f>
        <v/>
      </c>
      <c r="U189" s="6" t="str">
        <f>IFERROR(_xlfn.LET(_xlpm.x,VLOOKUP($C189,[1]Summary!$A$2:$J$118,5,0),IF(_xlpm.x=0,"",_xlpm.x)),"")</f>
        <v/>
      </c>
      <c r="V189" s="6" t="str">
        <f>IFERROR(_xlfn.LET(_xlpm.x,VLOOKUP($C189,[1]Summary!$A$2:$J$118,6,0),IF(_xlpm.x=0,"",_xlpm.x)),"")</f>
        <v/>
      </c>
      <c r="W189" s="6" t="str">
        <f>IFERROR(_xlfn.LET(_xlpm.x,VLOOKUP($C189,[1]Summary!$A$2:$J$118,7,0),IF(_xlpm.x=0,"",_xlpm.x)),"")</f>
        <v/>
      </c>
      <c r="X189" s="6" t="str">
        <f>IFERROR(_xlfn.LET(_xlpm.x,VLOOKUP($C189,[1]Summary!$A$2:$J$118,8,0),IF(_xlpm.x=0,"",_xlpm.x)),"")</f>
        <v/>
      </c>
      <c r="Y189" s="6" t="str">
        <f>IFERROR(_xlfn.LET(_xlpm.x,VLOOKUP($C189,[1]Summary!$A$2:$J$118,9,0),IF(_xlpm.x=0,"",_xlpm.x)),"")</f>
        <v/>
      </c>
      <c r="Z189" s="6" t="str">
        <f>IFERROR(_xlfn.LET(_xlpm.x,VLOOKUP($C189,[1]Summary!$A$2:$J$118,10,0),IF(_xlpm.x=0,"",_xlpm.x)),"")</f>
        <v/>
      </c>
    </row>
    <row r="190" spans="1:26" x14ac:dyDescent="0.25">
      <c r="A190" s="2">
        <v>1000000002335</v>
      </c>
      <c r="B190" s="5" t="s">
        <v>371</v>
      </c>
      <c r="C190" s="2">
        <v>3000000001516</v>
      </c>
      <c r="D190" s="5" t="s">
        <v>372</v>
      </c>
      <c r="E190" s="1">
        <v>4</v>
      </c>
      <c r="F190" s="1" t="s">
        <v>47</v>
      </c>
      <c r="G190" s="1">
        <v>4</v>
      </c>
      <c r="H190" s="1">
        <v>2</v>
      </c>
      <c r="I190" s="1">
        <v>2</v>
      </c>
      <c r="J190" s="1"/>
      <c r="K190" s="1">
        <v>50</v>
      </c>
      <c r="L190" s="1" t="str">
        <f>IFERROR(_xlfn.LET(_xlpm.x,VLOOKUP($A190,'[1]Markings Threadings'!$B$3:$L$245,3,0),IF(_xlpm.x=0,"",_xlpm.x)),"")</f>
        <v>Red</v>
      </c>
      <c r="M190" s="2">
        <f>IFERROR(_xlfn.LET(_xlpm.x,VLOOKUP($A190,'[1]Markings Threadings'!$B$3:$L$245,7,0),IF(_xlpm.x=0,"",_xlpm.x)),"")</f>
        <v>5000000000557</v>
      </c>
      <c r="N190" s="5" t="str">
        <f>IFERROR(_xlfn.LET(_xlpm.x,VLOOKUP($A190,'[1]Markings Threadings'!$B$3:$L$245,8,0),IF(_xlpm.x=0,"",_xlpm.x)),"")</f>
        <v>v2 - Poultry Solutions Broiler Booster, 50kg</v>
      </c>
      <c r="O190" s="2">
        <f>IFERROR(_xlfn.LET(_xlpm.x,VLOOKUP($A190,'[1]Markings Threadings'!$B$3:$L$245,10,0),IF(_xlpm.x=0,"",_xlpm.x)),"")</f>
        <v>5000000000154</v>
      </c>
      <c r="P190" s="5" t="str">
        <f>IFERROR(_xlfn.LET(_xlpm.x,VLOOKUP($A190,'[1]Markings Threadings'!$B$3:$L$245,11,0),IF(_xlpm.x=0,"",_xlpm.x)),"")</f>
        <v>Tag - Poultry Solutions Broiler Booster, 50kg</v>
      </c>
      <c r="Q190" s="1" t="str">
        <f>IFERROR(_xlfn.LET(_xlpm.x,VLOOKUP($A190,'[1]Markings Threadings'!$B$3:$L$245,4,0),IF(_xlpm.x=0,"",_xlpm.x)),"")</f>
        <v>2335 ABFI</v>
      </c>
      <c r="R190" s="1" t="str">
        <f>IFERROR(_xlfn.LET(_xlpm.x,VLOOKUP($A190,'[1]Markings Threadings'!$B$3:$L$245,5,0),IF(_xlpm.x=0,"",_xlpm.x)),"")</f>
        <v/>
      </c>
      <c r="S190" s="1">
        <f>IFERROR(_xlfn.LET(_xlpm.x,VLOOKUP($A190,'[1]Markings Threadings'!$B$3:$L$245,6,0),IF(_xlpm.x=0,"",_xlpm.x)),"")</f>
        <v>6</v>
      </c>
      <c r="T190" s="6" t="str">
        <f>IFERROR(_xlfn.LET(_xlpm.x,VLOOKUP($C190,[1]Summary!$A$2:$J$118,4,0),IF(_xlpm.x=0,"",_xlpm.x)),"")</f>
        <v/>
      </c>
      <c r="U190" s="6" t="str">
        <f>IFERROR(_xlfn.LET(_xlpm.x,VLOOKUP($C190,[1]Summary!$A$2:$J$118,5,0),IF(_xlpm.x=0,"",_xlpm.x)),"")</f>
        <v/>
      </c>
      <c r="V190" s="6" t="str">
        <f>IFERROR(_xlfn.LET(_xlpm.x,VLOOKUP($C190,[1]Summary!$A$2:$J$118,6,0),IF(_xlpm.x=0,"",_xlpm.x)),"")</f>
        <v/>
      </c>
      <c r="W190" s="6" t="str">
        <f>IFERROR(_xlfn.LET(_xlpm.x,VLOOKUP($C190,[1]Summary!$A$2:$J$118,7,0),IF(_xlpm.x=0,"",_xlpm.x)),"")</f>
        <v/>
      </c>
      <c r="X190" s="6" t="str">
        <f>IFERROR(_xlfn.LET(_xlpm.x,VLOOKUP($C190,[1]Summary!$A$2:$J$118,8,0),IF(_xlpm.x=0,"",_xlpm.x)),"")</f>
        <v/>
      </c>
      <c r="Y190" s="6" t="str">
        <f>IFERROR(_xlfn.LET(_xlpm.x,VLOOKUP($C190,[1]Summary!$A$2:$J$118,9,0),IF(_xlpm.x=0,"",_xlpm.x)),"")</f>
        <v/>
      </c>
      <c r="Z190" s="6" t="str">
        <f>IFERROR(_xlfn.LET(_xlpm.x,VLOOKUP($C190,[1]Summary!$A$2:$J$118,10,0),IF(_xlpm.x=0,"",_xlpm.x)),"")</f>
        <v/>
      </c>
    </row>
    <row r="191" spans="1:26" x14ac:dyDescent="0.25">
      <c r="A191" s="2">
        <v>1000000002336</v>
      </c>
      <c r="B191" s="5" t="s">
        <v>373</v>
      </c>
      <c r="C191" s="2">
        <v>3000000001515</v>
      </c>
      <c r="D191" s="5" t="s">
        <v>374</v>
      </c>
      <c r="E191" s="1">
        <v>3</v>
      </c>
      <c r="F191" s="1" t="s">
        <v>67</v>
      </c>
      <c r="G191" s="1">
        <v>4</v>
      </c>
      <c r="H191" s="1">
        <v>2</v>
      </c>
      <c r="I191" s="1">
        <v>2</v>
      </c>
      <c r="J191" s="1"/>
      <c r="K191" s="1">
        <v>50</v>
      </c>
      <c r="L191" s="1" t="str">
        <f>IFERROR(_xlfn.LET(_xlpm.x,VLOOKUP($A191,'[1]Markings Threadings'!$B$3:$L$245,3,0),IF(_xlpm.x=0,"",_xlpm.x)),"")</f>
        <v>Red</v>
      </c>
      <c r="M191" s="2">
        <f>IFERROR(_xlfn.LET(_xlpm.x,VLOOKUP($A191,'[1]Markings Threadings'!$B$3:$L$245,7,0),IF(_xlpm.x=0,"",_xlpm.x)),"")</f>
        <v>5000000000558</v>
      </c>
      <c r="N191" s="5" t="str">
        <f>IFERROR(_xlfn.LET(_xlpm.x,VLOOKUP($A191,'[1]Markings Threadings'!$B$3:$L$245,8,0),IF(_xlpm.x=0,"",_xlpm.x)),"")</f>
        <v>v2 - Poultry Solutions Broiler Starter, 50kg</v>
      </c>
      <c r="O191" s="2">
        <f>IFERROR(_xlfn.LET(_xlpm.x,VLOOKUP($A191,'[1]Markings Threadings'!$B$3:$L$245,10,0),IF(_xlpm.x=0,"",_xlpm.x)),"")</f>
        <v>5000000000113</v>
      </c>
      <c r="P191" s="5" t="str">
        <f>IFERROR(_xlfn.LET(_xlpm.x,VLOOKUP($A191,'[1]Markings Threadings'!$B$3:$L$245,11,0),IF(_xlpm.x=0,"",_xlpm.x)),"")</f>
        <v>Tag - Poultry Solutions Broiler Starter Crumble</v>
      </c>
      <c r="Q191" s="1" t="str">
        <f>IFERROR(_xlfn.LET(_xlpm.x,VLOOKUP($A191,'[1]Markings Threadings'!$B$3:$L$245,4,0),IF(_xlpm.x=0,"",_xlpm.x)),"")</f>
        <v>2336 ABFI</v>
      </c>
      <c r="R191" s="1" t="str">
        <f>IFERROR(_xlfn.LET(_xlpm.x,VLOOKUP($A191,'[1]Markings Threadings'!$B$3:$L$245,5,0),IF(_xlpm.x=0,"",_xlpm.x)),"")</f>
        <v/>
      </c>
      <c r="S191" s="1">
        <f>IFERROR(_xlfn.LET(_xlpm.x,VLOOKUP($A191,'[1]Markings Threadings'!$B$3:$L$245,6,0),IF(_xlpm.x=0,"",_xlpm.x)),"")</f>
        <v>7</v>
      </c>
      <c r="T191" s="6" t="str">
        <f>IFERROR(_xlfn.LET(_xlpm.x,VLOOKUP($C191,[1]Summary!$A$2:$J$118,4,0),IF(_xlpm.x=0,"",_xlpm.x)),"")</f>
        <v/>
      </c>
      <c r="U191" s="6" t="str">
        <f>IFERROR(_xlfn.LET(_xlpm.x,VLOOKUP($C191,[1]Summary!$A$2:$J$118,5,0),IF(_xlpm.x=0,"",_xlpm.x)),"")</f>
        <v/>
      </c>
      <c r="V191" s="6" t="str">
        <f>IFERROR(_xlfn.LET(_xlpm.x,VLOOKUP($C191,[1]Summary!$A$2:$J$118,6,0),IF(_xlpm.x=0,"",_xlpm.x)),"")</f>
        <v/>
      </c>
      <c r="W191" s="6" t="str">
        <f>IFERROR(_xlfn.LET(_xlpm.x,VLOOKUP($C191,[1]Summary!$A$2:$J$118,7,0),IF(_xlpm.x=0,"",_xlpm.x)),"")</f>
        <v/>
      </c>
      <c r="X191" s="6" t="str">
        <f>IFERROR(_xlfn.LET(_xlpm.x,VLOOKUP($C191,[1]Summary!$A$2:$J$118,8,0),IF(_xlpm.x=0,"",_xlpm.x)),"")</f>
        <v/>
      </c>
      <c r="Y191" s="6" t="str">
        <f>IFERROR(_xlfn.LET(_xlpm.x,VLOOKUP($C191,[1]Summary!$A$2:$J$118,9,0),IF(_xlpm.x=0,"",_xlpm.x)),"")</f>
        <v/>
      </c>
      <c r="Z191" s="6" t="str">
        <f>IFERROR(_xlfn.LET(_xlpm.x,VLOOKUP($C191,[1]Summary!$A$2:$J$118,10,0),IF(_xlpm.x=0,"",_xlpm.x)),"")</f>
        <v/>
      </c>
    </row>
    <row r="192" spans="1:26" x14ac:dyDescent="0.25">
      <c r="A192" s="2">
        <v>1000000002337</v>
      </c>
      <c r="B192" s="5" t="s">
        <v>375</v>
      </c>
      <c r="C192" s="2">
        <v>3000000001514</v>
      </c>
      <c r="D192" s="5" t="s">
        <v>376</v>
      </c>
      <c r="E192" s="1">
        <v>3</v>
      </c>
      <c r="F192" s="1" t="s">
        <v>86</v>
      </c>
      <c r="G192" s="1">
        <v>4</v>
      </c>
      <c r="H192" s="1">
        <v>2</v>
      </c>
      <c r="I192" s="1">
        <v>2</v>
      </c>
      <c r="J192" s="1"/>
      <c r="K192" s="1">
        <v>50</v>
      </c>
      <c r="L192" s="1" t="str">
        <f>IFERROR(_xlfn.LET(_xlpm.x,VLOOKUP($A192,'[1]Markings Threadings'!$B$3:$L$245,3,0),IF(_xlpm.x=0,"",_xlpm.x)),"")</f>
        <v>Red</v>
      </c>
      <c r="M192" s="2">
        <f>IFERROR(_xlfn.LET(_xlpm.x,VLOOKUP($A192,'[1]Markings Threadings'!$B$3:$L$245,7,0),IF(_xlpm.x=0,"",_xlpm.x)),"")</f>
        <v>5000000000559</v>
      </c>
      <c r="N192" s="5" t="str">
        <f>IFERROR(_xlfn.LET(_xlpm.x,VLOOKUP($A192,'[1]Markings Threadings'!$B$3:$L$245,8,0),IF(_xlpm.x=0,"",_xlpm.x)),"")</f>
        <v>v2 - Poultry Solutions Broiler Finisher, 50kg</v>
      </c>
      <c r="O192" s="2">
        <f>IFERROR(_xlfn.LET(_xlpm.x,VLOOKUP($A192,'[1]Markings Threadings'!$B$3:$L$245,10,0),IF(_xlpm.x=0,"",_xlpm.x)),"")</f>
        <v>5000000000115</v>
      </c>
      <c r="P192" s="5" t="str">
        <f>IFERROR(_xlfn.LET(_xlpm.x,VLOOKUP($A192,'[1]Markings Threadings'!$B$3:$L$245,11,0),IF(_xlpm.x=0,"",_xlpm.x)),"")</f>
        <v>Tag - Poultry Solutions Broiler Finisher Crumble</v>
      </c>
      <c r="Q192" s="1" t="str">
        <f>IFERROR(_xlfn.LET(_xlpm.x,VLOOKUP($A192,'[1]Markings Threadings'!$B$3:$L$245,4,0),IF(_xlpm.x=0,"",_xlpm.x)),"")</f>
        <v>2337 ABFI</v>
      </c>
      <c r="R192" s="1" t="str">
        <f>IFERROR(_xlfn.LET(_xlpm.x,VLOOKUP($A192,'[1]Markings Threadings'!$B$3:$L$245,5,0),IF(_xlpm.x=0,"",_xlpm.x)),"")</f>
        <v/>
      </c>
      <c r="S192" s="1">
        <f>IFERROR(_xlfn.LET(_xlpm.x,VLOOKUP($A192,'[1]Markings Threadings'!$B$3:$L$245,6,0),IF(_xlpm.x=0,"",_xlpm.x)),"")</f>
        <v>7</v>
      </c>
      <c r="T192" s="6" t="str">
        <f>IFERROR(_xlfn.LET(_xlpm.x,VLOOKUP($C192,[1]Summary!$A$2:$J$118,4,0),IF(_xlpm.x=0,"",_xlpm.x)),"")</f>
        <v/>
      </c>
      <c r="U192" s="6" t="str">
        <f>IFERROR(_xlfn.LET(_xlpm.x,VLOOKUP($C192,[1]Summary!$A$2:$J$118,5,0),IF(_xlpm.x=0,"",_xlpm.x)),"")</f>
        <v/>
      </c>
      <c r="V192" s="6" t="str">
        <f>IFERROR(_xlfn.LET(_xlpm.x,VLOOKUP($C192,[1]Summary!$A$2:$J$118,6,0),IF(_xlpm.x=0,"",_xlpm.x)),"")</f>
        <v/>
      </c>
      <c r="W192" s="6" t="str">
        <f>IFERROR(_xlfn.LET(_xlpm.x,VLOOKUP($C192,[1]Summary!$A$2:$J$118,7,0),IF(_xlpm.x=0,"",_xlpm.x)),"")</f>
        <v/>
      </c>
      <c r="X192" s="6" t="str">
        <f>IFERROR(_xlfn.LET(_xlpm.x,VLOOKUP($C192,[1]Summary!$A$2:$J$118,8,0),IF(_xlpm.x=0,"",_xlpm.x)),"")</f>
        <v/>
      </c>
      <c r="Y192" s="6" t="str">
        <f>IFERROR(_xlfn.LET(_xlpm.x,VLOOKUP($C192,[1]Summary!$A$2:$J$118,9,0),IF(_xlpm.x=0,"",_xlpm.x)),"")</f>
        <v/>
      </c>
      <c r="Z192" s="6" t="str">
        <f>IFERROR(_xlfn.LET(_xlpm.x,VLOOKUP($C192,[1]Summary!$A$2:$J$118,10,0),IF(_xlpm.x=0,"",_xlpm.x)),"")</f>
        <v/>
      </c>
    </row>
    <row r="193" spans="1:26" x14ac:dyDescent="0.25">
      <c r="A193" s="2">
        <v>1000000002476</v>
      </c>
      <c r="B193" s="5" t="s">
        <v>377</v>
      </c>
      <c r="C193" s="2">
        <v>3000000001643</v>
      </c>
      <c r="D193" s="5" t="s">
        <v>378</v>
      </c>
      <c r="E193" s="1">
        <v>4</v>
      </c>
      <c r="F193" s="1" t="s">
        <v>47</v>
      </c>
      <c r="G193" s="1">
        <v>4</v>
      </c>
      <c r="H193" s="1">
        <v>2</v>
      </c>
      <c r="I193" s="1">
        <v>2</v>
      </c>
      <c r="J193" s="1"/>
      <c r="K193" s="1">
        <v>50</v>
      </c>
      <c r="L193" s="1" t="str">
        <f>IFERROR(_xlfn.LET(_xlpm.x,VLOOKUP($A193,'[1]Markings Threadings'!$B$3:$L$245,3,0),IF(_xlpm.x=0,"",_xlpm.x)),"")</f>
        <v>White</v>
      </c>
      <c r="M193" s="2">
        <f>IFERROR(_xlfn.LET(_xlpm.x,VLOOKUP($A193,'[1]Markings Threadings'!$B$3:$L$245,7,0),IF(_xlpm.x=0,"",_xlpm.x)),"")</f>
        <v>5000000000055</v>
      </c>
      <c r="N193" s="5" t="str">
        <f>IFERROR(_xlfn.LET(_xlpm.x,VLOOKUP($A193,'[1]Markings Threadings'!$B$3:$L$245,8,0),IF(_xlpm.x=0,"",_xlpm.x)),"")</f>
        <v>Pork Solution Hog Booster 25kg</v>
      </c>
      <c r="O193" s="2">
        <f>IFERROR(_xlfn.LET(_xlpm.x,VLOOKUP($A193,'[1]Markings Threadings'!$B$3:$L$245,10,0),IF(_xlpm.x=0,"",_xlpm.x)),"")</f>
        <v>5000000000108</v>
      </c>
      <c r="P193" s="5" t="str">
        <f>IFERROR(_xlfn.LET(_xlpm.x,VLOOKUP($A193,'[1]Markings Threadings'!$B$3:$L$245,11,0),IF(_xlpm.x=0,"",_xlpm.x)),"")</f>
        <v>Tag - Pork Solutions Hog Booster Mini Pellet</v>
      </c>
      <c r="Q193" s="1" t="str">
        <f>IFERROR(_xlfn.LET(_xlpm.x,VLOOKUP($A193,'[1]Markings Threadings'!$B$3:$L$245,4,0),IF(_xlpm.x=0,"",_xlpm.x)),"")</f>
        <v>2476 DTF</v>
      </c>
      <c r="R193" s="1" t="str">
        <f>IFERROR(_xlfn.LET(_xlpm.x,VLOOKUP($A193,'[1]Markings Threadings'!$B$3:$L$245,5,0),IF(_xlpm.x=0,"",_xlpm.x)),"")</f>
        <v/>
      </c>
      <c r="S193" s="1">
        <f>IFERROR(_xlfn.LET(_xlpm.x,VLOOKUP($A193,'[1]Markings Threadings'!$B$3:$L$245,6,0),IF(_xlpm.x=0,"",_xlpm.x)),"")</f>
        <v>5</v>
      </c>
      <c r="T193" s="6" t="str">
        <f>IFERROR(_xlfn.LET(_xlpm.x,VLOOKUP($C193,[1]Summary!$A$2:$J$118,4,0),IF(_xlpm.x=0,"",_xlpm.x)),"")</f>
        <v/>
      </c>
      <c r="U193" s="6" t="str">
        <f>IFERROR(_xlfn.LET(_xlpm.x,VLOOKUP($C193,[1]Summary!$A$2:$J$118,5,0),IF(_xlpm.x=0,"",_xlpm.x)),"")</f>
        <v/>
      </c>
      <c r="V193" s="6" t="str">
        <f>IFERROR(_xlfn.LET(_xlpm.x,VLOOKUP($C193,[1]Summary!$A$2:$J$118,6,0),IF(_xlpm.x=0,"",_xlpm.x)),"")</f>
        <v/>
      </c>
      <c r="W193" s="6" t="str">
        <f>IFERROR(_xlfn.LET(_xlpm.x,VLOOKUP($C193,[1]Summary!$A$2:$J$118,7,0),IF(_xlpm.x=0,"",_xlpm.x)),"")</f>
        <v/>
      </c>
      <c r="X193" s="6" t="str">
        <f>IFERROR(_xlfn.LET(_xlpm.x,VLOOKUP($C193,[1]Summary!$A$2:$J$118,8,0),IF(_xlpm.x=0,"",_xlpm.x)),"")</f>
        <v/>
      </c>
      <c r="Y193" s="6" t="str">
        <f>IFERROR(_xlfn.LET(_xlpm.x,VLOOKUP($C193,[1]Summary!$A$2:$J$118,9,0),IF(_xlpm.x=0,"",_xlpm.x)),"")</f>
        <v/>
      </c>
      <c r="Z193" s="6" t="str">
        <f>IFERROR(_xlfn.LET(_xlpm.x,VLOOKUP($C193,[1]Summary!$A$2:$J$118,10,0),IF(_xlpm.x=0,"",_xlpm.x)),"")</f>
        <v/>
      </c>
    </row>
    <row r="194" spans="1:26" x14ac:dyDescent="0.25">
      <c r="A194" s="2">
        <v>1000000002459</v>
      </c>
      <c r="B194" s="5" t="s">
        <v>379</v>
      </c>
      <c r="C194" s="2">
        <v>3000000001644</v>
      </c>
      <c r="D194" s="5" t="s">
        <v>380</v>
      </c>
      <c r="E194" s="1">
        <v>3</v>
      </c>
      <c r="F194" s="1" t="s">
        <v>67</v>
      </c>
      <c r="G194" s="1">
        <v>4</v>
      </c>
      <c r="H194" s="1">
        <v>2</v>
      </c>
      <c r="I194" s="1">
        <v>2</v>
      </c>
      <c r="J194" s="1"/>
      <c r="K194" s="1">
        <v>50</v>
      </c>
      <c r="L194" s="1" t="str">
        <f>IFERROR(_xlfn.LET(_xlpm.x,VLOOKUP($A194,'[1]Markings Threadings'!$B$3:$L$245,3,0),IF(_xlpm.x=0,"",_xlpm.x)),"")</f>
        <v>Red Yellow</v>
      </c>
      <c r="M194" s="2">
        <f>IFERROR(_xlfn.LET(_xlpm.x,VLOOKUP($A194,'[1]Markings Threadings'!$B$3:$L$245,7,0),IF(_xlpm.x=0,"",_xlpm.x)),"")</f>
        <v>5000000000561</v>
      </c>
      <c r="N194" s="5" t="str">
        <f>IFERROR(_xlfn.LET(_xlpm.x,VLOOKUP($A194,'[1]Markings Threadings'!$B$3:$L$245,8,0),IF(_xlpm.x=0,"",_xlpm.x)),"")</f>
        <v>v2 - Poultry Solutions Chick Starter, 50</v>
      </c>
      <c r="O194" s="2">
        <f>IFERROR(_xlfn.LET(_xlpm.x,VLOOKUP($A194,'[1]Markings Threadings'!$B$3:$L$245,10,0),IF(_xlpm.x=0,"",_xlpm.x)),"")</f>
        <v>5000000000125</v>
      </c>
      <c r="P194" s="5" t="str">
        <f>IFERROR(_xlfn.LET(_xlpm.x,VLOOKUP($A194,'[1]Markings Threadings'!$B$3:$L$245,11,0),IF(_xlpm.x=0,"",_xlpm.x)),"")</f>
        <v>Tag - Poultry Solutions Chick Starter Crumble</v>
      </c>
      <c r="Q194" s="1" t="str">
        <f>IFERROR(_xlfn.LET(_xlpm.x,VLOOKUP($A194,'[1]Markings Threadings'!$B$3:$L$245,4,0),IF(_xlpm.x=0,"",_xlpm.x)),"")</f>
        <v>2459 1-A ABFI</v>
      </c>
      <c r="R194" s="1" t="str">
        <f>IFERROR(_xlfn.LET(_xlpm.x,VLOOKUP($A194,'[1]Markings Threadings'!$B$3:$L$245,5,0),IF(_xlpm.x=0,"",_xlpm.x)),"")</f>
        <v/>
      </c>
      <c r="S194" s="1">
        <f>IFERROR(_xlfn.LET(_xlpm.x,VLOOKUP($A194,'[1]Markings Threadings'!$B$3:$L$245,6,0),IF(_xlpm.x=0,"",_xlpm.x)),"")</f>
        <v>15</v>
      </c>
      <c r="T194" s="6" t="str">
        <f>IFERROR(_xlfn.LET(_xlpm.x,VLOOKUP($C194,[1]Summary!$A$2:$J$118,4,0),IF(_xlpm.x=0,"",_xlpm.x)),"")</f>
        <v/>
      </c>
      <c r="U194" s="6" t="str">
        <f>IFERROR(_xlfn.LET(_xlpm.x,VLOOKUP($C194,[1]Summary!$A$2:$J$118,5,0),IF(_xlpm.x=0,"",_xlpm.x)),"")</f>
        <v/>
      </c>
      <c r="V194" s="6" t="str">
        <f>IFERROR(_xlfn.LET(_xlpm.x,VLOOKUP($C194,[1]Summary!$A$2:$J$118,6,0),IF(_xlpm.x=0,"",_xlpm.x)),"")</f>
        <v/>
      </c>
      <c r="W194" s="6" t="str">
        <f>IFERROR(_xlfn.LET(_xlpm.x,VLOOKUP($C194,[1]Summary!$A$2:$J$118,7,0),IF(_xlpm.x=0,"",_xlpm.x)),"")</f>
        <v/>
      </c>
      <c r="X194" s="6" t="str">
        <f>IFERROR(_xlfn.LET(_xlpm.x,VLOOKUP($C194,[1]Summary!$A$2:$J$118,8,0),IF(_xlpm.x=0,"",_xlpm.x)),"")</f>
        <v/>
      </c>
      <c r="Y194" s="6" t="str">
        <f>IFERROR(_xlfn.LET(_xlpm.x,VLOOKUP($C194,[1]Summary!$A$2:$J$118,9,0),IF(_xlpm.x=0,"",_xlpm.x)),"")</f>
        <v/>
      </c>
      <c r="Z194" s="6" t="str">
        <f>IFERROR(_xlfn.LET(_xlpm.x,VLOOKUP($C194,[1]Summary!$A$2:$J$118,10,0),IF(_xlpm.x=0,"",_xlpm.x)),"")</f>
        <v/>
      </c>
    </row>
    <row r="195" spans="1:26" x14ac:dyDescent="0.25">
      <c r="A195" s="2">
        <v>1000000002460</v>
      </c>
      <c r="B195" s="5" t="s">
        <v>381</v>
      </c>
      <c r="C195" s="2">
        <v>3000000001645</v>
      </c>
      <c r="D195" s="5" t="s">
        <v>382</v>
      </c>
      <c r="E195" s="1">
        <v>3</v>
      </c>
      <c r="F195" s="1" t="s">
        <v>67</v>
      </c>
      <c r="G195" s="1">
        <v>4</v>
      </c>
      <c r="H195" s="1">
        <v>2</v>
      </c>
      <c r="I195" s="1">
        <v>2</v>
      </c>
      <c r="J195" s="1"/>
      <c r="K195" s="1">
        <v>50</v>
      </c>
      <c r="L195" s="1" t="str">
        <f>IFERROR(_xlfn.LET(_xlpm.x,VLOOKUP($A195,'[1]Markings Threadings'!$B$3:$L$245,3,0),IF(_xlpm.x=0,"",_xlpm.x)),"")</f>
        <v>Red Yellow</v>
      </c>
      <c r="M195" s="2">
        <f>IFERROR(_xlfn.LET(_xlpm.x,VLOOKUP($A195,'[1]Markings Threadings'!$B$3:$L$245,7,0),IF(_xlpm.x=0,"",_xlpm.x)),"")</f>
        <v>5000000000561</v>
      </c>
      <c r="N195" s="5" t="str">
        <f>IFERROR(_xlfn.LET(_xlpm.x,VLOOKUP($A195,'[1]Markings Threadings'!$B$3:$L$245,8,0),IF(_xlpm.x=0,"",_xlpm.x)),"")</f>
        <v>v2 - Poultry Solutions Chick Starter, 50</v>
      </c>
      <c r="O195" s="2">
        <f>IFERROR(_xlfn.LET(_xlpm.x,VLOOKUP($A195,'[1]Markings Threadings'!$B$3:$L$245,10,0),IF(_xlpm.x=0,"",_xlpm.x)),"")</f>
        <v>5000000000125</v>
      </c>
      <c r="P195" s="5" t="str">
        <f>IFERROR(_xlfn.LET(_xlpm.x,VLOOKUP($A195,'[1]Markings Threadings'!$B$3:$L$245,11,0),IF(_xlpm.x=0,"",_xlpm.x)),"")</f>
        <v>Tag - Poultry Solutions Chick Starter Crumble</v>
      </c>
      <c r="Q195" s="1" t="str">
        <f>IFERROR(_xlfn.LET(_xlpm.x,VLOOKUP($A195,'[1]Markings Threadings'!$B$3:$L$245,4,0),IF(_xlpm.x=0,"",_xlpm.x)),"")</f>
        <v>2460 1-B ABFI</v>
      </c>
      <c r="R195" s="1" t="str">
        <f>IFERROR(_xlfn.LET(_xlpm.x,VLOOKUP($A195,'[1]Markings Threadings'!$B$3:$L$245,5,0),IF(_xlpm.x=0,"",_xlpm.x)),"")</f>
        <v/>
      </c>
      <c r="S195" s="1">
        <f>IFERROR(_xlfn.LET(_xlpm.x,VLOOKUP($A195,'[1]Markings Threadings'!$B$3:$L$245,6,0),IF(_xlpm.x=0,"",_xlpm.x)),"")</f>
        <v>15</v>
      </c>
      <c r="T195" s="6" t="str">
        <f>IFERROR(_xlfn.LET(_xlpm.x,VLOOKUP($C195,[1]Summary!$A$2:$J$118,4,0),IF(_xlpm.x=0,"",_xlpm.x)),"")</f>
        <v/>
      </c>
      <c r="U195" s="6" t="str">
        <f>IFERROR(_xlfn.LET(_xlpm.x,VLOOKUP($C195,[1]Summary!$A$2:$J$118,5,0),IF(_xlpm.x=0,"",_xlpm.x)),"")</f>
        <v/>
      </c>
      <c r="V195" s="6" t="str">
        <f>IFERROR(_xlfn.LET(_xlpm.x,VLOOKUP($C195,[1]Summary!$A$2:$J$118,6,0),IF(_xlpm.x=0,"",_xlpm.x)),"")</f>
        <v/>
      </c>
      <c r="W195" s="6" t="str">
        <f>IFERROR(_xlfn.LET(_xlpm.x,VLOOKUP($C195,[1]Summary!$A$2:$J$118,7,0),IF(_xlpm.x=0,"",_xlpm.x)),"")</f>
        <v/>
      </c>
      <c r="X195" s="6" t="str">
        <f>IFERROR(_xlfn.LET(_xlpm.x,VLOOKUP($C195,[1]Summary!$A$2:$J$118,8,0),IF(_xlpm.x=0,"",_xlpm.x)),"")</f>
        <v/>
      </c>
      <c r="Y195" s="6" t="str">
        <f>IFERROR(_xlfn.LET(_xlpm.x,VLOOKUP($C195,[1]Summary!$A$2:$J$118,9,0),IF(_xlpm.x=0,"",_xlpm.x)),"")</f>
        <v/>
      </c>
      <c r="Z195" s="6" t="str">
        <f>IFERROR(_xlfn.LET(_xlpm.x,VLOOKUP($C195,[1]Summary!$A$2:$J$118,10,0),IF(_xlpm.x=0,"",_xlpm.x)),"")</f>
        <v/>
      </c>
    </row>
    <row r="196" spans="1:26" x14ac:dyDescent="0.25">
      <c r="A196" s="2">
        <v>1000000002471</v>
      </c>
      <c r="B196" s="5" t="s">
        <v>383</v>
      </c>
      <c r="C196" s="2">
        <v>3000000001646</v>
      </c>
      <c r="D196" s="5" t="s">
        <v>384</v>
      </c>
      <c r="E196" s="1">
        <v>3</v>
      </c>
      <c r="F196" s="1" t="s">
        <v>67</v>
      </c>
      <c r="G196" s="1">
        <v>4</v>
      </c>
      <c r="H196" s="1">
        <v>2</v>
      </c>
      <c r="I196" s="1">
        <v>2</v>
      </c>
      <c r="J196" s="1"/>
      <c r="K196" s="1">
        <v>50</v>
      </c>
      <c r="L196" s="1" t="str">
        <f>IFERROR(_xlfn.LET(_xlpm.x,VLOOKUP($A196,'[1]Markings Threadings'!$B$3:$L$245,3,0),IF(_xlpm.x=0,"",_xlpm.x)),"")</f>
        <v>Red Yellow</v>
      </c>
      <c r="M196" s="2">
        <f>IFERROR(_xlfn.LET(_xlpm.x,VLOOKUP($A196,'[1]Markings Threadings'!$B$3:$L$245,7,0),IF(_xlpm.x=0,"",_xlpm.x)),"")</f>
        <v>5000000000561</v>
      </c>
      <c r="N196" s="5" t="str">
        <f>IFERROR(_xlfn.LET(_xlpm.x,VLOOKUP($A196,'[1]Markings Threadings'!$B$3:$L$245,8,0),IF(_xlpm.x=0,"",_xlpm.x)),"")</f>
        <v>v2 - Poultry Solutions Chick Starter, 50</v>
      </c>
      <c r="O196" s="2">
        <f>IFERROR(_xlfn.LET(_xlpm.x,VLOOKUP($A196,'[1]Markings Threadings'!$B$3:$L$245,10,0),IF(_xlpm.x=0,"",_xlpm.x)),"")</f>
        <v>5000000000125</v>
      </c>
      <c r="P196" s="5" t="str">
        <f>IFERROR(_xlfn.LET(_xlpm.x,VLOOKUP($A196,'[1]Markings Threadings'!$B$3:$L$245,11,0),IF(_xlpm.x=0,"",_xlpm.x)),"")</f>
        <v>Tag - Poultry Solutions Chick Starter Crumble</v>
      </c>
      <c r="Q196" s="1" t="str">
        <f>IFERROR(_xlfn.LET(_xlpm.x,VLOOKUP($A196,'[1]Markings Threadings'!$B$3:$L$245,4,0),IF(_xlpm.x=0,"",_xlpm.x)),"")</f>
        <v>2471 2-A C ABFI</v>
      </c>
      <c r="R196" s="1" t="str">
        <f>IFERROR(_xlfn.LET(_xlpm.x,VLOOKUP($A196,'[1]Markings Threadings'!$B$3:$L$245,5,0),IF(_xlpm.x=0,"",_xlpm.x)),"")</f>
        <v/>
      </c>
      <c r="S196" s="1">
        <f>IFERROR(_xlfn.LET(_xlpm.x,VLOOKUP($A196,'[1]Markings Threadings'!$B$3:$L$245,6,0),IF(_xlpm.x=0,"",_xlpm.x)),"")</f>
        <v>15</v>
      </c>
      <c r="T196" s="6" t="str">
        <f>IFERROR(_xlfn.LET(_xlpm.x,VLOOKUP($C196,[1]Summary!$A$2:$J$118,4,0),IF(_xlpm.x=0,"",_xlpm.x)),"")</f>
        <v/>
      </c>
      <c r="U196" s="6" t="str">
        <f>IFERROR(_xlfn.LET(_xlpm.x,VLOOKUP($C196,[1]Summary!$A$2:$J$118,5,0),IF(_xlpm.x=0,"",_xlpm.x)),"")</f>
        <v/>
      </c>
      <c r="V196" s="6" t="str">
        <f>IFERROR(_xlfn.LET(_xlpm.x,VLOOKUP($C196,[1]Summary!$A$2:$J$118,6,0),IF(_xlpm.x=0,"",_xlpm.x)),"")</f>
        <v/>
      </c>
      <c r="W196" s="6" t="str">
        <f>IFERROR(_xlfn.LET(_xlpm.x,VLOOKUP($C196,[1]Summary!$A$2:$J$118,7,0),IF(_xlpm.x=0,"",_xlpm.x)),"")</f>
        <v/>
      </c>
      <c r="X196" s="6" t="str">
        <f>IFERROR(_xlfn.LET(_xlpm.x,VLOOKUP($C196,[1]Summary!$A$2:$J$118,8,0),IF(_xlpm.x=0,"",_xlpm.x)),"")</f>
        <v/>
      </c>
      <c r="Y196" s="6" t="str">
        <f>IFERROR(_xlfn.LET(_xlpm.x,VLOOKUP($C196,[1]Summary!$A$2:$J$118,9,0),IF(_xlpm.x=0,"",_xlpm.x)),"")</f>
        <v/>
      </c>
      <c r="Z196" s="6" t="str">
        <f>IFERROR(_xlfn.LET(_xlpm.x,VLOOKUP($C196,[1]Summary!$A$2:$J$118,10,0),IF(_xlpm.x=0,"",_xlpm.x)),"")</f>
        <v/>
      </c>
    </row>
    <row r="197" spans="1:26" x14ac:dyDescent="0.25">
      <c r="A197" s="2">
        <v>1000000002472</v>
      </c>
      <c r="B197" s="5" t="s">
        <v>385</v>
      </c>
      <c r="C197" s="2">
        <v>3000000001647</v>
      </c>
      <c r="D197" s="5" t="s">
        <v>386</v>
      </c>
      <c r="E197" s="1">
        <v>3</v>
      </c>
      <c r="F197" s="1" t="s">
        <v>67</v>
      </c>
      <c r="G197" s="1">
        <v>4</v>
      </c>
      <c r="H197" s="1">
        <v>2</v>
      </c>
      <c r="I197" s="1">
        <v>2</v>
      </c>
      <c r="J197" s="1"/>
      <c r="K197" s="1">
        <v>50</v>
      </c>
      <c r="L197" s="1" t="str">
        <f>IFERROR(_xlfn.LET(_xlpm.x,VLOOKUP($A197,'[1]Markings Threadings'!$B$3:$L$245,3,0),IF(_xlpm.x=0,"",_xlpm.x)),"")</f>
        <v>Red Blue</v>
      </c>
      <c r="M197" s="2">
        <f>IFERROR(_xlfn.LET(_xlpm.x,VLOOKUP($A197,'[1]Markings Threadings'!$B$3:$L$245,7,0),IF(_xlpm.x=0,"",_xlpm.x)),"")</f>
        <v>5000000000561</v>
      </c>
      <c r="N197" s="5" t="str">
        <f>IFERROR(_xlfn.LET(_xlpm.x,VLOOKUP($A197,'[1]Markings Threadings'!$B$3:$L$245,8,0),IF(_xlpm.x=0,"",_xlpm.x)),"")</f>
        <v>v2 - Poultry Solutions Chick Starter, 50</v>
      </c>
      <c r="O197" s="2">
        <f>IFERROR(_xlfn.LET(_xlpm.x,VLOOKUP($A197,'[1]Markings Threadings'!$B$3:$L$245,10,0),IF(_xlpm.x=0,"",_xlpm.x)),"")</f>
        <v>5000000000125</v>
      </c>
      <c r="P197" s="5" t="str">
        <f>IFERROR(_xlfn.LET(_xlpm.x,VLOOKUP($A197,'[1]Markings Threadings'!$B$3:$L$245,11,0),IF(_xlpm.x=0,"",_xlpm.x)),"")</f>
        <v>Tag - Poultry Solutions Chick Starter Crumble</v>
      </c>
      <c r="Q197" s="1" t="str">
        <f>IFERROR(_xlfn.LET(_xlpm.x,VLOOKUP($A197,'[1]Markings Threadings'!$B$3:$L$245,4,0),IF(_xlpm.x=0,"",_xlpm.x)),"")</f>
        <v>2472 2-B C ABFI</v>
      </c>
      <c r="R197" s="1" t="str">
        <f>IFERROR(_xlfn.LET(_xlpm.x,VLOOKUP($A197,'[1]Markings Threadings'!$B$3:$L$245,5,0),IF(_xlpm.x=0,"",_xlpm.x)),"")</f>
        <v/>
      </c>
      <c r="S197" s="1">
        <f>IFERROR(_xlfn.LET(_xlpm.x,VLOOKUP($A197,'[1]Markings Threadings'!$B$3:$L$245,6,0),IF(_xlpm.x=0,"",_xlpm.x)),"")</f>
        <v>15</v>
      </c>
      <c r="T197" s="6" t="str">
        <f>IFERROR(_xlfn.LET(_xlpm.x,VLOOKUP($C197,[1]Summary!$A$2:$J$118,4,0),IF(_xlpm.x=0,"",_xlpm.x)),"")</f>
        <v/>
      </c>
      <c r="U197" s="6" t="str">
        <f>IFERROR(_xlfn.LET(_xlpm.x,VLOOKUP($C197,[1]Summary!$A$2:$J$118,5,0),IF(_xlpm.x=0,"",_xlpm.x)),"")</f>
        <v/>
      </c>
      <c r="V197" s="6" t="str">
        <f>IFERROR(_xlfn.LET(_xlpm.x,VLOOKUP($C197,[1]Summary!$A$2:$J$118,6,0),IF(_xlpm.x=0,"",_xlpm.x)),"")</f>
        <v/>
      </c>
      <c r="W197" s="6" t="str">
        <f>IFERROR(_xlfn.LET(_xlpm.x,VLOOKUP($C197,[1]Summary!$A$2:$J$118,7,0),IF(_xlpm.x=0,"",_xlpm.x)),"")</f>
        <v/>
      </c>
      <c r="X197" s="6" t="str">
        <f>IFERROR(_xlfn.LET(_xlpm.x,VLOOKUP($C197,[1]Summary!$A$2:$J$118,8,0),IF(_xlpm.x=0,"",_xlpm.x)),"")</f>
        <v/>
      </c>
      <c r="Y197" s="6" t="str">
        <f>IFERROR(_xlfn.LET(_xlpm.x,VLOOKUP($C197,[1]Summary!$A$2:$J$118,9,0),IF(_xlpm.x=0,"",_xlpm.x)),"")</f>
        <v/>
      </c>
      <c r="Z197" s="6" t="str">
        <f>IFERROR(_xlfn.LET(_xlpm.x,VLOOKUP($C197,[1]Summary!$A$2:$J$118,10,0),IF(_xlpm.x=0,"",_xlpm.x)),"")</f>
        <v/>
      </c>
    </row>
    <row r="198" spans="1:26" x14ac:dyDescent="0.25">
      <c r="A198" s="2">
        <v>1000000002474</v>
      </c>
      <c r="B198" s="5" t="s">
        <v>387</v>
      </c>
      <c r="C198" s="2">
        <v>3000000001648</v>
      </c>
      <c r="D198" s="5" t="s">
        <v>388</v>
      </c>
      <c r="E198" s="1">
        <v>4</v>
      </c>
      <c r="F198" s="1" t="s">
        <v>67</v>
      </c>
      <c r="G198" s="1">
        <v>4</v>
      </c>
      <c r="H198" s="1">
        <v>2</v>
      </c>
      <c r="I198" s="1">
        <v>2</v>
      </c>
      <c r="J198" s="1"/>
      <c r="K198" s="1">
        <v>50</v>
      </c>
      <c r="L198" s="1" t="str">
        <f>IFERROR(_xlfn.LET(_xlpm.x,VLOOKUP($A198,'[1]Markings Threadings'!$B$3:$L$245,3,0),IF(_xlpm.x=0,"",_xlpm.x)),"")</f>
        <v>Red White</v>
      </c>
      <c r="M198" s="2">
        <f>IFERROR(_xlfn.LET(_xlpm.x,VLOOKUP($A198,'[1]Markings Threadings'!$B$3:$L$245,7,0),IF(_xlpm.x=0,"",_xlpm.x)),"")</f>
        <v>5000000000562</v>
      </c>
      <c r="N198" s="5" t="str">
        <f>IFERROR(_xlfn.LET(_xlpm.x,VLOOKUP($A198,'[1]Markings Threadings'!$B$3:$L$245,8,0),IF(_xlpm.x=0,"",_xlpm.x)),"")</f>
        <v>Sack Poultry Sol Chick Growex 1, 50kg</v>
      </c>
      <c r="O198" s="2">
        <f>IFERROR(_xlfn.LET(_xlpm.x,VLOOKUP($A198,'[1]Markings Threadings'!$B$3:$L$245,10,0),IF(_xlpm.x=0,"",_xlpm.x)),"")</f>
        <v>5000000000122</v>
      </c>
      <c r="P198" s="5" t="str">
        <f>IFERROR(_xlfn.LET(_xlpm.x,VLOOKUP($A198,'[1]Markings Threadings'!$B$3:$L$245,11,0),IF(_xlpm.x=0,"",_xlpm.x)),"")</f>
        <v>Tag - Poultry Solutions Chick Grower 1 Crumble</v>
      </c>
      <c r="Q198" s="1" t="str">
        <f>IFERROR(_xlfn.LET(_xlpm.x,VLOOKUP($A198,'[1]Markings Threadings'!$B$3:$L$245,4,0),IF(_xlpm.x=0,"",_xlpm.x)),"")</f>
        <v>2474 GR-1 ABFI</v>
      </c>
      <c r="R198" s="1" t="str">
        <f>IFERROR(_xlfn.LET(_xlpm.x,VLOOKUP($A198,'[1]Markings Threadings'!$B$3:$L$245,5,0),IF(_xlpm.x=0,"",_xlpm.x)),"")</f>
        <v/>
      </c>
      <c r="S198" s="1">
        <f>IFERROR(_xlfn.LET(_xlpm.x,VLOOKUP($A198,'[1]Markings Threadings'!$B$3:$L$245,6,0),IF(_xlpm.x=0,"",_xlpm.x)),"")</f>
        <v>14</v>
      </c>
      <c r="T198" s="6" t="str">
        <f>IFERROR(_xlfn.LET(_xlpm.x,VLOOKUP($C198,[1]Summary!$A$2:$J$118,4,0),IF(_xlpm.x=0,"",_xlpm.x)),"")</f>
        <v/>
      </c>
      <c r="U198" s="6" t="str">
        <f>IFERROR(_xlfn.LET(_xlpm.x,VLOOKUP($C198,[1]Summary!$A$2:$J$118,5,0),IF(_xlpm.x=0,"",_xlpm.x)),"")</f>
        <v/>
      </c>
      <c r="V198" s="6" t="str">
        <f>IFERROR(_xlfn.LET(_xlpm.x,VLOOKUP($C198,[1]Summary!$A$2:$J$118,6,0),IF(_xlpm.x=0,"",_xlpm.x)),"")</f>
        <v/>
      </c>
      <c r="W198" s="6" t="str">
        <f>IFERROR(_xlfn.LET(_xlpm.x,VLOOKUP($C198,[1]Summary!$A$2:$J$118,7,0),IF(_xlpm.x=0,"",_xlpm.x)),"")</f>
        <v/>
      </c>
      <c r="X198" s="6" t="str">
        <f>IFERROR(_xlfn.LET(_xlpm.x,VLOOKUP($C198,[1]Summary!$A$2:$J$118,8,0),IF(_xlpm.x=0,"",_xlpm.x)),"")</f>
        <v/>
      </c>
      <c r="Y198" s="6" t="str">
        <f>IFERROR(_xlfn.LET(_xlpm.x,VLOOKUP($C198,[1]Summary!$A$2:$J$118,9,0),IF(_xlpm.x=0,"",_xlpm.x)),"")</f>
        <v/>
      </c>
      <c r="Z198" s="6" t="str">
        <f>IFERROR(_xlfn.LET(_xlpm.x,VLOOKUP($C198,[1]Summary!$A$2:$J$118,10,0),IF(_xlpm.x=0,"",_xlpm.x)),"")</f>
        <v/>
      </c>
    </row>
    <row r="199" spans="1:26" x14ac:dyDescent="0.25">
      <c r="A199" s="2">
        <v>1000000002475</v>
      </c>
      <c r="B199" s="5" t="s">
        <v>389</v>
      </c>
      <c r="C199" s="2">
        <v>3000000001649</v>
      </c>
      <c r="D199" s="5" t="s">
        <v>390</v>
      </c>
      <c r="E199" s="1">
        <v>4</v>
      </c>
      <c r="F199" s="1" t="s">
        <v>67</v>
      </c>
      <c r="G199" s="1">
        <v>4</v>
      </c>
      <c r="H199" s="1">
        <v>2</v>
      </c>
      <c r="I199" s="1">
        <v>2</v>
      </c>
      <c r="J199" s="1"/>
      <c r="K199" s="1">
        <v>50</v>
      </c>
      <c r="L199" s="1" t="str">
        <f>IFERROR(_xlfn.LET(_xlpm.x,VLOOKUP($A199,'[1]Markings Threadings'!$B$3:$L$245,3,0),IF(_xlpm.x=0,"",_xlpm.x)),"")</f>
        <v>Red Yellow</v>
      </c>
      <c r="M199" s="2">
        <f>IFERROR(_xlfn.LET(_xlpm.x,VLOOKUP($A199,'[1]Markings Threadings'!$B$3:$L$245,7,0),IF(_xlpm.x=0,"",_xlpm.x)),"")</f>
        <v>5000000000562</v>
      </c>
      <c r="N199" s="5" t="str">
        <f>IFERROR(_xlfn.LET(_xlpm.x,VLOOKUP($A199,'[1]Markings Threadings'!$B$3:$L$245,8,0),IF(_xlpm.x=0,"",_xlpm.x)),"")</f>
        <v>Sack Poultry Sol Chick Growex 1, 50kg</v>
      </c>
      <c r="O199" s="2">
        <f>IFERROR(_xlfn.LET(_xlpm.x,VLOOKUP($A199,'[1]Markings Threadings'!$B$3:$L$245,10,0),IF(_xlpm.x=0,"",_xlpm.x)),"")</f>
        <v>5000000000123</v>
      </c>
      <c r="P199" s="5" t="str">
        <f>IFERROR(_xlfn.LET(_xlpm.x,VLOOKUP($A199,'[1]Markings Threadings'!$B$3:$L$245,11,0),IF(_xlpm.x=0,"",_xlpm.x)),"")</f>
        <v>Tag Poultry Solution Chick Grower II</v>
      </c>
      <c r="Q199" s="1" t="str">
        <f>IFERROR(_xlfn.LET(_xlpm.x,VLOOKUP($A199,'[1]Markings Threadings'!$B$3:$L$245,4,0),IF(_xlpm.x=0,"",_xlpm.x)),"")</f>
        <v>2475 GR-2 ABFI</v>
      </c>
      <c r="R199" s="1" t="str">
        <f>IFERROR(_xlfn.LET(_xlpm.x,VLOOKUP($A199,'[1]Markings Threadings'!$B$3:$L$245,5,0),IF(_xlpm.x=0,"",_xlpm.x)),"")</f>
        <v/>
      </c>
      <c r="S199" s="1">
        <f>IFERROR(_xlfn.LET(_xlpm.x,VLOOKUP($A199,'[1]Markings Threadings'!$B$3:$L$245,6,0),IF(_xlpm.x=0,"",_xlpm.x)),"")</f>
        <v>14</v>
      </c>
      <c r="T199" s="6" t="str">
        <f>IFERROR(_xlfn.LET(_xlpm.x,VLOOKUP($C199,[1]Summary!$A$2:$J$118,4,0),IF(_xlpm.x=0,"",_xlpm.x)),"")</f>
        <v/>
      </c>
      <c r="U199" s="6" t="str">
        <f>IFERROR(_xlfn.LET(_xlpm.x,VLOOKUP($C199,[1]Summary!$A$2:$J$118,5,0),IF(_xlpm.x=0,"",_xlpm.x)),"")</f>
        <v/>
      </c>
      <c r="V199" s="6" t="str">
        <f>IFERROR(_xlfn.LET(_xlpm.x,VLOOKUP($C199,[1]Summary!$A$2:$J$118,6,0),IF(_xlpm.x=0,"",_xlpm.x)),"")</f>
        <v/>
      </c>
      <c r="W199" s="6" t="str">
        <f>IFERROR(_xlfn.LET(_xlpm.x,VLOOKUP($C199,[1]Summary!$A$2:$J$118,7,0),IF(_xlpm.x=0,"",_xlpm.x)),"")</f>
        <v/>
      </c>
      <c r="X199" s="6" t="str">
        <f>IFERROR(_xlfn.LET(_xlpm.x,VLOOKUP($C199,[1]Summary!$A$2:$J$118,8,0),IF(_xlpm.x=0,"",_xlpm.x)),"")</f>
        <v/>
      </c>
      <c r="Y199" s="6" t="str">
        <f>IFERROR(_xlfn.LET(_xlpm.x,VLOOKUP($C199,[1]Summary!$A$2:$J$118,9,0),IF(_xlpm.x=0,"",_xlpm.x)),"")</f>
        <v/>
      </c>
      <c r="Z199" s="6" t="str">
        <f>IFERROR(_xlfn.LET(_xlpm.x,VLOOKUP($C199,[1]Summary!$A$2:$J$118,10,0),IF(_xlpm.x=0,"",_xlpm.x)),"")</f>
        <v/>
      </c>
    </row>
    <row r="200" spans="1:26" x14ac:dyDescent="0.25">
      <c r="A200" s="2">
        <v>1000000002504</v>
      </c>
      <c r="B200" s="5" t="s">
        <v>391</v>
      </c>
      <c r="C200" s="2">
        <v>3000000001653</v>
      </c>
      <c r="D200" s="5" t="s">
        <v>392</v>
      </c>
      <c r="E200" s="1">
        <v>3</v>
      </c>
      <c r="F200" s="1" t="s">
        <v>86</v>
      </c>
      <c r="G200" s="1">
        <v>4</v>
      </c>
      <c r="H200" s="1">
        <v>2</v>
      </c>
      <c r="I200" s="1">
        <v>2</v>
      </c>
      <c r="J200" s="1"/>
      <c r="K200" s="1">
        <v>50</v>
      </c>
      <c r="L200" s="1" t="str">
        <f>IFERROR(_xlfn.LET(_xlpm.x,VLOOKUP($A200,'[1]Markings Threadings'!$B$3:$L$245,3,0),IF(_xlpm.x=0,"",_xlpm.x)),"")</f>
        <v>Green</v>
      </c>
      <c r="M200" s="2">
        <f>IFERROR(_xlfn.LET(_xlpm.x,VLOOKUP($A200,'[1]Markings Threadings'!$B$3:$L$245,7,0),IF(_xlpm.x=0,"",_xlpm.x)),"")</f>
        <v>5000000000559</v>
      </c>
      <c r="N200" s="5" t="str">
        <f>IFERROR(_xlfn.LET(_xlpm.x,VLOOKUP($A200,'[1]Markings Threadings'!$B$3:$L$245,8,0),IF(_xlpm.x=0,"",_xlpm.x)),"")</f>
        <v>v2 - Poultry Solutions Broiler Finisher, 50kg</v>
      </c>
      <c r="O200" s="2">
        <f>IFERROR(_xlfn.LET(_xlpm.x,VLOOKUP($A200,'[1]Markings Threadings'!$B$3:$L$245,10,0),IF(_xlpm.x=0,"",_xlpm.x)),"")</f>
        <v>5000000000115</v>
      </c>
      <c r="P200" s="5" t="str">
        <f>IFERROR(_xlfn.LET(_xlpm.x,VLOOKUP($A200,'[1]Markings Threadings'!$B$3:$L$245,11,0),IF(_xlpm.x=0,"",_xlpm.x)),"")</f>
        <v>Tag - Poultry Solutions Broiler Finisher Crumble</v>
      </c>
      <c r="Q200" s="1" t="str">
        <f>IFERROR(_xlfn.LET(_xlpm.x,VLOOKUP($A200,'[1]Markings Threadings'!$B$3:$L$245,4,0),IF(_xlpm.x=0,"",_xlpm.x)),"")</f>
        <v>2504 SB</v>
      </c>
      <c r="R200" s="1" t="str">
        <f>IFERROR(_xlfn.LET(_xlpm.x,VLOOKUP($A200,'[1]Markings Threadings'!$B$3:$L$245,5,0),IF(_xlpm.x=0,"",_xlpm.x)),"")</f>
        <v/>
      </c>
      <c r="S200" s="1">
        <f>IFERROR(_xlfn.LET(_xlpm.x,VLOOKUP($A200,'[1]Markings Threadings'!$B$3:$L$245,6,0),IF(_xlpm.x=0,"",_xlpm.x)),"")</f>
        <v>7</v>
      </c>
      <c r="T200" s="6" t="str">
        <f>IFERROR(_xlfn.LET(_xlpm.x,VLOOKUP($C200,[1]Summary!$A$2:$J$118,4,0),IF(_xlpm.x=0,"",_xlpm.x)),"")</f>
        <v/>
      </c>
      <c r="U200" s="6" t="str">
        <f>IFERROR(_xlfn.LET(_xlpm.x,VLOOKUP($C200,[1]Summary!$A$2:$J$118,5,0),IF(_xlpm.x=0,"",_xlpm.x)),"")</f>
        <v/>
      </c>
      <c r="V200" s="6">
        <f>IFERROR(_xlfn.LET(_xlpm.x,VLOOKUP($C200,[1]Summary!$A$2:$J$118,6,0),IF(_xlpm.x=0,"",_xlpm.x)),"")</f>
        <v>8.3935667339022491</v>
      </c>
      <c r="W200" s="6" t="str">
        <f>IFERROR(_xlfn.LET(_xlpm.x,VLOOKUP($C200,[1]Summary!$A$2:$J$118,7,0),IF(_xlpm.x=0,"",_xlpm.x)),"")</f>
        <v/>
      </c>
      <c r="X200" s="6" t="str">
        <f>IFERROR(_xlfn.LET(_xlpm.x,VLOOKUP($C200,[1]Summary!$A$2:$J$118,8,0),IF(_xlpm.x=0,"",_xlpm.x)),"")</f>
        <v/>
      </c>
      <c r="Y200" s="6">
        <f>IFERROR(_xlfn.LET(_xlpm.x,VLOOKUP($C200,[1]Summary!$A$2:$J$118,9,0),IF(_xlpm.x=0,"",_xlpm.x)),"")</f>
        <v>7.9996415999999995</v>
      </c>
      <c r="Z200" s="6">
        <f>IFERROR(_xlfn.LET(_xlpm.x,VLOOKUP($C200,[1]Summary!$A$2:$J$118,10,0),IF(_xlpm.x=0,"",_xlpm.x)),"")</f>
        <v>7.744185191489362</v>
      </c>
    </row>
    <row r="201" spans="1:26" x14ac:dyDescent="0.25">
      <c r="A201" s="2">
        <v>1000000002505</v>
      </c>
      <c r="B201" s="5" t="s">
        <v>393</v>
      </c>
      <c r="C201" s="2">
        <v>3000000001654</v>
      </c>
      <c r="D201" s="5" t="s">
        <v>394</v>
      </c>
      <c r="E201" s="1">
        <v>4</v>
      </c>
      <c r="F201" s="1" t="s">
        <v>54</v>
      </c>
      <c r="G201" s="1">
        <v>4</v>
      </c>
      <c r="H201" s="1">
        <v>2</v>
      </c>
      <c r="I201" s="1">
        <v>2</v>
      </c>
      <c r="J201" s="1"/>
      <c r="K201" s="1">
        <v>50</v>
      </c>
      <c r="L201" s="1" t="str">
        <f>IFERROR(_xlfn.LET(_xlpm.x,VLOOKUP($A201,'[1]Markings Threadings'!$B$3:$L$245,3,0),IF(_xlpm.x=0,"",_xlpm.x)),"")</f>
        <v>Green</v>
      </c>
      <c r="M201" s="2">
        <f>IFERROR(_xlfn.LET(_xlpm.x,VLOOKUP($A201,'[1]Markings Threadings'!$B$3:$L$245,7,0),IF(_xlpm.x=0,"",_xlpm.x)),"")</f>
        <v>5000000000565</v>
      </c>
      <c r="N201" s="5" t="str">
        <f>IFERROR(_xlfn.LET(_xlpm.x,VLOOKUP($A201,'[1]Markings Threadings'!$B$3:$L$245,8,0),IF(_xlpm.x=0,"",_xlpm.x)),"")</f>
        <v>v2 - Poultry Solutions Layer 2 50kg.</v>
      </c>
      <c r="O201" s="2">
        <f>IFERROR(_xlfn.LET(_xlpm.x,VLOOKUP($A201,'[1]Markings Threadings'!$B$3:$L$245,10,0),IF(_xlpm.x=0,"",_xlpm.x)),"")</f>
        <v>5000000000117</v>
      </c>
      <c r="P201" s="5" t="str">
        <f>IFERROR(_xlfn.LET(_xlpm.x,VLOOKUP($A201,'[1]Markings Threadings'!$B$3:$L$245,11,0),IF(_xlpm.x=0,"",_xlpm.x)),"")</f>
        <v>Tag Poultry Solution Chicken Layer II (C)</v>
      </c>
      <c r="Q201" s="1" t="str">
        <f>IFERROR(_xlfn.LET(_xlpm.x,VLOOKUP($A201,'[1]Markings Threadings'!$B$3:$L$245,4,0),IF(_xlpm.x=0,"",_xlpm.x)),"")</f>
        <v>2505 L-3</v>
      </c>
      <c r="R201" s="1" t="str">
        <f>IFERROR(_xlfn.LET(_xlpm.x,VLOOKUP($A201,'[1]Markings Threadings'!$B$3:$L$245,5,0),IF(_xlpm.x=0,"",_xlpm.x)),"")</f>
        <v/>
      </c>
      <c r="S201" s="1">
        <f>IFERROR(_xlfn.LET(_xlpm.x,VLOOKUP($A201,'[1]Markings Threadings'!$B$3:$L$245,6,0),IF(_xlpm.x=0,"",_xlpm.x)),"")</f>
        <v>7</v>
      </c>
      <c r="T201" s="6" t="str">
        <f>IFERROR(_xlfn.LET(_xlpm.x,VLOOKUP($C201,[1]Summary!$A$2:$J$118,4,0),IF(_xlpm.x=0,"",_xlpm.x)),"")</f>
        <v/>
      </c>
      <c r="U201" s="6" t="str">
        <f>IFERROR(_xlfn.LET(_xlpm.x,VLOOKUP($C201,[1]Summary!$A$2:$J$118,5,0),IF(_xlpm.x=0,"",_xlpm.x)),"")</f>
        <v/>
      </c>
      <c r="V201" s="6" t="str">
        <f>IFERROR(_xlfn.LET(_xlpm.x,VLOOKUP($C201,[1]Summary!$A$2:$J$118,6,0),IF(_xlpm.x=0,"",_xlpm.x)),"")</f>
        <v/>
      </c>
      <c r="W201" s="6" t="str">
        <f>IFERROR(_xlfn.LET(_xlpm.x,VLOOKUP($C201,[1]Summary!$A$2:$J$118,7,0),IF(_xlpm.x=0,"",_xlpm.x)),"")</f>
        <v/>
      </c>
      <c r="X201" s="6" t="str">
        <f>IFERROR(_xlfn.LET(_xlpm.x,VLOOKUP($C201,[1]Summary!$A$2:$J$118,8,0),IF(_xlpm.x=0,"",_xlpm.x)),"")</f>
        <v/>
      </c>
      <c r="Y201" s="6" t="str">
        <f>IFERROR(_xlfn.LET(_xlpm.x,VLOOKUP($C201,[1]Summary!$A$2:$J$118,9,0),IF(_xlpm.x=0,"",_xlpm.x)),"")</f>
        <v/>
      </c>
      <c r="Z201" s="6" t="str">
        <f>IFERROR(_xlfn.LET(_xlpm.x,VLOOKUP($C201,[1]Summary!$A$2:$J$118,10,0),IF(_xlpm.x=0,"",_xlpm.x)),"")</f>
        <v/>
      </c>
    </row>
    <row r="202" spans="1:26" x14ac:dyDescent="0.25">
      <c r="A202" s="2">
        <v>1000000002547</v>
      </c>
      <c r="B202" s="5" t="s">
        <v>395</v>
      </c>
      <c r="C202" s="2">
        <v>3000000001681</v>
      </c>
      <c r="D202" s="5" t="s">
        <v>395</v>
      </c>
      <c r="E202" s="1">
        <v>3</v>
      </c>
      <c r="F202" s="1" t="s">
        <v>86</v>
      </c>
      <c r="G202" s="1">
        <v>4</v>
      </c>
      <c r="H202" s="1">
        <v>2</v>
      </c>
      <c r="I202" s="1">
        <v>2</v>
      </c>
      <c r="J202" s="1"/>
      <c r="K202" s="1">
        <v>50</v>
      </c>
      <c r="L202" s="1" t="str">
        <f>IFERROR(_xlfn.LET(_xlpm.x,VLOOKUP($A202,'[1]Markings Threadings'!$B$3:$L$245,3,0),IF(_xlpm.x=0,"",_xlpm.x)),"")</f>
        <v>Blue</v>
      </c>
      <c r="M202" s="2">
        <f>IFERROR(_xlfn.LET(_xlpm.x,VLOOKUP($A202,'[1]Markings Threadings'!$B$3:$L$245,7,0),IF(_xlpm.x=0,"",_xlpm.x)),"")</f>
        <v>5000000000057</v>
      </c>
      <c r="N202" s="5" t="str">
        <f>IFERROR(_xlfn.LET(_xlpm.x,VLOOKUP($A202,'[1]Markings Threadings'!$B$3:$L$245,8,0),IF(_xlpm.x=0,"",_xlpm.x)),"")</f>
        <v>Sack Pork Solutions Pre-starter 50kg</v>
      </c>
      <c r="O202" s="2">
        <f>IFERROR(_xlfn.LET(_xlpm.x,VLOOKUP($A202,'[1]Markings Threadings'!$B$3:$L$245,10,0),IF(_xlpm.x=0,"",_xlpm.x)),"")</f>
        <v>5000000000102</v>
      </c>
      <c r="P202" s="5" t="str">
        <f>IFERROR(_xlfn.LET(_xlpm.x,VLOOKUP($A202,'[1]Markings Threadings'!$B$3:$L$245,11,0),IF(_xlpm.x=0,"",_xlpm.x)),"")</f>
        <v>Tag Pork Sol Hog Pre-Starter 1 MP 50Kg</v>
      </c>
      <c r="Q202" s="1" t="str">
        <f>IFERROR(_xlfn.LET(_xlpm.x,VLOOKUP($A202,'[1]Markings Threadings'!$B$3:$L$245,4,0),IF(_xlpm.x=0,"",_xlpm.x)),"")</f>
        <v>2547 DTF</v>
      </c>
      <c r="R202" s="1" t="str">
        <f>IFERROR(_xlfn.LET(_xlpm.x,VLOOKUP($A202,'[1]Markings Threadings'!$B$3:$L$245,5,0),IF(_xlpm.x=0,"",_xlpm.x)),"")</f>
        <v/>
      </c>
      <c r="S202" s="1">
        <f>IFERROR(_xlfn.LET(_xlpm.x,VLOOKUP($A202,'[1]Markings Threadings'!$B$3:$L$245,6,0),IF(_xlpm.x=0,"",_xlpm.x)),"")</f>
        <v>5</v>
      </c>
      <c r="T202" s="6" t="str">
        <f>IFERROR(_xlfn.LET(_xlpm.x,VLOOKUP($C202,[1]Summary!$A$2:$J$118,4,0),IF(_xlpm.x=0,"",_xlpm.x)),"")</f>
        <v/>
      </c>
      <c r="U202" s="6" t="str">
        <f>IFERROR(_xlfn.LET(_xlpm.x,VLOOKUP($C202,[1]Summary!$A$2:$J$118,5,0),IF(_xlpm.x=0,"",_xlpm.x)),"")</f>
        <v/>
      </c>
      <c r="V202" s="6" t="str">
        <f>IFERROR(_xlfn.LET(_xlpm.x,VLOOKUP($C202,[1]Summary!$A$2:$J$118,6,0),IF(_xlpm.x=0,"",_xlpm.x)),"")</f>
        <v/>
      </c>
      <c r="W202" s="6" t="str">
        <f>IFERROR(_xlfn.LET(_xlpm.x,VLOOKUP($C202,[1]Summary!$A$2:$J$118,7,0),IF(_xlpm.x=0,"",_xlpm.x)),"")</f>
        <v/>
      </c>
      <c r="X202" s="6" t="str">
        <f>IFERROR(_xlfn.LET(_xlpm.x,VLOOKUP($C202,[1]Summary!$A$2:$J$118,8,0),IF(_xlpm.x=0,"",_xlpm.x)),"")</f>
        <v/>
      </c>
      <c r="Y202" s="6" t="str">
        <f>IFERROR(_xlfn.LET(_xlpm.x,VLOOKUP($C202,[1]Summary!$A$2:$J$118,9,0),IF(_xlpm.x=0,"",_xlpm.x)),"")</f>
        <v/>
      </c>
      <c r="Z202" s="6" t="str">
        <f>IFERROR(_xlfn.LET(_xlpm.x,VLOOKUP($C202,[1]Summary!$A$2:$J$118,10,0),IF(_xlpm.x=0,"",_xlpm.x)),"")</f>
        <v/>
      </c>
    </row>
    <row r="203" spans="1:26" x14ac:dyDescent="0.25">
      <c r="A203" s="2">
        <v>1000000000971</v>
      </c>
      <c r="B203" s="5" t="s">
        <v>396</v>
      </c>
      <c r="C203" s="2">
        <v>3000000000196</v>
      </c>
      <c r="D203" s="5" t="s">
        <v>397</v>
      </c>
      <c r="E203" s="1">
        <v>3</v>
      </c>
      <c r="F203" s="1" t="s">
        <v>86</v>
      </c>
      <c r="G203" s="1">
        <v>4</v>
      </c>
      <c r="H203" s="1">
        <v>2</v>
      </c>
      <c r="I203" s="1">
        <v>2</v>
      </c>
      <c r="J203" s="1"/>
      <c r="K203" s="1">
        <v>50</v>
      </c>
      <c r="L203" s="1" t="str">
        <f>IFERROR(_xlfn.LET(_xlpm.x,VLOOKUP($A203,'[1]Markings Threadings'!$B$3:$L$245,3,0),IF(_xlpm.x=0,"",_xlpm.x)),"")</f>
        <v>Red White</v>
      </c>
      <c r="M203" s="2">
        <f>IFERROR(_xlfn.LET(_xlpm.x,VLOOKUP($A203,'[1]Markings Threadings'!$B$3:$L$245,7,0),IF(_xlpm.x=0,"",_xlpm.x)),"")</f>
        <v>5000000000559</v>
      </c>
      <c r="N203" s="5" t="str">
        <f>IFERROR(_xlfn.LET(_xlpm.x,VLOOKUP($A203,'[1]Markings Threadings'!$B$3:$L$245,8,0),IF(_xlpm.x=0,"",_xlpm.x)),"")</f>
        <v>v2 - Poultry Solutions Broiler Finisher, 50kg</v>
      </c>
      <c r="O203" s="2">
        <f>IFERROR(_xlfn.LET(_xlpm.x,VLOOKUP($A203,'[1]Markings Threadings'!$B$3:$L$245,10,0),IF(_xlpm.x=0,"",_xlpm.x)),"")</f>
        <v>5000000000115</v>
      </c>
      <c r="P203" s="5" t="str">
        <f>IFERROR(_xlfn.LET(_xlpm.x,VLOOKUP($A203,'[1]Markings Threadings'!$B$3:$L$245,11,0),IF(_xlpm.x=0,"",_xlpm.x)),"")</f>
        <v>Tag - Poultry Solutions Broiler Finisher Crumble</v>
      </c>
      <c r="Q203" s="1" t="str">
        <f>IFERROR(_xlfn.LET(_xlpm.x,VLOOKUP($A203,'[1]Markings Threadings'!$B$3:$L$245,4,0),IF(_xlpm.x=0,"",_xlpm.x)),"")</f>
        <v>971 FIN ABFI</v>
      </c>
      <c r="R203" s="1" t="str">
        <f>IFERROR(_xlfn.LET(_xlpm.x,VLOOKUP($A203,'[1]Markings Threadings'!$B$3:$L$245,5,0),IF(_xlpm.x=0,"",_xlpm.x)),"")</f>
        <v/>
      </c>
      <c r="S203" s="1">
        <f>IFERROR(_xlfn.LET(_xlpm.x,VLOOKUP($A203,'[1]Markings Threadings'!$B$3:$L$245,6,0),IF(_xlpm.x=0,"",_xlpm.x)),"")</f>
        <v>7</v>
      </c>
      <c r="T203" s="6" t="str">
        <f>IFERROR(_xlfn.LET(_xlpm.x,VLOOKUP($C203,[1]Summary!$A$2:$J$118,4,0),IF(_xlpm.x=0,"",_xlpm.x)),"")</f>
        <v/>
      </c>
      <c r="U203" s="6" t="str">
        <f>IFERROR(_xlfn.LET(_xlpm.x,VLOOKUP($C203,[1]Summary!$A$2:$J$118,5,0),IF(_xlpm.x=0,"",_xlpm.x)),"")</f>
        <v/>
      </c>
      <c r="V203" s="6" t="str">
        <f>IFERROR(_xlfn.LET(_xlpm.x,VLOOKUP($C203,[1]Summary!$A$2:$J$118,6,0),IF(_xlpm.x=0,"",_xlpm.x)),"")</f>
        <v/>
      </c>
      <c r="W203" s="6" t="str">
        <f>IFERROR(_xlfn.LET(_xlpm.x,VLOOKUP($C203,[1]Summary!$A$2:$J$118,7,0),IF(_xlpm.x=0,"",_xlpm.x)),"")</f>
        <v/>
      </c>
      <c r="X203" s="6" t="str">
        <f>IFERROR(_xlfn.LET(_xlpm.x,VLOOKUP($C203,[1]Summary!$A$2:$J$118,8,0),IF(_xlpm.x=0,"",_xlpm.x)),"")</f>
        <v/>
      </c>
      <c r="Y203" s="6">
        <f>IFERROR(_xlfn.LET(_xlpm.x,VLOOKUP($C203,[1]Summary!$A$2:$J$118,9,0),IF(_xlpm.x=0,"",_xlpm.x)),"")</f>
        <v>7.9994880000000004</v>
      </c>
      <c r="Z203" s="6">
        <f>IFERROR(_xlfn.LET(_xlpm.x,VLOOKUP($C203,[1]Summary!$A$2:$J$118,10,0),IF(_xlpm.x=0,"",_xlpm.x)),"")</f>
        <v>8.9697482727787587</v>
      </c>
    </row>
    <row r="204" spans="1:26" x14ac:dyDescent="0.25">
      <c r="A204" s="2">
        <v>1000000002559</v>
      </c>
      <c r="B204" s="5" t="s">
        <v>398</v>
      </c>
      <c r="C204" s="2">
        <v>3000000001659</v>
      </c>
      <c r="D204" s="5" t="s">
        <v>399</v>
      </c>
      <c r="E204" s="1">
        <v>4</v>
      </c>
      <c r="F204" s="1" t="s">
        <v>54</v>
      </c>
      <c r="G204" s="1">
        <v>4</v>
      </c>
      <c r="H204" s="1">
        <v>2</v>
      </c>
      <c r="I204" s="1">
        <v>2</v>
      </c>
      <c r="J204" s="1"/>
      <c r="K204" s="1">
        <v>50</v>
      </c>
      <c r="L204" s="1" t="str">
        <f>IFERROR(_xlfn.LET(_xlpm.x,VLOOKUP($A204,'[1]Markings Threadings'!$B$3:$L$245,3,0),IF(_xlpm.x=0,"",_xlpm.x)),"")</f>
        <v>Yellow Orange</v>
      </c>
      <c r="M204" s="2">
        <f>IFERROR(_xlfn.LET(_xlpm.x,VLOOKUP($A204,'[1]Markings Threadings'!$B$3:$L$245,7,0),IF(_xlpm.x=0,"",_xlpm.x)),"")</f>
        <v>5000000000564</v>
      </c>
      <c r="N204" s="5" t="str">
        <f>IFERROR(_xlfn.LET(_xlpm.x,VLOOKUP($A204,'[1]Markings Threadings'!$B$3:$L$245,8,0),IF(_xlpm.x=0,"",_xlpm.x)),"")</f>
        <v>v2 - Poultry Solutions Layer 1, 50kg</v>
      </c>
      <c r="O204" s="2">
        <f>IFERROR(_xlfn.LET(_xlpm.x,VLOOKUP($A204,'[1]Markings Threadings'!$B$3:$L$245,10,0),IF(_xlpm.x=0,"",_xlpm.x)),"")</f>
        <v>5000000000116</v>
      </c>
      <c r="P204" s="5" t="str">
        <f>IFERROR(_xlfn.LET(_xlpm.x,VLOOKUP($A204,'[1]Markings Threadings'!$B$3:$L$245,11,0),IF(_xlpm.x=0,"",_xlpm.x)),"")</f>
        <v>Tag - Poultry Solutions Chicken Layer 1 Crumble</v>
      </c>
      <c r="Q204" s="1" t="str">
        <f>IFERROR(_xlfn.LET(_xlpm.x,VLOOKUP($A204,'[1]Markings Threadings'!$B$3:$L$245,4,0),IF(_xlpm.x=0,"",_xlpm.x)),"")</f>
        <v xml:space="preserve"> 2559 CL 1 P</v>
      </c>
      <c r="R204" s="1" t="str">
        <f>IFERROR(_xlfn.LET(_xlpm.x,VLOOKUP($A204,'[1]Markings Threadings'!$B$3:$L$245,5,0),IF(_xlpm.x=0,"",_xlpm.x)),"")</f>
        <v/>
      </c>
      <c r="S204" s="1">
        <f>IFERROR(_xlfn.LET(_xlpm.x,VLOOKUP($A204,'[1]Markings Threadings'!$B$3:$L$245,6,0),IF(_xlpm.x=0,"",_xlpm.x)),"")</f>
        <v>8</v>
      </c>
      <c r="T204" s="6" t="str">
        <f>IFERROR(_xlfn.LET(_xlpm.x,VLOOKUP($C204,[1]Summary!$A$2:$J$118,4,0),IF(_xlpm.x=0,"",_xlpm.x)),"")</f>
        <v/>
      </c>
      <c r="U204" s="6" t="str">
        <f>IFERROR(_xlfn.LET(_xlpm.x,VLOOKUP($C204,[1]Summary!$A$2:$J$118,5,0),IF(_xlpm.x=0,"",_xlpm.x)),"")</f>
        <v/>
      </c>
      <c r="V204" s="6" t="str">
        <f>IFERROR(_xlfn.LET(_xlpm.x,VLOOKUP($C204,[1]Summary!$A$2:$J$118,6,0),IF(_xlpm.x=0,"",_xlpm.x)),"")</f>
        <v/>
      </c>
      <c r="W204" s="6" t="str">
        <f>IFERROR(_xlfn.LET(_xlpm.x,VLOOKUP($C204,[1]Summary!$A$2:$J$118,7,0),IF(_xlpm.x=0,"",_xlpm.x)),"")</f>
        <v/>
      </c>
      <c r="X204" s="6" t="str">
        <f>IFERROR(_xlfn.LET(_xlpm.x,VLOOKUP($C204,[1]Summary!$A$2:$J$118,8,0),IF(_xlpm.x=0,"",_xlpm.x)),"")</f>
        <v/>
      </c>
      <c r="Y204" s="6" t="str">
        <f>IFERROR(_xlfn.LET(_xlpm.x,VLOOKUP($C204,[1]Summary!$A$2:$J$118,9,0),IF(_xlpm.x=0,"",_xlpm.x)),"")</f>
        <v/>
      </c>
      <c r="Z204" s="6" t="str">
        <f>IFERROR(_xlfn.LET(_xlpm.x,VLOOKUP($C204,[1]Summary!$A$2:$J$118,10,0),IF(_xlpm.x=0,"",_xlpm.x)),"")</f>
        <v/>
      </c>
    </row>
    <row r="205" spans="1:26" x14ac:dyDescent="0.25">
      <c r="A205" s="2">
        <v>1000000002560</v>
      </c>
      <c r="B205" s="5" t="s">
        <v>400</v>
      </c>
      <c r="C205" s="2">
        <v>3000000001658</v>
      </c>
      <c r="D205" s="5" t="s">
        <v>401</v>
      </c>
      <c r="E205" s="1">
        <v>4</v>
      </c>
      <c r="F205" s="1" t="s">
        <v>54</v>
      </c>
      <c r="G205" s="1">
        <v>4</v>
      </c>
      <c r="H205" s="1">
        <v>2</v>
      </c>
      <c r="I205" s="1">
        <v>2</v>
      </c>
      <c r="J205" s="1"/>
      <c r="K205" s="1">
        <v>50</v>
      </c>
      <c r="L205" s="1" t="str">
        <f>IFERROR(_xlfn.LET(_xlpm.x,VLOOKUP($A205,'[1]Markings Threadings'!$B$3:$L$245,3,0),IF(_xlpm.x=0,"",_xlpm.x)),"")</f>
        <v>Yellow Orange</v>
      </c>
      <c r="M205" s="2">
        <f>IFERROR(_xlfn.LET(_xlpm.x,VLOOKUP($A205,'[1]Markings Threadings'!$B$3:$L$245,7,0),IF(_xlpm.x=0,"",_xlpm.x)),"")</f>
        <v>5000000000565</v>
      </c>
      <c r="N205" s="5" t="str">
        <f>IFERROR(_xlfn.LET(_xlpm.x,VLOOKUP($A205,'[1]Markings Threadings'!$B$3:$L$245,8,0),IF(_xlpm.x=0,"",_xlpm.x)),"")</f>
        <v>v2 - Poultry Solutions Layer 2 50kg.</v>
      </c>
      <c r="O205" s="2">
        <f>IFERROR(_xlfn.LET(_xlpm.x,VLOOKUP($A205,'[1]Markings Threadings'!$B$3:$L$245,10,0),IF(_xlpm.x=0,"",_xlpm.x)),"")</f>
        <v>5000000000117</v>
      </c>
      <c r="P205" s="5" t="str">
        <f>IFERROR(_xlfn.LET(_xlpm.x,VLOOKUP($A205,'[1]Markings Threadings'!$B$3:$L$245,11,0),IF(_xlpm.x=0,"",_xlpm.x)),"")</f>
        <v>Tag Poultry Solutions Chicken Layer 2</v>
      </c>
      <c r="Q205" s="1" t="str">
        <f>IFERROR(_xlfn.LET(_xlpm.x,VLOOKUP($A205,'[1]Markings Threadings'!$B$3:$L$245,4,0),IF(_xlpm.x=0,"",_xlpm.x)),"")</f>
        <v xml:space="preserve"> 2560 CL 2 P</v>
      </c>
      <c r="R205" s="1" t="str">
        <f>IFERROR(_xlfn.LET(_xlpm.x,VLOOKUP($A205,'[1]Markings Threadings'!$B$3:$L$245,5,0),IF(_xlpm.x=0,"",_xlpm.x)),"")</f>
        <v/>
      </c>
      <c r="S205" s="1">
        <f>IFERROR(_xlfn.LET(_xlpm.x,VLOOKUP($A205,'[1]Markings Threadings'!$B$3:$L$245,6,0),IF(_xlpm.x=0,"",_xlpm.x)),"")</f>
        <v>7</v>
      </c>
      <c r="T205" s="6" t="str">
        <f>IFERROR(_xlfn.LET(_xlpm.x,VLOOKUP($C205,[1]Summary!$A$2:$J$118,4,0),IF(_xlpm.x=0,"",_xlpm.x)),"")</f>
        <v/>
      </c>
      <c r="U205" s="6" t="str">
        <f>IFERROR(_xlfn.LET(_xlpm.x,VLOOKUP($C205,[1]Summary!$A$2:$J$118,5,0),IF(_xlpm.x=0,"",_xlpm.x)),"")</f>
        <v/>
      </c>
      <c r="V205" s="6" t="str">
        <f>IFERROR(_xlfn.LET(_xlpm.x,VLOOKUP($C205,[1]Summary!$A$2:$J$118,6,0),IF(_xlpm.x=0,"",_xlpm.x)),"")</f>
        <v/>
      </c>
      <c r="W205" s="6">
        <f>IFERROR(_xlfn.LET(_xlpm.x,VLOOKUP($C205,[1]Summary!$A$2:$J$118,7,0),IF(_xlpm.x=0,"",_xlpm.x)),"")</f>
        <v>8.8504973617021285</v>
      </c>
      <c r="X205" s="6" t="str">
        <f>IFERROR(_xlfn.LET(_xlpm.x,VLOOKUP($C205,[1]Summary!$A$2:$J$118,8,0),IF(_xlpm.x=0,"",_xlpm.x)),"")</f>
        <v/>
      </c>
      <c r="Y205" s="6" t="str">
        <f>IFERROR(_xlfn.LET(_xlpm.x,VLOOKUP($C205,[1]Summary!$A$2:$J$118,9,0),IF(_xlpm.x=0,"",_xlpm.x)),"")</f>
        <v/>
      </c>
      <c r="Z205" s="6" t="str">
        <f>IFERROR(_xlfn.LET(_xlpm.x,VLOOKUP($C205,[1]Summary!$A$2:$J$118,10,0),IF(_xlpm.x=0,"",_xlpm.x)),"")</f>
        <v/>
      </c>
    </row>
    <row r="206" spans="1:26" x14ac:dyDescent="0.25">
      <c r="A206" s="2">
        <v>1000000002561</v>
      </c>
      <c r="B206" s="5" t="s">
        <v>402</v>
      </c>
      <c r="C206" s="2">
        <v>3000000001657</v>
      </c>
      <c r="D206" s="5" t="s">
        <v>403</v>
      </c>
      <c r="E206" s="1">
        <v>4</v>
      </c>
      <c r="F206" s="1" t="s">
        <v>54</v>
      </c>
      <c r="G206" s="1">
        <v>4</v>
      </c>
      <c r="H206" s="1">
        <v>2</v>
      </c>
      <c r="I206" s="1">
        <v>2</v>
      </c>
      <c r="J206" s="1"/>
      <c r="K206" s="1">
        <v>50</v>
      </c>
      <c r="L206" s="1" t="str">
        <f>IFERROR(_xlfn.LET(_xlpm.x,VLOOKUP($A206,'[1]Markings Threadings'!$B$3:$L$245,3,0),IF(_xlpm.x=0,"",_xlpm.x)),"")</f>
        <v>Green Orange</v>
      </c>
      <c r="M206" s="2">
        <f>IFERROR(_xlfn.LET(_xlpm.x,VLOOKUP($A206,'[1]Markings Threadings'!$B$3:$L$245,7,0),IF(_xlpm.x=0,"",_xlpm.x)),"")</f>
        <v>5000000000038</v>
      </c>
      <c r="N206" s="5" t="str">
        <f>IFERROR(_xlfn.LET(_xlpm.x,VLOOKUP($A206,'[1]Markings Threadings'!$B$3:$L$245,8,0),IF(_xlpm.x=0,"",_xlpm.x)),"")</f>
        <v>Empty Sack - Plain White Sacks 50 kg</v>
      </c>
      <c r="O206" s="2" t="str">
        <f>IFERROR(_xlfn.LET(_xlpm.x,VLOOKUP($A206,'[1]Markings Threadings'!$B$3:$L$245,10,0),IF(_xlpm.x=0,"",_xlpm.x)),"")</f>
        <v/>
      </c>
      <c r="P206" s="5" t="str">
        <f>IFERROR(_xlfn.LET(_xlpm.x,VLOOKUP($A206,'[1]Markings Threadings'!$B$3:$L$245,11,0),IF(_xlpm.x=0,"",_xlpm.x)),"")</f>
        <v/>
      </c>
      <c r="Q206" s="1" t="str">
        <f>IFERROR(_xlfn.LET(_xlpm.x,VLOOKUP($A206,'[1]Markings Threadings'!$B$3:$L$245,4,0),IF(_xlpm.x=0,"",_xlpm.x)),"")</f>
        <v xml:space="preserve"> 2561 CL 3 P</v>
      </c>
      <c r="R206" s="1" t="str">
        <f>IFERROR(_xlfn.LET(_xlpm.x,VLOOKUP($A206,'[1]Markings Threadings'!$B$3:$L$245,5,0),IF(_xlpm.x=0,"",_xlpm.x)),"")</f>
        <v/>
      </c>
      <c r="S206" s="1">
        <f>IFERROR(_xlfn.LET(_xlpm.x,VLOOKUP($A206,'[1]Markings Threadings'!$B$3:$L$245,6,0),IF(_xlpm.x=0,"",_xlpm.x)),"")</f>
        <v>7</v>
      </c>
      <c r="T206" s="6" t="str">
        <f>IFERROR(_xlfn.LET(_xlpm.x,VLOOKUP($C206,[1]Summary!$A$2:$J$118,4,0),IF(_xlpm.x=0,"",_xlpm.x)),"")</f>
        <v/>
      </c>
      <c r="U206" s="6" t="str">
        <f>IFERROR(_xlfn.LET(_xlpm.x,VLOOKUP($C206,[1]Summary!$A$2:$J$118,5,0),IF(_xlpm.x=0,"",_xlpm.x)),"")</f>
        <v/>
      </c>
      <c r="V206" s="6" t="str">
        <f>IFERROR(_xlfn.LET(_xlpm.x,VLOOKUP($C206,[1]Summary!$A$2:$J$118,6,0),IF(_xlpm.x=0,"",_xlpm.x)),"")</f>
        <v/>
      </c>
      <c r="W206" s="6" t="str">
        <f>IFERROR(_xlfn.LET(_xlpm.x,VLOOKUP($C206,[1]Summary!$A$2:$J$118,7,0),IF(_xlpm.x=0,"",_xlpm.x)),"")</f>
        <v/>
      </c>
      <c r="X206" s="6" t="str">
        <f>IFERROR(_xlfn.LET(_xlpm.x,VLOOKUP($C206,[1]Summary!$A$2:$J$118,8,0),IF(_xlpm.x=0,"",_xlpm.x)),"")</f>
        <v/>
      </c>
      <c r="Y206" s="6" t="str">
        <f>IFERROR(_xlfn.LET(_xlpm.x,VLOOKUP($C206,[1]Summary!$A$2:$J$118,9,0),IF(_xlpm.x=0,"",_xlpm.x)),"")</f>
        <v/>
      </c>
      <c r="Z206" s="6" t="str">
        <f>IFERROR(_xlfn.LET(_xlpm.x,VLOOKUP($C206,[1]Summary!$A$2:$J$118,10,0),IF(_xlpm.x=0,"",_xlpm.x)),"")</f>
        <v/>
      </c>
    </row>
    <row r="207" spans="1:26" x14ac:dyDescent="0.25">
      <c r="A207" s="2">
        <v>1000000002508</v>
      </c>
      <c r="B207" s="5" t="s">
        <v>404</v>
      </c>
      <c r="C207" s="2">
        <v>3000000001662</v>
      </c>
      <c r="D207" s="5" t="s">
        <v>405</v>
      </c>
      <c r="E207" s="1">
        <v>4</v>
      </c>
      <c r="F207" s="1" t="s">
        <v>54</v>
      </c>
      <c r="G207" s="1">
        <v>4</v>
      </c>
      <c r="H207" s="1">
        <v>2</v>
      </c>
      <c r="I207" s="1">
        <v>2</v>
      </c>
      <c r="J207" s="1"/>
      <c r="K207" s="1">
        <v>50</v>
      </c>
      <c r="L207" s="1" t="str">
        <f>IFERROR(_xlfn.LET(_xlpm.x,VLOOKUP($A207,'[1]Markings Threadings'!$B$3:$L$245,3,0),IF(_xlpm.x=0,"",_xlpm.x)),"")</f>
        <v>Green Orange</v>
      </c>
      <c r="M207" s="2">
        <f>IFERROR(_xlfn.LET(_xlpm.x,VLOOKUP($A207,'[1]Markings Threadings'!$B$3:$L$245,7,0),IF(_xlpm.x=0,"",_xlpm.x)),"")</f>
        <v>5000000000564</v>
      </c>
      <c r="N207" s="5" t="str">
        <f>IFERROR(_xlfn.LET(_xlpm.x,VLOOKUP($A207,'[1]Markings Threadings'!$B$3:$L$245,8,0),IF(_xlpm.x=0,"",_xlpm.x)),"")</f>
        <v>v2 - Poultry Solutions Layer 1, 50kg</v>
      </c>
      <c r="O207" s="2">
        <f>IFERROR(_xlfn.LET(_xlpm.x,VLOOKUP($A207,'[1]Markings Threadings'!$B$3:$L$245,10,0),IF(_xlpm.x=0,"",_xlpm.x)),"")</f>
        <v>5000000000116</v>
      </c>
      <c r="P207" s="5" t="str">
        <f>IFERROR(_xlfn.LET(_xlpm.x,VLOOKUP($A207,'[1]Markings Threadings'!$B$3:$L$245,11,0),IF(_xlpm.x=0,"",_xlpm.x)),"")</f>
        <v>Tag - Poultry Solutions Chicken Layer 1 Crumble</v>
      </c>
      <c r="Q207" s="1" t="str">
        <f>IFERROR(_xlfn.LET(_xlpm.x,VLOOKUP($A207,'[1]Markings Threadings'!$B$3:$L$245,4,0),IF(_xlpm.x=0,"",_xlpm.x)),"")</f>
        <v>2508 CL 1 - M</v>
      </c>
      <c r="R207" s="1" t="str">
        <f>IFERROR(_xlfn.LET(_xlpm.x,VLOOKUP($A207,'[1]Markings Threadings'!$B$3:$L$245,5,0),IF(_xlpm.x=0,"",_xlpm.x)),"")</f>
        <v/>
      </c>
      <c r="S207" s="1">
        <f>IFERROR(_xlfn.LET(_xlpm.x,VLOOKUP($A207,'[1]Markings Threadings'!$B$3:$L$245,6,0),IF(_xlpm.x=0,"",_xlpm.x)),"")</f>
        <v>8</v>
      </c>
      <c r="T207" s="6" t="str">
        <f>IFERROR(_xlfn.LET(_xlpm.x,VLOOKUP($C207,[1]Summary!$A$2:$J$118,4,0),IF(_xlpm.x=0,"",_xlpm.x)),"")</f>
        <v/>
      </c>
      <c r="U207" s="6" t="str">
        <f>IFERROR(_xlfn.LET(_xlpm.x,VLOOKUP($C207,[1]Summary!$A$2:$J$118,5,0),IF(_xlpm.x=0,"",_xlpm.x)),"")</f>
        <v/>
      </c>
      <c r="V207" s="6" t="str">
        <f>IFERROR(_xlfn.LET(_xlpm.x,VLOOKUP($C207,[1]Summary!$A$2:$J$118,6,0),IF(_xlpm.x=0,"",_xlpm.x)),"")</f>
        <v/>
      </c>
      <c r="W207" s="6" t="str">
        <f>IFERROR(_xlfn.LET(_xlpm.x,VLOOKUP($C207,[1]Summary!$A$2:$J$118,7,0),IF(_xlpm.x=0,"",_xlpm.x)),"")</f>
        <v/>
      </c>
      <c r="X207" s="6" t="str">
        <f>IFERROR(_xlfn.LET(_xlpm.x,VLOOKUP($C207,[1]Summary!$A$2:$J$118,8,0),IF(_xlpm.x=0,"",_xlpm.x)),"")</f>
        <v/>
      </c>
      <c r="Y207" s="6" t="str">
        <f>IFERROR(_xlfn.LET(_xlpm.x,VLOOKUP($C207,[1]Summary!$A$2:$J$118,9,0),IF(_xlpm.x=0,"",_xlpm.x)),"")</f>
        <v/>
      </c>
      <c r="Z207" s="6" t="str">
        <f>IFERROR(_xlfn.LET(_xlpm.x,VLOOKUP($C207,[1]Summary!$A$2:$J$118,10,0),IF(_xlpm.x=0,"",_xlpm.x)),"")</f>
        <v/>
      </c>
    </row>
    <row r="208" spans="1:26" x14ac:dyDescent="0.25">
      <c r="A208" s="2">
        <v>1000000002509</v>
      </c>
      <c r="B208" s="5" t="s">
        <v>406</v>
      </c>
      <c r="C208" s="2">
        <v>3000000001661</v>
      </c>
      <c r="D208" s="5" t="s">
        <v>407</v>
      </c>
      <c r="E208" s="1">
        <v>4</v>
      </c>
      <c r="F208" s="1" t="s">
        <v>54</v>
      </c>
      <c r="G208" s="1">
        <v>4</v>
      </c>
      <c r="H208" s="1">
        <v>2</v>
      </c>
      <c r="I208" s="1">
        <v>2</v>
      </c>
      <c r="J208" s="1"/>
      <c r="K208" s="1">
        <v>50</v>
      </c>
      <c r="L208" s="1" t="str">
        <f>IFERROR(_xlfn.LET(_xlpm.x,VLOOKUP($A208,'[1]Markings Threadings'!$B$3:$L$245,3,0),IF(_xlpm.x=0,"",_xlpm.x)),"")</f>
        <v>Green Orange</v>
      </c>
      <c r="M208" s="2">
        <f>IFERROR(_xlfn.LET(_xlpm.x,VLOOKUP($A208,'[1]Markings Threadings'!$B$3:$L$245,7,0),IF(_xlpm.x=0,"",_xlpm.x)),"")</f>
        <v>5000000000565</v>
      </c>
      <c r="N208" s="5" t="str">
        <f>IFERROR(_xlfn.LET(_xlpm.x,VLOOKUP($A208,'[1]Markings Threadings'!$B$3:$L$245,8,0),IF(_xlpm.x=0,"",_xlpm.x)),"")</f>
        <v>v2 - Poultry Solutions Layer 2 50kg.</v>
      </c>
      <c r="O208" s="2">
        <f>IFERROR(_xlfn.LET(_xlpm.x,VLOOKUP($A208,'[1]Markings Threadings'!$B$3:$L$245,10,0),IF(_xlpm.x=0,"",_xlpm.x)),"")</f>
        <v>5000000000117</v>
      </c>
      <c r="P208" s="5" t="str">
        <f>IFERROR(_xlfn.LET(_xlpm.x,VLOOKUP($A208,'[1]Markings Threadings'!$B$3:$L$245,11,0),IF(_xlpm.x=0,"",_xlpm.x)),"")</f>
        <v>Tag Poultry Solutions Chicken Layer 2</v>
      </c>
      <c r="Q208" s="1" t="str">
        <f>IFERROR(_xlfn.LET(_xlpm.x,VLOOKUP($A208,'[1]Markings Threadings'!$B$3:$L$245,4,0),IF(_xlpm.x=0,"",_xlpm.x)),"")</f>
        <v>2509 CL 2 - M</v>
      </c>
      <c r="R208" s="1" t="str">
        <f>IFERROR(_xlfn.LET(_xlpm.x,VLOOKUP($A208,'[1]Markings Threadings'!$B$3:$L$245,5,0),IF(_xlpm.x=0,"",_xlpm.x)),"")</f>
        <v/>
      </c>
      <c r="S208" s="1">
        <f>IFERROR(_xlfn.LET(_xlpm.x,VLOOKUP($A208,'[1]Markings Threadings'!$B$3:$L$245,6,0),IF(_xlpm.x=0,"",_xlpm.x)),"")</f>
        <v>7</v>
      </c>
      <c r="T208" s="6" t="str">
        <f>IFERROR(_xlfn.LET(_xlpm.x,VLOOKUP($C208,[1]Summary!$A$2:$J$118,4,0),IF(_xlpm.x=0,"",_xlpm.x)),"")</f>
        <v/>
      </c>
      <c r="U208" s="6" t="str">
        <f>IFERROR(_xlfn.LET(_xlpm.x,VLOOKUP($C208,[1]Summary!$A$2:$J$118,5,0),IF(_xlpm.x=0,"",_xlpm.x)),"")</f>
        <v/>
      </c>
      <c r="V208" s="6" t="str">
        <f>IFERROR(_xlfn.LET(_xlpm.x,VLOOKUP($C208,[1]Summary!$A$2:$J$118,6,0),IF(_xlpm.x=0,"",_xlpm.x)),"")</f>
        <v/>
      </c>
      <c r="W208" s="6" t="str">
        <f>IFERROR(_xlfn.LET(_xlpm.x,VLOOKUP($C208,[1]Summary!$A$2:$J$118,7,0),IF(_xlpm.x=0,"",_xlpm.x)),"")</f>
        <v/>
      </c>
      <c r="X208" s="6" t="str">
        <f>IFERROR(_xlfn.LET(_xlpm.x,VLOOKUP($C208,[1]Summary!$A$2:$J$118,8,0),IF(_xlpm.x=0,"",_xlpm.x)),"")</f>
        <v/>
      </c>
      <c r="Y208" s="6" t="str">
        <f>IFERROR(_xlfn.LET(_xlpm.x,VLOOKUP($C208,[1]Summary!$A$2:$J$118,9,0),IF(_xlpm.x=0,"",_xlpm.x)),"")</f>
        <v/>
      </c>
      <c r="Z208" s="6" t="str">
        <f>IFERROR(_xlfn.LET(_xlpm.x,VLOOKUP($C208,[1]Summary!$A$2:$J$118,10,0),IF(_xlpm.x=0,"",_xlpm.x)),"")</f>
        <v/>
      </c>
    </row>
    <row r="209" spans="1:26" x14ac:dyDescent="0.25">
      <c r="A209" s="2">
        <v>1000000002510</v>
      </c>
      <c r="B209" s="5" t="s">
        <v>408</v>
      </c>
      <c r="C209" s="2">
        <v>3000000001660</v>
      </c>
      <c r="D209" s="5" t="s">
        <v>409</v>
      </c>
      <c r="E209" s="1">
        <v>4</v>
      </c>
      <c r="F209" s="1" t="s">
        <v>54</v>
      </c>
      <c r="G209" s="1">
        <v>4</v>
      </c>
      <c r="H209" s="1">
        <v>2</v>
      </c>
      <c r="I209" s="1">
        <v>2</v>
      </c>
      <c r="J209" s="1"/>
      <c r="K209" s="1">
        <v>50</v>
      </c>
      <c r="L209" s="1" t="str">
        <f>IFERROR(_xlfn.LET(_xlpm.x,VLOOKUP($A209,'[1]Markings Threadings'!$B$3:$L$245,3,0),IF(_xlpm.x=0,"",_xlpm.x)),"")</f>
        <v>Yellow Orange</v>
      </c>
      <c r="M209" s="2">
        <f>IFERROR(_xlfn.LET(_xlpm.x,VLOOKUP($A209,'[1]Markings Threadings'!$B$3:$L$245,7,0),IF(_xlpm.x=0,"",_xlpm.x)),"")</f>
        <v>5000000000038</v>
      </c>
      <c r="N209" s="5" t="str">
        <f>IFERROR(_xlfn.LET(_xlpm.x,VLOOKUP($A209,'[1]Markings Threadings'!$B$3:$L$245,8,0),IF(_xlpm.x=0,"",_xlpm.x)),"")</f>
        <v>Empty Sack - Plain White Sacks 50 kg</v>
      </c>
      <c r="O209" s="2" t="str">
        <f>IFERROR(_xlfn.LET(_xlpm.x,VLOOKUP($A209,'[1]Markings Threadings'!$B$3:$L$245,10,0),IF(_xlpm.x=0,"",_xlpm.x)),"")</f>
        <v/>
      </c>
      <c r="P209" s="5" t="str">
        <f>IFERROR(_xlfn.LET(_xlpm.x,VLOOKUP($A209,'[1]Markings Threadings'!$B$3:$L$245,11,0),IF(_xlpm.x=0,"",_xlpm.x)),"")</f>
        <v/>
      </c>
      <c r="Q209" s="1" t="str">
        <f>IFERROR(_xlfn.LET(_xlpm.x,VLOOKUP($A209,'[1]Markings Threadings'!$B$3:$L$245,4,0),IF(_xlpm.x=0,"",_xlpm.x)),"")</f>
        <v>2510 CL 3 - M</v>
      </c>
      <c r="R209" s="1" t="str">
        <f>IFERROR(_xlfn.LET(_xlpm.x,VLOOKUP($A209,'[1]Markings Threadings'!$B$3:$L$245,5,0),IF(_xlpm.x=0,"",_xlpm.x)),"")</f>
        <v/>
      </c>
      <c r="S209" s="1">
        <f>IFERROR(_xlfn.LET(_xlpm.x,VLOOKUP($A209,'[1]Markings Threadings'!$B$3:$L$245,6,0),IF(_xlpm.x=0,"",_xlpm.x)),"")</f>
        <v>7</v>
      </c>
      <c r="T209" s="6" t="str">
        <f>IFERROR(_xlfn.LET(_xlpm.x,VLOOKUP($C209,[1]Summary!$A$2:$J$118,4,0),IF(_xlpm.x=0,"",_xlpm.x)),"")</f>
        <v/>
      </c>
      <c r="U209" s="6" t="str">
        <f>IFERROR(_xlfn.LET(_xlpm.x,VLOOKUP($C209,[1]Summary!$A$2:$J$118,5,0),IF(_xlpm.x=0,"",_xlpm.x)),"")</f>
        <v/>
      </c>
      <c r="V209" s="6" t="str">
        <f>IFERROR(_xlfn.LET(_xlpm.x,VLOOKUP($C209,[1]Summary!$A$2:$J$118,6,0),IF(_xlpm.x=0,"",_xlpm.x)),"")</f>
        <v/>
      </c>
      <c r="W209" s="6" t="str">
        <f>IFERROR(_xlfn.LET(_xlpm.x,VLOOKUP($C209,[1]Summary!$A$2:$J$118,7,0),IF(_xlpm.x=0,"",_xlpm.x)),"")</f>
        <v/>
      </c>
      <c r="X209" s="6" t="str">
        <f>IFERROR(_xlfn.LET(_xlpm.x,VLOOKUP($C209,[1]Summary!$A$2:$J$118,8,0),IF(_xlpm.x=0,"",_xlpm.x)),"")</f>
        <v/>
      </c>
      <c r="Y209" s="6" t="str">
        <f>IFERROR(_xlfn.LET(_xlpm.x,VLOOKUP($C209,[1]Summary!$A$2:$J$118,9,0),IF(_xlpm.x=0,"",_xlpm.x)),"")</f>
        <v/>
      </c>
      <c r="Z209" s="6" t="str">
        <f>IFERROR(_xlfn.LET(_xlpm.x,VLOOKUP($C209,[1]Summary!$A$2:$J$118,10,0),IF(_xlpm.x=0,"",_xlpm.x)),"")</f>
        <v/>
      </c>
    </row>
    <row r="210" spans="1:26" x14ac:dyDescent="0.25">
      <c r="A210" s="2">
        <v>1000000002622</v>
      </c>
      <c r="B210" s="5" t="s">
        <v>410</v>
      </c>
      <c r="C210" s="2">
        <v>3000000000334</v>
      </c>
      <c r="D210" s="5" t="s">
        <v>150</v>
      </c>
      <c r="E210" s="1">
        <v>3</v>
      </c>
      <c r="F210" s="1" t="s">
        <v>86</v>
      </c>
      <c r="G210" s="1">
        <v>4</v>
      </c>
      <c r="H210" s="1">
        <v>2</v>
      </c>
      <c r="I210" s="1">
        <v>2</v>
      </c>
      <c r="J210" s="1"/>
      <c r="K210" s="1">
        <v>500</v>
      </c>
      <c r="L210" s="1" t="str">
        <f>IFERROR(_xlfn.LET(_xlpm.x,VLOOKUP($A210,'[1]Markings Threadings'!$B$3:$L$245,3,0),IF(_xlpm.x=0,"",_xlpm.x)),"")</f>
        <v/>
      </c>
      <c r="M210" s="2" t="str">
        <f>IFERROR(_xlfn.LET(_xlpm.x,VLOOKUP($A210,'[1]Markings Threadings'!$B$3:$L$245,7,0),IF(_xlpm.x=0,"",_xlpm.x)),"")</f>
        <v/>
      </c>
      <c r="N210" s="5" t="str">
        <f>IFERROR(_xlfn.LET(_xlpm.x,VLOOKUP($A210,'[1]Markings Threadings'!$B$3:$L$245,8,0),IF(_xlpm.x=0,"",_xlpm.x)),"")</f>
        <v/>
      </c>
      <c r="O210" s="2" t="str">
        <f>IFERROR(_xlfn.LET(_xlpm.x,VLOOKUP($A210,'[1]Markings Threadings'!$B$3:$L$245,10,0),IF(_xlpm.x=0,"",_xlpm.x)),"")</f>
        <v/>
      </c>
      <c r="P210" s="5" t="str">
        <f>IFERROR(_xlfn.LET(_xlpm.x,VLOOKUP($A210,'[1]Markings Threadings'!$B$3:$L$245,11,0),IF(_xlpm.x=0,"",_xlpm.x)),"")</f>
        <v/>
      </c>
      <c r="Q210" s="1" t="str">
        <f>IFERROR(_xlfn.LET(_xlpm.x,VLOOKUP($A210,'[1]Markings Threadings'!$B$3:$L$245,4,0),IF(_xlpm.x=0,"",_xlpm.x)),"")</f>
        <v/>
      </c>
      <c r="R210" s="1" t="str">
        <f>IFERROR(_xlfn.LET(_xlpm.x,VLOOKUP($A210,'[1]Markings Threadings'!$B$3:$L$245,5,0),IF(_xlpm.x=0,"",_xlpm.x)),"")</f>
        <v/>
      </c>
      <c r="S210" s="1" t="str">
        <f>IFERROR(_xlfn.LET(_xlpm.x,VLOOKUP($A210,'[1]Markings Threadings'!$B$3:$L$245,6,0),IF(_xlpm.x=0,"",_xlpm.x)),"")</f>
        <v/>
      </c>
      <c r="T210" s="6" t="str">
        <f>IFERROR(_xlfn.LET(_xlpm.x,VLOOKUP($C210,[1]Summary!$A$2:$J$118,4,0),IF(_xlpm.x=0,"",_xlpm.x)),"")</f>
        <v/>
      </c>
      <c r="U210" s="6" t="str">
        <f>IFERROR(_xlfn.LET(_xlpm.x,VLOOKUP($C210,[1]Summary!$A$2:$J$118,5,0),IF(_xlpm.x=0,"",_xlpm.x)),"")</f>
        <v/>
      </c>
      <c r="V210" s="6" t="str">
        <f>IFERROR(_xlfn.LET(_xlpm.x,VLOOKUP($C210,[1]Summary!$A$2:$J$118,6,0),IF(_xlpm.x=0,"",_xlpm.x)),"")</f>
        <v/>
      </c>
      <c r="W210" s="6" t="str">
        <f>IFERROR(_xlfn.LET(_xlpm.x,VLOOKUP($C210,[1]Summary!$A$2:$J$118,7,0),IF(_xlpm.x=0,"",_xlpm.x)),"")</f>
        <v/>
      </c>
      <c r="X210" s="6" t="str">
        <f>IFERROR(_xlfn.LET(_xlpm.x,VLOOKUP($C210,[1]Summary!$A$2:$J$118,8,0),IF(_xlpm.x=0,"",_xlpm.x)),"")</f>
        <v/>
      </c>
      <c r="Y210" s="6">
        <f>IFERROR(_xlfn.LET(_xlpm.x,VLOOKUP($C210,[1]Summary!$A$2:$J$118,9,0),IF(_xlpm.x=0,"",_xlpm.x)),"")</f>
        <v>8.790730878519879</v>
      </c>
      <c r="Z210" s="6">
        <f>IFERROR(_xlfn.LET(_xlpm.x,VLOOKUP($C210,[1]Summary!$A$2:$J$118,10,0),IF(_xlpm.x=0,"",_xlpm.x)),"")</f>
        <v>8.8950432357455878</v>
      </c>
    </row>
    <row r="211" spans="1:26" x14ac:dyDescent="0.25">
      <c r="A211" s="2">
        <v>1000000002623</v>
      </c>
      <c r="B211" s="5" t="s">
        <v>411</v>
      </c>
      <c r="C211" s="2">
        <v>3000000000332</v>
      </c>
      <c r="D211" s="5" t="s">
        <v>130</v>
      </c>
      <c r="E211" s="1">
        <v>3</v>
      </c>
      <c r="F211" s="1" t="s">
        <v>67</v>
      </c>
      <c r="G211" s="1">
        <v>4</v>
      </c>
      <c r="H211" s="1">
        <v>2</v>
      </c>
      <c r="I211" s="1">
        <v>2</v>
      </c>
      <c r="J211" s="1"/>
      <c r="K211" s="1">
        <v>500</v>
      </c>
      <c r="L211" s="1" t="str">
        <f>IFERROR(_xlfn.LET(_xlpm.x,VLOOKUP($A211,'[1]Markings Threadings'!$B$3:$L$245,3,0),IF(_xlpm.x=0,"",_xlpm.x)),"")</f>
        <v/>
      </c>
      <c r="M211" s="2" t="str">
        <f>IFERROR(_xlfn.LET(_xlpm.x,VLOOKUP($A211,'[1]Markings Threadings'!$B$3:$L$245,7,0),IF(_xlpm.x=0,"",_xlpm.x)),"")</f>
        <v/>
      </c>
      <c r="N211" s="5" t="str">
        <f>IFERROR(_xlfn.LET(_xlpm.x,VLOOKUP($A211,'[1]Markings Threadings'!$B$3:$L$245,8,0),IF(_xlpm.x=0,"",_xlpm.x)),"")</f>
        <v/>
      </c>
      <c r="O211" s="2" t="str">
        <f>IFERROR(_xlfn.LET(_xlpm.x,VLOOKUP($A211,'[1]Markings Threadings'!$B$3:$L$245,10,0),IF(_xlpm.x=0,"",_xlpm.x)),"")</f>
        <v/>
      </c>
      <c r="P211" s="5" t="str">
        <f>IFERROR(_xlfn.LET(_xlpm.x,VLOOKUP($A211,'[1]Markings Threadings'!$B$3:$L$245,11,0),IF(_xlpm.x=0,"",_xlpm.x)),"")</f>
        <v/>
      </c>
      <c r="Q211" s="1" t="str">
        <f>IFERROR(_xlfn.LET(_xlpm.x,VLOOKUP($A211,'[1]Markings Threadings'!$B$3:$L$245,4,0),IF(_xlpm.x=0,"",_xlpm.x)),"")</f>
        <v/>
      </c>
      <c r="R211" s="1" t="str">
        <f>IFERROR(_xlfn.LET(_xlpm.x,VLOOKUP($A211,'[1]Markings Threadings'!$B$3:$L$245,5,0),IF(_xlpm.x=0,"",_xlpm.x)),"")</f>
        <v/>
      </c>
      <c r="S211" s="1" t="str">
        <f>IFERROR(_xlfn.LET(_xlpm.x,VLOOKUP($A211,'[1]Markings Threadings'!$B$3:$L$245,6,0),IF(_xlpm.x=0,"",_xlpm.x)),"")</f>
        <v/>
      </c>
      <c r="T211" s="6" t="str">
        <f>IFERROR(_xlfn.LET(_xlpm.x,VLOOKUP($C211,[1]Summary!$A$2:$J$118,4,0),IF(_xlpm.x=0,"",_xlpm.x)),"")</f>
        <v/>
      </c>
      <c r="U211" s="6" t="str">
        <f>IFERROR(_xlfn.LET(_xlpm.x,VLOOKUP($C211,[1]Summary!$A$2:$J$118,5,0),IF(_xlpm.x=0,"",_xlpm.x)),"")</f>
        <v/>
      </c>
      <c r="V211" s="6">
        <f>IFERROR(_xlfn.LET(_xlpm.x,VLOOKUP($C211,[1]Summary!$A$2:$J$118,6,0),IF(_xlpm.x=0,"",_xlpm.x)),"")</f>
        <v>7.3654889180740462</v>
      </c>
      <c r="W211" s="6">
        <f>IFERROR(_xlfn.LET(_xlpm.x,VLOOKUP($C211,[1]Summary!$A$2:$J$118,7,0),IF(_xlpm.x=0,"",_xlpm.x)),"")</f>
        <v>7.7137920000000006</v>
      </c>
      <c r="X211" s="6" t="str">
        <f>IFERROR(_xlfn.LET(_xlpm.x,VLOOKUP($C211,[1]Summary!$A$2:$J$118,8,0),IF(_xlpm.x=0,"",_xlpm.x)),"")</f>
        <v/>
      </c>
      <c r="Y211" s="6" t="str">
        <f>IFERROR(_xlfn.LET(_xlpm.x,VLOOKUP($C211,[1]Summary!$A$2:$J$118,9,0),IF(_xlpm.x=0,"",_xlpm.x)),"")</f>
        <v/>
      </c>
      <c r="Z211" s="6" t="str">
        <f>IFERROR(_xlfn.LET(_xlpm.x,VLOOKUP($C211,[1]Summary!$A$2:$J$118,10,0),IF(_xlpm.x=0,"",_xlpm.x)),"")</f>
        <v/>
      </c>
    </row>
    <row r="212" spans="1:26" x14ac:dyDescent="0.25">
      <c r="A212" s="2">
        <v>1000000002624</v>
      </c>
      <c r="B212" s="5" t="s">
        <v>412</v>
      </c>
      <c r="C212" s="2">
        <v>3000000000330</v>
      </c>
      <c r="D212" s="5" t="s">
        <v>163</v>
      </c>
      <c r="E212" s="1">
        <v>4</v>
      </c>
      <c r="F212" s="1" t="s">
        <v>47</v>
      </c>
      <c r="G212" s="1">
        <v>4</v>
      </c>
      <c r="H212" s="1">
        <v>2</v>
      </c>
      <c r="I212" s="1">
        <v>2</v>
      </c>
      <c r="J212" s="1"/>
      <c r="K212" s="1">
        <v>500</v>
      </c>
      <c r="L212" s="1" t="str">
        <f>IFERROR(_xlfn.LET(_xlpm.x,VLOOKUP($A212,'[1]Markings Threadings'!$B$3:$L$245,3,0),IF(_xlpm.x=0,"",_xlpm.x)),"")</f>
        <v/>
      </c>
      <c r="M212" s="2" t="str">
        <f>IFERROR(_xlfn.LET(_xlpm.x,VLOOKUP($A212,'[1]Markings Threadings'!$B$3:$L$245,7,0),IF(_xlpm.x=0,"",_xlpm.x)),"")</f>
        <v/>
      </c>
      <c r="N212" s="5" t="str">
        <f>IFERROR(_xlfn.LET(_xlpm.x,VLOOKUP($A212,'[1]Markings Threadings'!$B$3:$L$245,8,0),IF(_xlpm.x=0,"",_xlpm.x)),"")</f>
        <v/>
      </c>
      <c r="O212" s="2" t="str">
        <f>IFERROR(_xlfn.LET(_xlpm.x,VLOOKUP($A212,'[1]Markings Threadings'!$B$3:$L$245,10,0),IF(_xlpm.x=0,"",_xlpm.x)),"")</f>
        <v/>
      </c>
      <c r="P212" s="5" t="str">
        <f>IFERROR(_xlfn.LET(_xlpm.x,VLOOKUP($A212,'[1]Markings Threadings'!$B$3:$L$245,11,0),IF(_xlpm.x=0,"",_xlpm.x)),"")</f>
        <v/>
      </c>
      <c r="Q212" s="1" t="str">
        <f>IFERROR(_xlfn.LET(_xlpm.x,VLOOKUP($A212,'[1]Markings Threadings'!$B$3:$L$245,4,0),IF(_xlpm.x=0,"",_xlpm.x)),"")</f>
        <v/>
      </c>
      <c r="R212" s="1" t="str">
        <f>IFERROR(_xlfn.LET(_xlpm.x,VLOOKUP($A212,'[1]Markings Threadings'!$B$3:$L$245,5,0),IF(_xlpm.x=0,"",_xlpm.x)),"")</f>
        <v/>
      </c>
      <c r="S212" s="1" t="str">
        <f>IFERROR(_xlfn.LET(_xlpm.x,VLOOKUP($A212,'[1]Markings Threadings'!$B$3:$L$245,6,0),IF(_xlpm.x=0,"",_xlpm.x)),"")</f>
        <v/>
      </c>
      <c r="T212" s="6" t="str">
        <f>IFERROR(_xlfn.LET(_xlpm.x,VLOOKUP($C212,[1]Summary!$A$2:$J$118,4,0),IF(_xlpm.x=0,"",_xlpm.x)),"")</f>
        <v/>
      </c>
      <c r="U212" s="6" t="str">
        <f>IFERROR(_xlfn.LET(_xlpm.x,VLOOKUP($C212,[1]Summary!$A$2:$J$118,5,0),IF(_xlpm.x=0,"",_xlpm.x)),"")</f>
        <v/>
      </c>
      <c r="V212" s="6" t="str">
        <f>IFERROR(_xlfn.LET(_xlpm.x,VLOOKUP($C212,[1]Summary!$A$2:$J$118,6,0),IF(_xlpm.x=0,"",_xlpm.x)),"")</f>
        <v/>
      </c>
      <c r="W212" s="6">
        <f>IFERROR(_xlfn.LET(_xlpm.x,VLOOKUP($C212,[1]Summary!$A$2:$J$118,7,0),IF(_xlpm.x=0,"",_xlpm.x)),"")</f>
        <v>8.3932654179324739</v>
      </c>
      <c r="X212" s="6" t="str">
        <f>IFERROR(_xlfn.LET(_xlpm.x,VLOOKUP($C212,[1]Summary!$A$2:$J$118,8,0),IF(_xlpm.x=0,"",_xlpm.x)),"")</f>
        <v/>
      </c>
      <c r="Y212" s="6" t="str">
        <f>IFERROR(_xlfn.LET(_xlpm.x,VLOOKUP($C212,[1]Summary!$A$2:$J$118,9,0),IF(_xlpm.x=0,"",_xlpm.x)),"")</f>
        <v/>
      </c>
      <c r="Z212" s="6" t="str">
        <f>IFERROR(_xlfn.LET(_xlpm.x,VLOOKUP($C212,[1]Summary!$A$2:$J$118,10,0),IF(_xlpm.x=0,"",_xlpm.x)),"")</f>
        <v/>
      </c>
    </row>
    <row r="213" spans="1:26" x14ac:dyDescent="0.25">
      <c r="A213" s="2">
        <v>1000000002625</v>
      </c>
      <c r="B213" s="5" t="s">
        <v>413</v>
      </c>
      <c r="C213" s="2">
        <v>3000000001691</v>
      </c>
      <c r="D213" s="5" t="s">
        <v>414</v>
      </c>
      <c r="E213" s="1"/>
      <c r="F213" s="1" t="s">
        <v>44</v>
      </c>
      <c r="G213" s="1">
        <v>4</v>
      </c>
      <c r="H213" s="1">
        <v>2</v>
      </c>
      <c r="I213" s="1">
        <v>2</v>
      </c>
      <c r="J213" s="1"/>
      <c r="K213" s="1">
        <v>50</v>
      </c>
      <c r="L213" s="1" t="str">
        <f>IFERROR(_xlfn.LET(_xlpm.x,VLOOKUP($A213,'[1]Markings Threadings'!$B$3:$L$245,3,0),IF(_xlpm.x=0,"",_xlpm.x)),"")</f>
        <v>White</v>
      </c>
      <c r="M213" s="2">
        <f>IFERROR(_xlfn.LET(_xlpm.x,VLOOKUP($A213,'[1]Markings Threadings'!$B$3:$L$245,7,0),IF(_xlpm.x=0,"",_xlpm.x)),"")</f>
        <v>5000000000038</v>
      </c>
      <c r="N213" s="5" t="str">
        <f>IFERROR(_xlfn.LET(_xlpm.x,VLOOKUP($A213,'[1]Markings Threadings'!$B$3:$L$245,8,0),IF(_xlpm.x=0,"",_xlpm.x)),"")</f>
        <v>Empty Sack - Plain White Sacks 50 kg</v>
      </c>
      <c r="O213" s="2" t="str">
        <f>IFERROR(_xlfn.LET(_xlpm.x,VLOOKUP($A213,'[1]Markings Threadings'!$B$3:$L$245,10,0),IF(_xlpm.x=0,"",_xlpm.x)),"")</f>
        <v/>
      </c>
      <c r="P213" s="5" t="str">
        <f>IFERROR(_xlfn.LET(_xlpm.x,VLOOKUP($A213,'[1]Markings Threadings'!$B$3:$L$245,11,0),IF(_xlpm.x=0,"",_xlpm.x)),"")</f>
        <v/>
      </c>
      <c r="Q213" s="1" t="str">
        <f>IFERROR(_xlfn.LET(_xlpm.x,VLOOKUP($A213,'[1]Markings Threadings'!$B$3:$L$245,4,0),IF(_xlpm.x=0,"",_xlpm.x)),"")</f>
        <v>2625 LYMX CON</v>
      </c>
      <c r="R213" s="1" t="str">
        <f>IFERROR(_xlfn.LET(_xlpm.x,VLOOKUP($A213,'[1]Markings Threadings'!$B$3:$L$245,5,0),IF(_xlpm.x=0,"",_xlpm.x)),"")</f>
        <v/>
      </c>
      <c r="S213" s="1">
        <f>IFERROR(_xlfn.LET(_xlpm.x,VLOOKUP($A213,'[1]Markings Threadings'!$B$3:$L$245,6,0),IF(_xlpm.x=0,"",_xlpm.x)),"")</f>
        <v>7</v>
      </c>
      <c r="T213" s="6" t="str">
        <f>IFERROR(_xlfn.LET(_xlpm.x,VLOOKUP($C213,[1]Summary!$A$2:$J$118,4,0),IF(_xlpm.x=0,"",_xlpm.x)),"")</f>
        <v/>
      </c>
      <c r="U213" s="6" t="str">
        <f>IFERROR(_xlfn.LET(_xlpm.x,VLOOKUP($C213,[1]Summary!$A$2:$J$118,5,0),IF(_xlpm.x=0,"",_xlpm.x)),"")</f>
        <v/>
      </c>
      <c r="V213" s="6" t="str">
        <f>IFERROR(_xlfn.LET(_xlpm.x,VLOOKUP($C213,[1]Summary!$A$2:$J$118,6,0),IF(_xlpm.x=0,"",_xlpm.x)),"")</f>
        <v/>
      </c>
      <c r="W213" s="6" t="str">
        <f>IFERROR(_xlfn.LET(_xlpm.x,VLOOKUP($C213,[1]Summary!$A$2:$J$118,7,0),IF(_xlpm.x=0,"",_xlpm.x)),"")</f>
        <v/>
      </c>
      <c r="X213" s="6" t="str">
        <f>IFERROR(_xlfn.LET(_xlpm.x,VLOOKUP($C213,[1]Summary!$A$2:$J$118,8,0),IF(_xlpm.x=0,"",_xlpm.x)),"")</f>
        <v/>
      </c>
      <c r="Y213" s="6" t="str">
        <f>IFERROR(_xlfn.LET(_xlpm.x,VLOOKUP($C213,[1]Summary!$A$2:$J$118,9,0),IF(_xlpm.x=0,"",_xlpm.x)),"")</f>
        <v/>
      </c>
      <c r="Z213" s="6" t="str">
        <f>IFERROR(_xlfn.LET(_xlpm.x,VLOOKUP($C213,[1]Summary!$A$2:$J$118,10,0),IF(_xlpm.x=0,"",_xlpm.x)),"")</f>
        <v/>
      </c>
    </row>
    <row r="214" spans="1:26" x14ac:dyDescent="0.25">
      <c r="A214" s="2">
        <v>1000000002724</v>
      </c>
      <c r="B214" s="5" t="s">
        <v>415</v>
      </c>
      <c r="C214" s="2">
        <v>3000000001734</v>
      </c>
      <c r="D214" s="5" t="s">
        <v>416</v>
      </c>
      <c r="E214" s="1">
        <v>4</v>
      </c>
      <c r="F214" s="1" t="s">
        <v>54</v>
      </c>
      <c r="G214" s="1">
        <v>4</v>
      </c>
      <c r="H214" s="1">
        <v>2</v>
      </c>
      <c r="I214" s="1">
        <v>2</v>
      </c>
      <c r="J214" s="1"/>
      <c r="K214" s="1">
        <v>50</v>
      </c>
      <c r="L214" s="1" t="str">
        <f>IFERROR(_xlfn.LET(_xlpm.x,VLOOKUP($A214,'[1]Markings Threadings'!$B$3:$L$245,3,0),IF(_xlpm.x=0,"",_xlpm.x)),"")</f>
        <v>Red Green</v>
      </c>
      <c r="M214" s="2">
        <f>IFERROR(_xlfn.LET(_xlpm.x,VLOOKUP($A214,'[1]Markings Threadings'!$B$3:$L$245,7,0),IF(_xlpm.x=0,"",_xlpm.x)),"")</f>
        <v>5000000000556</v>
      </c>
      <c r="N214" s="5" t="str">
        <f>IFERROR(_xlfn.LET(_xlpm.x,VLOOKUP($A214,'[1]Markings Threadings'!$B$3:$L$245,8,0),IF(_xlpm.x=0,"",_xlpm.x)),"")</f>
        <v>v2 - Poultry Solutions Breeder Layer Male, 50kg</v>
      </c>
      <c r="O214" s="2">
        <f>IFERROR(_xlfn.LET(_xlpm.x,VLOOKUP($A214,'[1]Markings Threadings'!$B$3:$L$245,10,0),IF(_xlpm.x=0,"",_xlpm.x)),"")</f>
        <v>5000000000498</v>
      </c>
      <c r="P214" s="5" t="str">
        <f>IFERROR(_xlfn.LET(_xlpm.x,VLOOKUP($A214,'[1]Markings Threadings'!$B$3:$L$245,11,0),IF(_xlpm.x=0,"",_xlpm.x)),"")</f>
        <v>Tag - Poultry Breeder Layer Male, Mash</v>
      </c>
      <c r="Q214" s="1" t="str">
        <f>IFERROR(_xlfn.LET(_xlpm.x,VLOOKUP($A214,'[1]Markings Threadings'!$B$3:$L$245,4,0),IF(_xlpm.x=0,"",_xlpm.x)),"")</f>
        <v>2724 LM ABFI</v>
      </c>
      <c r="R214" s="1" t="str">
        <f>IFERROR(_xlfn.LET(_xlpm.x,VLOOKUP($A214,'[1]Markings Threadings'!$B$3:$L$245,5,0),IF(_xlpm.x=0,"",_xlpm.x)),"")</f>
        <v/>
      </c>
      <c r="S214" s="1">
        <f>IFERROR(_xlfn.LET(_xlpm.x,VLOOKUP($A214,'[1]Markings Threadings'!$B$3:$L$245,6,0),IF(_xlpm.x=0,"",_xlpm.x)),"")</f>
        <v>4</v>
      </c>
      <c r="T214" s="6" t="str">
        <f>IFERROR(_xlfn.LET(_xlpm.x,VLOOKUP($C214,[1]Summary!$A$2:$J$118,4,0),IF(_xlpm.x=0,"",_xlpm.x)),"")</f>
        <v/>
      </c>
      <c r="U214" s="6" t="str">
        <f>IFERROR(_xlfn.LET(_xlpm.x,VLOOKUP($C214,[1]Summary!$A$2:$J$118,5,0),IF(_xlpm.x=0,"",_xlpm.x)),"")</f>
        <v/>
      </c>
      <c r="V214" s="6" t="str">
        <f>IFERROR(_xlfn.LET(_xlpm.x,VLOOKUP($C214,[1]Summary!$A$2:$J$118,6,0),IF(_xlpm.x=0,"",_xlpm.x)),"")</f>
        <v/>
      </c>
      <c r="W214" s="6" t="str">
        <f>IFERROR(_xlfn.LET(_xlpm.x,VLOOKUP($C214,[1]Summary!$A$2:$J$118,7,0),IF(_xlpm.x=0,"",_xlpm.x)),"")</f>
        <v/>
      </c>
      <c r="X214" s="6" t="str">
        <f>IFERROR(_xlfn.LET(_xlpm.x,VLOOKUP($C214,[1]Summary!$A$2:$J$118,8,0),IF(_xlpm.x=0,"",_xlpm.x)),"")</f>
        <v/>
      </c>
      <c r="Y214" s="6" t="str">
        <f>IFERROR(_xlfn.LET(_xlpm.x,VLOOKUP($C214,[1]Summary!$A$2:$J$118,9,0),IF(_xlpm.x=0,"",_xlpm.x)),"")</f>
        <v/>
      </c>
      <c r="Z214" s="6" t="str">
        <f>IFERROR(_xlfn.LET(_xlpm.x,VLOOKUP($C214,[1]Summary!$A$2:$J$118,10,0),IF(_xlpm.x=0,"",_xlpm.x)),"")</f>
        <v/>
      </c>
    </row>
    <row r="215" spans="1:26" x14ac:dyDescent="0.25">
      <c r="A215" s="2">
        <v>1000000002725</v>
      </c>
      <c r="B215" s="5" t="s">
        <v>417</v>
      </c>
      <c r="C215" s="2">
        <v>3000000001733</v>
      </c>
      <c r="D215" s="5" t="s">
        <v>418</v>
      </c>
      <c r="E215" s="1">
        <v>4</v>
      </c>
      <c r="F215" s="1" t="s">
        <v>54</v>
      </c>
      <c r="G215" s="1">
        <v>4</v>
      </c>
      <c r="H215" s="1">
        <v>2</v>
      </c>
      <c r="I215" s="1">
        <v>2</v>
      </c>
      <c r="J215" s="1"/>
      <c r="K215" s="1">
        <v>50</v>
      </c>
      <c r="L215" s="1" t="str">
        <f>IFERROR(_xlfn.LET(_xlpm.x,VLOOKUP($A215,'[1]Markings Threadings'!$B$3:$L$245,3,0),IF(_xlpm.x=0,"",_xlpm.x)),"")</f>
        <v>Red Green</v>
      </c>
      <c r="M215" s="2">
        <f>IFERROR(_xlfn.LET(_xlpm.x,VLOOKUP($A215,'[1]Markings Threadings'!$B$3:$L$245,7,0),IF(_xlpm.x=0,"",_xlpm.x)),"")</f>
        <v>5000000000555</v>
      </c>
      <c r="N215" s="5" t="str">
        <f>IFERROR(_xlfn.LET(_xlpm.x,VLOOKUP($A215,'[1]Markings Threadings'!$B$3:$L$245,8,0),IF(_xlpm.x=0,"",_xlpm.x)),"")</f>
        <v>v2 - Poultry Solutions Breeder Layer 1, 50kg</v>
      </c>
      <c r="O215" s="2">
        <f>IFERROR(_xlfn.LET(_xlpm.x,VLOOKUP($A215,'[1]Markings Threadings'!$B$3:$L$245,10,0),IF(_xlpm.x=0,"",_xlpm.x)),"")</f>
        <v>5000000000614</v>
      </c>
      <c r="P215" s="5" t="str">
        <f>IFERROR(_xlfn.LET(_xlpm.x,VLOOKUP($A215,'[1]Markings Threadings'!$B$3:$L$245,11,0),IF(_xlpm.x=0,"",_xlpm.x)),"")</f>
        <v>Poultry Solutions Breeder Layer 1 Crumble, 50kg</v>
      </c>
      <c r="Q215" s="1" t="str">
        <f>IFERROR(_xlfn.LET(_xlpm.x,VLOOKUP($A215,'[1]Markings Threadings'!$B$3:$L$245,4,0),IF(_xlpm.x=0,"",_xlpm.x)),"")</f>
        <v>2725 IR L-1</v>
      </c>
      <c r="R215" s="1" t="str">
        <f>IFERROR(_xlfn.LET(_xlpm.x,VLOOKUP($A215,'[1]Markings Threadings'!$B$3:$L$245,5,0),IF(_xlpm.x=0,"",_xlpm.x)),"")</f>
        <v/>
      </c>
      <c r="S215" s="1">
        <f>IFERROR(_xlfn.LET(_xlpm.x,VLOOKUP($A215,'[1]Markings Threadings'!$B$3:$L$245,6,0),IF(_xlpm.x=0,"",_xlpm.x)),"")</f>
        <v>6</v>
      </c>
      <c r="T215" s="6" t="str">
        <f>IFERROR(_xlfn.LET(_xlpm.x,VLOOKUP($C215,[1]Summary!$A$2:$J$118,4,0),IF(_xlpm.x=0,"",_xlpm.x)),"")</f>
        <v/>
      </c>
      <c r="U215" s="6" t="str">
        <f>IFERROR(_xlfn.LET(_xlpm.x,VLOOKUP($C215,[1]Summary!$A$2:$J$118,5,0),IF(_xlpm.x=0,"",_xlpm.x)),"")</f>
        <v/>
      </c>
      <c r="V215" s="6" t="str">
        <f>IFERROR(_xlfn.LET(_xlpm.x,VLOOKUP($C215,[1]Summary!$A$2:$J$118,6,0),IF(_xlpm.x=0,"",_xlpm.x)),"")</f>
        <v/>
      </c>
      <c r="W215" s="6" t="str">
        <f>IFERROR(_xlfn.LET(_xlpm.x,VLOOKUP($C215,[1]Summary!$A$2:$J$118,7,0),IF(_xlpm.x=0,"",_xlpm.x)),"")</f>
        <v/>
      </c>
      <c r="X215" s="6" t="str">
        <f>IFERROR(_xlfn.LET(_xlpm.x,VLOOKUP($C215,[1]Summary!$A$2:$J$118,8,0),IF(_xlpm.x=0,"",_xlpm.x)),"")</f>
        <v/>
      </c>
      <c r="Y215" s="6" t="str">
        <f>IFERROR(_xlfn.LET(_xlpm.x,VLOOKUP($C215,[1]Summary!$A$2:$J$118,9,0),IF(_xlpm.x=0,"",_xlpm.x)),"")</f>
        <v/>
      </c>
      <c r="Z215" s="6" t="str">
        <f>IFERROR(_xlfn.LET(_xlpm.x,VLOOKUP($C215,[1]Summary!$A$2:$J$118,10,0),IF(_xlpm.x=0,"",_xlpm.x)),"")</f>
        <v/>
      </c>
    </row>
    <row r="216" spans="1:26" x14ac:dyDescent="0.25">
      <c r="A216" s="2">
        <v>1000000002719</v>
      </c>
      <c r="B216" s="5" t="s">
        <v>419</v>
      </c>
      <c r="C216" s="2">
        <v>3000000001743</v>
      </c>
      <c r="D216" s="5" t="s">
        <v>420</v>
      </c>
      <c r="E216" s="1">
        <v>4</v>
      </c>
      <c r="F216" s="1" t="s">
        <v>54</v>
      </c>
      <c r="G216" s="1">
        <v>4</v>
      </c>
      <c r="H216" s="1">
        <v>2</v>
      </c>
      <c r="I216" s="1">
        <v>2</v>
      </c>
      <c r="J216" s="1"/>
      <c r="K216" s="1">
        <v>50</v>
      </c>
      <c r="L216" s="1" t="str">
        <f>IFERROR(_xlfn.LET(_xlpm.x,VLOOKUP($A216,'[1]Markings Threadings'!$B$3:$L$245,3,0),IF(_xlpm.x=0,"",_xlpm.x)),"")</f>
        <v>Red Green</v>
      </c>
      <c r="M216" s="2">
        <f>IFERROR(_xlfn.LET(_xlpm.x,VLOOKUP($A216,'[1]Markings Threadings'!$B$3:$L$245,7,0),IF(_xlpm.x=0,"",_xlpm.x)),"")</f>
        <v>5000000000983</v>
      </c>
      <c r="N216" s="5" t="str">
        <f>IFERROR(_xlfn.LET(_xlpm.x,VLOOKUP($A216,'[1]Markings Threadings'!$B$3:$L$245,8,0),IF(_xlpm.x=0,"",_xlpm.x)),"")</f>
        <v>V2-POULTRY SOLUTIONS BREEDER LAYER2 50KG</v>
      </c>
      <c r="O216" s="2">
        <f>IFERROR(_xlfn.LET(_xlpm.x,VLOOKUP($A216,'[1]Markings Threadings'!$B$3:$L$245,10,0),IF(_xlpm.x=0,"",_xlpm.x)),"")</f>
        <v>5000000000117</v>
      </c>
      <c r="P216" s="5" t="str">
        <f>IFERROR(_xlfn.LET(_xlpm.x,VLOOKUP($A216,'[1]Markings Threadings'!$B$3:$L$245,11,0),IF(_xlpm.x=0,"",_xlpm.x)),"")</f>
        <v>TAG POULTRY SOLUTIONS CHICKEN LAYER 2</v>
      </c>
      <c r="Q216" s="1" t="str">
        <f>IFERROR(_xlfn.LET(_xlpm.x,VLOOKUP($A216,'[1]Markings Threadings'!$B$3:$L$245,4,0),IF(_xlpm.x=0,"",_xlpm.x)),"")</f>
        <v>2719 L-2</v>
      </c>
      <c r="R216" s="1" t="str">
        <f>IFERROR(_xlfn.LET(_xlpm.x,VLOOKUP($A216,'[1]Markings Threadings'!$B$3:$L$245,5,0),IF(_xlpm.x=0,"",_xlpm.x)),"")</f>
        <v/>
      </c>
      <c r="S216" s="1">
        <f>IFERROR(_xlfn.LET(_xlpm.x,VLOOKUP($A216,'[1]Markings Threadings'!$B$3:$L$245,6,0),IF(_xlpm.x=0,"",_xlpm.x)),"")</f>
        <v>6</v>
      </c>
      <c r="T216" s="6" t="str">
        <f>IFERROR(_xlfn.LET(_xlpm.x,VLOOKUP($C216,[1]Summary!$A$2:$J$118,4,0),IF(_xlpm.x=0,"",_xlpm.x)),"")</f>
        <v/>
      </c>
      <c r="U216" s="6" t="str">
        <f>IFERROR(_xlfn.LET(_xlpm.x,VLOOKUP($C216,[1]Summary!$A$2:$J$118,5,0),IF(_xlpm.x=0,"",_xlpm.x)),"")</f>
        <v/>
      </c>
      <c r="V216" s="6" t="str">
        <f>IFERROR(_xlfn.LET(_xlpm.x,VLOOKUP($C216,[1]Summary!$A$2:$J$118,6,0),IF(_xlpm.x=0,"",_xlpm.x)),"")</f>
        <v/>
      </c>
      <c r="W216" s="6" t="str">
        <f>IFERROR(_xlfn.LET(_xlpm.x,VLOOKUP($C216,[1]Summary!$A$2:$J$118,7,0),IF(_xlpm.x=0,"",_xlpm.x)),"")</f>
        <v/>
      </c>
      <c r="X216" s="6" t="str">
        <f>IFERROR(_xlfn.LET(_xlpm.x,VLOOKUP($C216,[1]Summary!$A$2:$J$118,8,0),IF(_xlpm.x=0,"",_xlpm.x)),"")</f>
        <v/>
      </c>
      <c r="Y216" s="6" t="str">
        <f>IFERROR(_xlfn.LET(_xlpm.x,VLOOKUP($C216,[1]Summary!$A$2:$J$118,9,0),IF(_xlpm.x=0,"",_xlpm.x)),"")</f>
        <v/>
      </c>
      <c r="Z216" s="6" t="str">
        <f>IFERROR(_xlfn.LET(_xlpm.x,VLOOKUP($C216,[1]Summary!$A$2:$J$118,10,0),IF(_xlpm.x=0,"",_xlpm.x)),"")</f>
        <v/>
      </c>
    </row>
    <row r="217" spans="1:26" x14ac:dyDescent="0.25">
      <c r="A217" s="2">
        <v>1000000002720</v>
      </c>
      <c r="B217" s="5" t="s">
        <v>421</v>
      </c>
      <c r="C217" s="2">
        <v>3000000001744</v>
      </c>
      <c r="D217" s="5" t="s">
        <v>422</v>
      </c>
      <c r="E217" s="1">
        <v>4</v>
      </c>
      <c r="F217" s="1" t="s">
        <v>54</v>
      </c>
      <c r="G217" s="1">
        <v>4</v>
      </c>
      <c r="H217" s="1">
        <v>2</v>
      </c>
      <c r="I217" s="1">
        <v>2</v>
      </c>
      <c r="J217" s="1"/>
      <c r="K217" s="1">
        <v>50</v>
      </c>
      <c r="L217" s="1" t="str">
        <f>IFERROR(_xlfn.LET(_xlpm.x,VLOOKUP($A217,'[1]Markings Threadings'!$B$3:$L$245,3,0),IF(_xlpm.x=0,"",_xlpm.x)),"")</f>
        <v>Red Green</v>
      </c>
      <c r="M217" s="2">
        <f>IFERROR(_xlfn.LET(_xlpm.x,VLOOKUP($A217,'[1]Markings Threadings'!$B$3:$L$245,7,0),IF(_xlpm.x=0,"",_xlpm.x)),"")</f>
        <v>5000000000565</v>
      </c>
      <c r="N217" s="5" t="str">
        <f>IFERROR(_xlfn.LET(_xlpm.x,VLOOKUP($A217,'[1]Markings Threadings'!$B$3:$L$245,8,0),IF(_xlpm.x=0,"",_xlpm.x)),"")</f>
        <v>SACK POULTRY SOLUTIONS CHICKEN LAYER 2</v>
      </c>
      <c r="O217" s="2">
        <f>IFERROR(_xlfn.LET(_xlpm.x,VLOOKUP($A217,'[1]Markings Threadings'!$B$3:$L$245,10,0),IF(_xlpm.x=0,"",_xlpm.x)),"")</f>
        <v>5000000000117</v>
      </c>
      <c r="P217" s="5" t="str">
        <f>IFERROR(_xlfn.LET(_xlpm.x,VLOOKUP($A217,'[1]Markings Threadings'!$B$3:$L$245,11,0),IF(_xlpm.x=0,"",_xlpm.x)),"")</f>
        <v>TAG POULTRY SOLUTIONS CHICKEN LAYER 2</v>
      </c>
      <c r="Q217" s="1" t="str">
        <f>IFERROR(_xlfn.LET(_xlpm.x,VLOOKUP($A217,'[1]Markings Threadings'!$B$3:$L$245,4,0),IF(_xlpm.x=0,"",_xlpm.x)),"")</f>
        <v>2720 L-3</v>
      </c>
      <c r="R217" s="1" t="str">
        <f>IFERROR(_xlfn.LET(_xlpm.x,VLOOKUP($A217,'[1]Markings Threadings'!$B$3:$L$245,5,0),IF(_xlpm.x=0,"",_xlpm.x)),"")</f>
        <v/>
      </c>
      <c r="S217" s="1">
        <f>IFERROR(_xlfn.LET(_xlpm.x,VLOOKUP($A217,'[1]Markings Threadings'!$B$3:$L$245,6,0),IF(_xlpm.x=0,"",_xlpm.x)),"")</f>
        <v>7</v>
      </c>
      <c r="T217" s="6" t="str">
        <f>IFERROR(_xlfn.LET(_xlpm.x,VLOOKUP($C217,[1]Summary!$A$2:$J$118,4,0),IF(_xlpm.x=0,"",_xlpm.x)),"")</f>
        <v/>
      </c>
      <c r="U217" s="6" t="str">
        <f>IFERROR(_xlfn.LET(_xlpm.x,VLOOKUP($C217,[1]Summary!$A$2:$J$118,5,0),IF(_xlpm.x=0,"",_xlpm.x)),"")</f>
        <v/>
      </c>
      <c r="V217" s="6" t="str">
        <f>IFERROR(_xlfn.LET(_xlpm.x,VLOOKUP($C217,[1]Summary!$A$2:$J$118,6,0),IF(_xlpm.x=0,"",_xlpm.x)),"")</f>
        <v/>
      </c>
      <c r="W217" s="6" t="str">
        <f>IFERROR(_xlfn.LET(_xlpm.x,VLOOKUP($C217,[1]Summary!$A$2:$J$118,7,0),IF(_xlpm.x=0,"",_xlpm.x)),"")</f>
        <v/>
      </c>
      <c r="X217" s="6" t="str">
        <f>IFERROR(_xlfn.LET(_xlpm.x,VLOOKUP($C217,[1]Summary!$A$2:$J$118,8,0),IF(_xlpm.x=0,"",_xlpm.x)),"")</f>
        <v/>
      </c>
      <c r="Y217" s="6" t="str">
        <f>IFERROR(_xlfn.LET(_xlpm.x,VLOOKUP($C217,[1]Summary!$A$2:$J$118,9,0),IF(_xlpm.x=0,"",_xlpm.x)),"")</f>
        <v/>
      </c>
      <c r="Z217" s="6" t="str">
        <f>IFERROR(_xlfn.LET(_xlpm.x,VLOOKUP($C217,[1]Summary!$A$2:$J$118,10,0),IF(_xlpm.x=0,"",_xlpm.x)),"")</f>
        <v/>
      </c>
    </row>
    <row r="218" spans="1:26" x14ac:dyDescent="0.25">
      <c r="A218" s="2">
        <v>1000000002747</v>
      </c>
      <c r="B218" s="5" t="s">
        <v>423</v>
      </c>
      <c r="C218" s="2">
        <v>3000000001747</v>
      </c>
      <c r="D218" s="5" t="s">
        <v>424</v>
      </c>
      <c r="E218" s="1"/>
      <c r="F218" s="1" t="s">
        <v>44</v>
      </c>
      <c r="G218" s="1">
        <v>4</v>
      </c>
      <c r="H218" s="1">
        <v>2</v>
      </c>
      <c r="I218" s="1">
        <v>2</v>
      </c>
      <c r="J218" s="1"/>
      <c r="K218" s="1">
        <v>50</v>
      </c>
      <c r="L218" s="1" t="str">
        <f>IFERROR(_xlfn.LET(_xlpm.x,VLOOKUP($A218,'[1]Markings Threadings'!$B$3:$L$245,3,0),IF(_xlpm.x=0,"",_xlpm.x)),"")</f>
        <v>Orange Green</v>
      </c>
      <c r="M218" s="2">
        <f>IFERROR(_xlfn.LET(_xlpm.x,VLOOKUP($A218,'[1]Markings Threadings'!$B$3:$L$245,7,0),IF(_xlpm.x=0,"",_xlpm.x)),"")</f>
        <v>5000000000038</v>
      </c>
      <c r="N218" s="5" t="str">
        <f>IFERROR(_xlfn.LET(_xlpm.x,VLOOKUP($A218,'[1]Markings Threadings'!$B$3:$L$245,8,0),IF(_xlpm.x=0,"",_xlpm.x)),"")</f>
        <v>Empty Sack - Plain White Sacks 50 kg</v>
      </c>
      <c r="O218" s="2" t="str">
        <f>IFERROR(_xlfn.LET(_xlpm.x,VLOOKUP($A218,'[1]Markings Threadings'!$B$3:$L$245,10,0),IF(_xlpm.x=0,"",_xlpm.x)),"")</f>
        <v/>
      </c>
      <c r="P218" s="5" t="str">
        <f>IFERROR(_xlfn.LET(_xlpm.x,VLOOKUP($A218,'[1]Markings Threadings'!$B$3:$L$245,11,0),IF(_xlpm.x=0,"",_xlpm.x)),"")</f>
        <v>None</v>
      </c>
      <c r="Q218" s="1" t="str">
        <f>IFERROR(_xlfn.LET(_xlpm.x,VLOOKUP($A218,'[1]Markings Threadings'!$B$3:$L$245,4,0),IF(_xlpm.x=0,"",_xlpm.x)),"")</f>
        <v>2747 - L2 MASH</v>
      </c>
      <c r="R218" s="1" t="str">
        <f>IFERROR(_xlfn.LET(_xlpm.x,VLOOKUP($A218,'[1]Markings Threadings'!$B$3:$L$245,5,0),IF(_xlpm.x=0,"",_xlpm.x)),"")</f>
        <v/>
      </c>
      <c r="S218" s="1">
        <f>IFERROR(_xlfn.LET(_xlpm.x,VLOOKUP($A218,'[1]Markings Threadings'!$B$3:$L$245,6,0),IF(_xlpm.x=0,"",_xlpm.x)),"")</f>
        <v>7</v>
      </c>
      <c r="T218" s="6" t="str">
        <f>IFERROR(_xlfn.LET(_xlpm.x,VLOOKUP($C218,[1]Summary!$A$2:$J$118,4,0),IF(_xlpm.x=0,"",_xlpm.x)),"")</f>
        <v/>
      </c>
      <c r="U218" s="6" t="str">
        <f>IFERROR(_xlfn.LET(_xlpm.x,VLOOKUP($C218,[1]Summary!$A$2:$J$118,5,0),IF(_xlpm.x=0,"",_xlpm.x)),"")</f>
        <v/>
      </c>
      <c r="V218" s="6" t="str">
        <f>IFERROR(_xlfn.LET(_xlpm.x,VLOOKUP($C218,[1]Summary!$A$2:$J$118,6,0),IF(_xlpm.x=0,"",_xlpm.x)),"")</f>
        <v/>
      </c>
      <c r="W218" s="6" t="str">
        <f>IFERROR(_xlfn.LET(_xlpm.x,VLOOKUP($C218,[1]Summary!$A$2:$J$118,7,0),IF(_xlpm.x=0,"",_xlpm.x)),"")</f>
        <v/>
      </c>
      <c r="X218" s="6" t="str">
        <f>IFERROR(_xlfn.LET(_xlpm.x,VLOOKUP($C218,[1]Summary!$A$2:$J$118,8,0),IF(_xlpm.x=0,"",_xlpm.x)),"")</f>
        <v/>
      </c>
      <c r="Y218" s="6" t="str">
        <f>IFERROR(_xlfn.LET(_xlpm.x,VLOOKUP($C218,[1]Summary!$A$2:$J$118,9,0),IF(_xlpm.x=0,"",_xlpm.x)),"")</f>
        <v/>
      </c>
      <c r="Z218" s="6" t="str">
        <f>IFERROR(_xlfn.LET(_xlpm.x,VLOOKUP($C218,[1]Summary!$A$2:$J$118,10,0),IF(_xlpm.x=0,"",_xlpm.x)),"")</f>
        <v/>
      </c>
    </row>
    <row r="219" spans="1:26" x14ac:dyDescent="0.25">
      <c r="A219" s="2">
        <v>1000000002736</v>
      </c>
      <c r="B219" s="5" t="s">
        <v>425</v>
      </c>
      <c r="C219" s="2">
        <v>3000000001738</v>
      </c>
      <c r="D219" s="5" t="s">
        <v>426</v>
      </c>
      <c r="E219" s="1">
        <v>3</v>
      </c>
      <c r="F219" s="1" t="s">
        <v>75</v>
      </c>
      <c r="G219" s="1">
        <v>0.8</v>
      </c>
      <c r="H219" s="1"/>
      <c r="I219" s="1"/>
      <c r="J219" s="1">
        <v>0.8</v>
      </c>
      <c r="K219" s="1">
        <v>50</v>
      </c>
      <c r="L219" s="1" t="str">
        <f>IFERROR(_xlfn.LET(_xlpm.x,VLOOKUP($A219,'[1]Markings Threadings'!$B$3:$L$245,3,0),IF(_xlpm.x=0,"",_xlpm.x)),"")</f>
        <v/>
      </c>
      <c r="M219" s="2" t="str">
        <f>IFERROR(_xlfn.LET(_xlpm.x,VLOOKUP($A219,'[1]Markings Threadings'!$B$3:$L$245,7,0),IF(_xlpm.x=0,"",_xlpm.x)),"")</f>
        <v/>
      </c>
      <c r="N219" s="5" t="str">
        <f>IFERROR(_xlfn.LET(_xlpm.x,VLOOKUP($A219,'[1]Markings Threadings'!$B$3:$L$245,8,0),IF(_xlpm.x=0,"",_xlpm.x)),"")</f>
        <v/>
      </c>
      <c r="O219" s="2" t="str">
        <f>IFERROR(_xlfn.LET(_xlpm.x,VLOOKUP($A219,'[1]Markings Threadings'!$B$3:$L$245,10,0),IF(_xlpm.x=0,"",_xlpm.x)),"")</f>
        <v/>
      </c>
      <c r="P219" s="5" t="str">
        <f>IFERROR(_xlfn.LET(_xlpm.x,VLOOKUP($A219,'[1]Markings Threadings'!$B$3:$L$245,11,0),IF(_xlpm.x=0,"",_xlpm.x)),"")</f>
        <v/>
      </c>
      <c r="Q219" s="1" t="str">
        <f>IFERROR(_xlfn.LET(_xlpm.x,VLOOKUP($A219,'[1]Markings Threadings'!$B$3:$L$245,4,0),IF(_xlpm.x=0,"",_xlpm.x)),"")</f>
        <v/>
      </c>
      <c r="R219" s="1" t="str">
        <f>IFERROR(_xlfn.LET(_xlpm.x,VLOOKUP($A219,'[1]Markings Threadings'!$B$3:$L$245,5,0),IF(_xlpm.x=0,"",_xlpm.x)),"")</f>
        <v/>
      </c>
      <c r="S219" s="1" t="str">
        <f>IFERROR(_xlfn.LET(_xlpm.x,VLOOKUP($A219,'[1]Markings Threadings'!$B$3:$L$245,6,0),IF(_xlpm.x=0,"",_xlpm.x)),"")</f>
        <v/>
      </c>
      <c r="T219" s="6" t="str">
        <f>IFERROR(_xlfn.LET(_xlpm.x,VLOOKUP($C219,[1]Summary!$A$2:$J$118,4,0),IF(_xlpm.x=0,"",_xlpm.x)),"")</f>
        <v/>
      </c>
      <c r="U219" s="6" t="str">
        <f>IFERROR(_xlfn.LET(_xlpm.x,VLOOKUP($C219,[1]Summary!$A$2:$J$118,5,0),IF(_xlpm.x=0,"",_xlpm.x)),"")</f>
        <v/>
      </c>
      <c r="V219" s="6" t="str">
        <f>IFERROR(_xlfn.LET(_xlpm.x,VLOOKUP($C219,[1]Summary!$A$2:$J$118,6,0),IF(_xlpm.x=0,"",_xlpm.x)),"")</f>
        <v/>
      </c>
      <c r="W219" s="6" t="str">
        <f>IFERROR(_xlfn.LET(_xlpm.x,VLOOKUP($C219,[1]Summary!$A$2:$J$118,7,0),IF(_xlpm.x=0,"",_xlpm.x)),"")</f>
        <v/>
      </c>
      <c r="X219" s="6" t="str">
        <f>IFERROR(_xlfn.LET(_xlpm.x,VLOOKUP($C219,[1]Summary!$A$2:$J$118,8,0),IF(_xlpm.x=0,"",_xlpm.x)),"")</f>
        <v/>
      </c>
      <c r="Y219" s="6" t="str">
        <f>IFERROR(_xlfn.LET(_xlpm.x,VLOOKUP($C219,[1]Summary!$A$2:$J$118,9,0),IF(_xlpm.x=0,"",_xlpm.x)),"")</f>
        <v/>
      </c>
      <c r="Z219" s="6" t="str">
        <f>IFERROR(_xlfn.LET(_xlpm.x,VLOOKUP($C219,[1]Summary!$A$2:$J$118,10,0),IF(_xlpm.x=0,"",_xlpm.x)),"")</f>
        <v/>
      </c>
    </row>
    <row r="220" spans="1:26" x14ac:dyDescent="0.25">
      <c r="A220" s="2">
        <v>3000000001737</v>
      </c>
      <c r="B220" s="5" t="s">
        <v>427</v>
      </c>
      <c r="C220" s="2">
        <v>3000000001737</v>
      </c>
      <c r="D220" s="5" t="s">
        <v>427</v>
      </c>
      <c r="E220" s="1">
        <v>3</v>
      </c>
      <c r="F220" s="1" t="s">
        <v>86</v>
      </c>
      <c r="G220" s="1">
        <v>4</v>
      </c>
      <c r="H220" s="1">
        <v>2</v>
      </c>
      <c r="I220" s="1">
        <v>2</v>
      </c>
      <c r="J220" s="1"/>
      <c r="K220" s="1">
        <v>50</v>
      </c>
      <c r="L220" s="1" t="str">
        <f>IFERROR(_xlfn.LET(_xlpm.x,VLOOKUP($A220,'[1]Markings Threadings'!$B$3:$L$245,3,0),IF(_xlpm.x=0,"",_xlpm.x)),"")</f>
        <v/>
      </c>
      <c r="M220" s="2" t="str">
        <f>IFERROR(_xlfn.LET(_xlpm.x,VLOOKUP($A220,'[1]Markings Threadings'!$B$3:$L$245,7,0),IF(_xlpm.x=0,"",_xlpm.x)),"")</f>
        <v/>
      </c>
      <c r="N220" s="5" t="str">
        <f>IFERROR(_xlfn.LET(_xlpm.x,VLOOKUP($A220,'[1]Markings Threadings'!$B$3:$L$245,8,0),IF(_xlpm.x=0,"",_xlpm.x)),"")</f>
        <v/>
      </c>
      <c r="O220" s="2" t="str">
        <f>IFERROR(_xlfn.LET(_xlpm.x,VLOOKUP($A220,'[1]Markings Threadings'!$B$3:$L$245,10,0),IF(_xlpm.x=0,"",_xlpm.x)),"")</f>
        <v/>
      </c>
      <c r="P220" s="5" t="str">
        <f>IFERROR(_xlfn.LET(_xlpm.x,VLOOKUP($A220,'[1]Markings Threadings'!$B$3:$L$245,11,0),IF(_xlpm.x=0,"",_xlpm.x)),"")</f>
        <v/>
      </c>
      <c r="Q220" s="1" t="str">
        <f>IFERROR(_xlfn.LET(_xlpm.x,VLOOKUP($A220,'[1]Markings Threadings'!$B$3:$L$245,4,0),IF(_xlpm.x=0,"",_xlpm.x)),"")</f>
        <v/>
      </c>
      <c r="R220" s="1" t="str">
        <f>IFERROR(_xlfn.LET(_xlpm.x,VLOOKUP($A220,'[1]Markings Threadings'!$B$3:$L$245,5,0),IF(_xlpm.x=0,"",_xlpm.x)),"")</f>
        <v/>
      </c>
      <c r="S220" s="1" t="str">
        <f>IFERROR(_xlfn.LET(_xlpm.x,VLOOKUP($A220,'[1]Markings Threadings'!$B$3:$L$245,6,0),IF(_xlpm.x=0,"",_xlpm.x)),"")</f>
        <v/>
      </c>
      <c r="T220" s="6" t="str">
        <f>IFERROR(_xlfn.LET(_xlpm.x,VLOOKUP($C220,[1]Summary!$A$2:$J$118,4,0),IF(_xlpm.x=0,"",_xlpm.x)),"")</f>
        <v/>
      </c>
      <c r="U220" s="6" t="str">
        <f>IFERROR(_xlfn.LET(_xlpm.x,VLOOKUP($C220,[1]Summary!$A$2:$J$118,5,0),IF(_xlpm.x=0,"",_xlpm.x)),"")</f>
        <v/>
      </c>
      <c r="V220" s="6" t="str">
        <f>IFERROR(_xlfn.LET(_xlpm.x,VLOOKUP($C220,[1]Summary!$A$2:$J$118,6,0),IF(_xlpm.x=0,"",_xlpm.x)),"")</f>
        <v/>
      </c>
      <c r="W220" s="6" t="str">
        <f>IFERROR(_xlfn.LET(_xlpm.x,VLOOKUP($C220,[1]Summary!$A$2:$J$118,7,0),IF(_xlpm.x=0,"",_xlpm.x)),"")</f>
        <v/>
      </c>
      <c r="X220" s="6" t="str">
        <f>IFERROR(_xlfn.LET(_xlpm.x,VLOOKUP($C220,[1]Summary!$A$2:$J$118,8,0),IF(_xlpm.x=0,"",_xlpm.x)),"")</f>
        <v/>
      </c>
      <c r="Y220" s="6" t="str">
        <f>IFERROR(_xlfn.LET(_xlpm.x,VLOOKUP($C220,[1]Summary!$A$2:$J$118,9,0),IF(_xlpm.x=0,"",_xlpm.x)),"")</f>
        <v/>
      </c>
      <c r="Z220" s="6" t="str">
        <f>IFERROR(_xlfn.LET(_xlpm.x,VLOOKUP($C220,[1]Summary!$A$2:$J$118,10,0),IF(_xlpm.x=0,"",_xlpm.x)),"")</f>
        <v/>
      </c>
    </row>
    <row r="221" spans="1:26" x14ac:dyDescent="0.25">
      <c r="A221" s="2">
        <v>1000000002761</v>
      </c>
      <c r="B221" s="5" t="s">
        <v>428</v>
      </c>
      <c r="C221" s="2">
        <v>3000000001739</v>
      </c>
      <c r="D221" s="5" t="s">
        <v>429</v>
      </c>
      <c r="E221" s="1">
        <v>4</v>
      </c>
      <c r="F221" s="1" t="s">
        <v>54</v>
      </c>
      <c r="G221" s="1">
        <v>4</v>
      </c>
      <c r="H221" s="1">
        <v>2</v>
      </c>
      <c r="I221" s="1">
        <v>2</v>
      </c>
      <c r="J221" s="1"/>
      <c r="K221" s="1">
        <v>50</v>
      </c>
      <c r="L221" s="1" t="str">
        <f>IFERROR(_xlfn.LET(_xlpm.x,VLOOKUP($A221,'[1]Markings Threadings'!$B$3:$L$245,3,0),IF(_xlpm.x=0,"",_xlpm.x)),"")</f>
        <v/>
      </c>
      <c r="M221" s="2" t="str">
        <f>IFERROR(_xlfn.LET(_xlpm.x,VLOOKUP($A221,'[1]Markings Threadings'!$B$3:$L$245,7,0),IF(_xlpm.x=0,"",_xlpm.x)),"")</f>
        <v/>
      </c>
      <c r="N221" s="5" t="str">
        <f>IFERROR(_xlfn.LET(_xlpm.x,VLOOKUP($A221,'[1]Markings Threadings'!$B$3:$L$245,8,0),IF(_xlpm.x=0,"",_xlpm.x)),"")</f>
        <v/>
      </c>
      <c r="O221" s="2" t="str">
        <f>IFERROR(_xlfn.LET(_xlpm.x,VLOOKUP($A221,'[1]Markings Threadings'!$B$3:$L$245,10,0),IF(_xlpm.x=0,"",_xlpm.x)),"")</f>
        <v/>
      </c>
      <c r="P221" s="5" t="str">
        <f>IFERROR(_xlfn.LET(_xlpm.x,VLOOKUP($A221,'[1]Markings Threadings'!$B$3:$L$245,11,0),IF(_xlpm.x=0,"",_xlpm.x)),"")</f>
        <v/>
      </c>
      <c r="Q221" s="1" t="str">
        <f>IFERROR(_xlfn.LET(_xlpm.x,VLOOKUP($A221,'[1]Markings Threadings'!$B$3:$L$245,4,0),IF(_xlpm.x=0,"",_xlpm.x)),"")</f>
        <v/>
      </c>
      <c r="R221" s="1" t="str">
        <f>IFERROR(_xlfn.LET(_xlpm.x,VLOOKUP($A221,'[1]Markings Threadings'!$B$3:$L$245,5,0),IF(_xlpm.x=0,"",_xlpm.x)),"")</f>
        <v/>
      </c>
      <c r="S221" s="1" t="str">
        <f>IFERROR(_xlfn.LET(_xlpm.x,VLOOKUP($A221,'[1]Markings Threadings'!$B$3:$L$245,6,0),IF(_xlpm.x=0,"",_xlpm.x)),"")</f>
        <v/>
      </c>
      <c r="T221" s="6" t="str">
        <f>IFERROR(_xlfn.LET(_xlpm.x,VLOOKUP($C221,[1]Summary!$A$2:$J$118,4,0),IF(_xlpm.x=0,"",_xlpm.x)),"")</f>
        <v/>
      </c>
      <c r="U221" s="6" t="str">
        <f>IFERROR(_xlfn.LET(_xlpm.x,VLOOKUP($C221,[1]Summary!$A$2:$J$118,5,0),IF(_xlpm.x=0,"",_xlpm.x)),"")</f>
        <v/>
      </c>
      <c r="V221" s="6" t="str">
        <f>IFERROR(_xlfn.LET(_xlpm.x,VLOOKUP($C221,[1]Summary!$A$2:$J$118,6,0),IF(_xlpm.x=0,"",_xlpm.x)),"")</f>
        <v/>
      </c>
      <c r="W221" s="6" t="str">
        <f>IFERROR(_xlfn.LET(_xlpm.x,VLOOKUP($C221,[1]Summary!$A$2:$J$118,7,0),IF(_xlpm.x=0,"",_xlpm.x)),"")</f>
        <v/>
      </c>
      <c r="X221" s="6" t="str">
        <f>IFERROR(_xlfn.LET(_xlpm.x,VLOOKUP($C221,[1]Summary!$A$2:$J$118,8,0),IF(_xlpm.x=0,"",_xlpm.x)),"")</f>
        <v/>
      </c>
      <c r="Y221" s="6" t="str">
        <f>IFERROR(_xlfn.LET(_xlpm.x,VLOOKUP($C221,[1]Summary!$A$2:$J$118,9,0),IF(_xlpm.x=0,"",_xlpm.x)),"")</f>
        <v/>
      </c>
      <c r="Z221" s="6" t="str">
        <f>IFERROR(_xlfn.LET(_xlpm.x,VLOOKUP($C221,[1]Summary!$A$2:$J$118,10,0),IF(_xlpm.x=0,"",_xlpm.x)),"")</f>
        <v/>
      </c>
    </row>
    <row r="222" spans="1:26" x14ac:dyDescent="0.25">
      <c r="A222" s="2">
        <v>1000000002787</v>
      </c>
      <c r="B222" s="5" t="s">
        <v>430</v>
      </c>
      <c r="C222" s="2"/>
      <c r="D222" s="5"/>
      <c r="E222" s="1"/>
      <c r="F222" s="1"/>
      <c r="G222" s="1"/>
      <c r="H222" s="1"/>
      <c r="I222" s="1"/>
      <c r="J222" s="1"/>
      <c r="K222" s="1"/>
      <c r="L222" s="1" t="str">
        <f>IFERROR(_xlfn.LET(_xlpm.x,VLOOKUP($A222,'[1]Markings Threadings'!$B$3:$L$245,3,0),IF(_xlpm.x=0,"",_xlpm.x)),"")</f>
        <v/>
      </c>
      <c r="M222" s="2" t="str">
        <f>IFERROR(_xlfn.LET(_xlpm.x,VLOOKUP($A222,'[1]Markings Threadings'!$B$3:$L$245,7,0),IF(_xlpm.x=0,"",_xlpm.x)),"")</f>
        <v/>
      </c>
      <c r="N222" s="5" t="str">
        <f>IFERROR(_xlfn.LET(_xlpm.x,VLOOKUP($A222,'[1]Markings Threadings'!$B$3:$L$245,8,0),IF(_xlpm.x=0,"",_xlpm.x)),"")</f>
        <v/>
      </c>
      <c r="O222" s="2" t="str">
        <f>IFERROR(_xlfn.LET(_xlpm.x,VLOOKUP($A222,'[1]Markings Threadings'!$B$3:$L$245,10,0),IF(_xlpm.x=0,"",_xlpm.x)),"")</f>
        <v/>
      </c>
      <c r="P222" s="5" t="str">
        <f>IFERROR(_xlfn.LET(_xlpm.x,VLOOKUP($A222,'[1]Markings Threadings'!$B$3:$L$245,11,0),IF(_xlpm.x=0,"",_xlpm.x)),"")</f>
        <v/>
      </c>
      <c r="Q222" s="1" t="str">
        <f>IFERROR(_xlfn.LET(_xlpm.x,VLOOKUP($A222,'[1]Markings Threadings'!$B$3:$L$245,4,0),IF(_xlpm.x=0,"",_xlpm.x)),"")</f>
        <v/>
      </c>
      <c r="R222" s="1" t="str">
        <f>IFERROR(_xlfn.LET(_xlpm.x,VLOOKUP($A222,'[1]Markings Threadings'!$B$3:$L$245,5,0),IF(_xlpm.x=0,"",_xlpm.x)),"")</f>
        <v/>
      </c>
      <c r="S222" s="1" t="str">
        <f>IFERROR(_xlfn.LET(_xlpm.x,VLOOKUP($A222,'[1]Markings Threadings'!$B$3:$L$245,6,0),IF(_xlpm.x=0,"",_xlpm.x)),"")</f>
        <v/>
      </c>
      <c r="T222" s="6" t="str">
        <f>IFERROR(_xlfn.LET(_xlpm.x,VLOOKUP($C222,[1]Summary!$A$2:$J$118,4,0),IF(_xlpm.x=0,"",_xlpm.x)),"")</f>
        <v/>
      </c>
      <c r="U222" s="6" t="str">
        <f>IFERROR(_xlfn.LET(_xlpm.x,VLOOKUP($C222,[1]Summary!$A$2:$J$118,5,0),IF(_xlpm.x=0,"",_xlpm.x)),"")</f>
        <v/>
      </c>
      <c r="V222" s="6" t="str">
        <f>IFERROR(_xlfn.LET(_xlpm.x,VLOOKUP($C222,[1]Summary!$A$2:$J$118,6,0),IF(_xlpm.x=0,"",_xlpm.x)),"")</f>
        <v/>
      </c>
      <c r="W222" s="6" t="str">
        <f>IFERROR(_xlfn.LET(_xlpm.x,VLOOKUP($C222,[1]Summary!$A$2:$J$118,7,0),IF(_xlpm.x=0,"",_xlpm.x)),"")</f>
        <v/>
      </c>
      <c r="X222" s="6" t="str">
        <f>IFERROR(_xlfn.LET(_xlpm.x,VLOOKUP($C222,[1]Summary!$A$2:$J$118,8,0),IF(_xlpm.x=0,"",_xlpm.x)),"")</f>
        <v/>
      </c>
      <c r="Y222" s="6" t="str">
        <f>IFERROR(_xlfn.LET(_xlpm.x,VLOOKUP($C222,[1]Summary!$A$2:$J$118,9,0),IF(_xlpm.x=0,"",_xlpm.x)),"")</f>
        <v/>
      </c>
      <c r="Z222" s="6" t="str">
        <f>IFERROR(_xlfn.LET(_xlpm.x,VLOOKUP($C222,[1]Summary!$A$2:$J$118,10,0),IF(_xlpm.x=0,"",_xlpm.x)),"")</f>
        <v/>
      </c>
    </row>
    <row r="223" spans="1:26" x14ac:dyDescent="0.25">
      <c r="A223" s="2">
        <v>1000000002788</v>
      </c>
      <c r="B223" s="5" t="s">
        <v>431</v>
      </c>
      <c r="C223" s="2"/>
      <c r="D223" s="5"/>
      <c r="E223" s="1"/>
      <c r="F223" s="1"/>
      <c r="G223" s="1"/>
      <c r="H223" s="1"/>
      <c r="I223" s="1"/>
      <c r="J223" s="1"/>
      <c r="K223" s="1"/>
      <c r="L223" s="1" t="str">
        <f>IFERROR(_xlfn.LET(_xlpm.x,VLOOKUP($A223,'[1]Markings Threadings'!$B$3:$L$245,3,0),IF(_xlpm.x=0,"",_xlpm.x)),"")</f>
        <v/>
      </c>
      <c r="M223" s="2" t="str">
        <f>IFERROR(_xlfn.LET(_xlpm.x,VLOOKUP($A223,'[1]Markings Threadings'!$B$3:$L$245,7,0),IF(_xlpm.x=0,"",_xlpm.x)),"")</f>
        <v/>
      </c>
      <c r="N223" s="5" t="str">
        <f>IFERROR(_xlfn.LET(_xlpm.x,VLOOKUP($A223,'[1]Markings Threadings'!$B$3:$L$245,8,0),IF(_xlpm.x=0,"",_xlpm.x)),"")</f>
        <v/>
      </c>
      <c r="O223" s="2" t="str">
        <f>IFERROR(_xlfn.LET(_xlpm.x,VLOOKUP($A223,'[1]Markings Threadings'!$B$3:$L$245,10,0),IF(_xlpm.x=0,"",_xlpm.x)),"")</f>
        <v/>
      </c>
      <c r="P223" s="5" t="str">
        <f>IFERROR(_xlfn.LET(_xlpm.x,VLOOKUP($A223,'[1]Markings Threadings'!$B$3:$L$245,11,0),IF(_xlpm.x=0,"",_xlpm.x)),"")</f>
        <v/>
      </c>
      <c r="Q223" s="1" t="str">
        <f>IFERROR(_xlfn.LET(_xlpm.x,VLOOKUP($A223,'[1]Markings Threadings'!$B$3:$L$245,4,0),IF(_xlpm.x=0,"",_xlpm.x)),"")</f>
        <v/>
      </c>
      <c r="R223" s="1" t="str">
        <f>IFERROR(_xlfn.LET(_xlpm.x,VLOOKUP($A223,'[1]Markings Threadings'!$B$3:$L$245,5,0),IF(_xlpm.x=0,"",_xlpm.x)),"")</f>
        <v/>
      </c>
      <c r="S223" s="1" t="str">
        <f>IFERROR(_xlfn.LET(_xlpm.x,VLOOKUP($A223,'[1]Markings Threadings'!$B$3:$L$245,6,0),IF(_xlpm.x=0,"",_xlpm.x)),"")</f>
        <v/>
      </c>
      <c r="T223" s="6" t="str">
        <f>IFERROR(_xlfn.LET(_xlpm.x,VLOOKUP($C223,[1]Summary!$A$2:$J$118,4,0),IF(_xlpm.x=0,"",_xlpm.x)),"")</f>
        <v/>
      </c>
      <c r="U223" s="6" t="str">
        <f>IFERROR(_xlfn.LET(_xlpm.x,VLOOKUP($C223,[1]Summary!$A$2:$J$118,5,0),IF(_xlpm.x=0,"",_xlpm.x)),"")</f>
        <v/>
      </c>
      <c r="V223" s="6" t="str">
        <f>IFERROR(_xlfn.LET(_xlpm.x,VLOOKUP($C223,[1]Summary!$A$2:$J$118,6,0),IF(_xlpm.x=0,"",_xlpm.x)),"")</f>
        <v/>
      </c>
      <c r="W223" s="6" t="str">
        <f>IFERROR(_xlfn.LET(_xlpm.x,VLOOKUP($C223,[1]Summary!$A$2:$J$118,7,0),IF(_xlpm.x=0,"",_xlpm.x)),"")</f>
        <v/>
      </c>
      <c r="X223" s="6" t="str">
        <f>IFERROR(_xlfn.LET(_xlpm.x,VLOOKUP($C223,[1]Summary!$A$2:$J$118,8,0),IF(_xlpm.x=0,"",_xlpm.x)),"")</f>
        <v/>
      </c>
      <c r="Y223" s="6" t="str">
        <f>IFERROR(_xlfn.LET(_xlpm.x,VLOOKUP($C223,[1]Summary!$A$2:$J$118,9,0),IF(_xlpm.x=0,"",_xlpm.x)),"")</f>
        <v/>
      </c>
      <c r="Z223" s="6" t="str">
        <f>IFERROR(_xlfn.LET(_xlpm.x,VLOOKUP($C223,[1]Summary!$A$2:$J$118,10,0),IF(_xlpm.x=0,"",_xlpm.x)),"")</f>
        <v/>
      </c>
    </row>
    <row r="224" spans="1:26" x14ac:dyDescent="0.25">
      <c r="A224" s="2">
        <v>1000000002789</v>
      </c>
      <c r="B224" s="5" t="s">
        <v>432</v>
      </c>
      <c r="C224" s="2"/>
      <c r="D224" s="5"/>
      <c r="E224" s="1"/>
      <c r="F224" s="1"/>
      <c r="G224" s="1"/>
      <c r="H224" s="1"/>
      <c r="I224" s="1"/>
      <c r="J224" s="1"/>
      <c r="K224" s="1"/>
      <c r="L224" s="1" t="str">
        <f>IFERROR(_xlfn.LET(_xlpm.x,VLOOKUP($A224,'[1]Markings Threadings'!$B$3:$L$245,3,0),IF(_xlpm.x=0,"",_xlpm.x)),"")</f>
        <v/>
      </c>
      <c r="M224" s="2" t="str">
        <f>IFERROR(_xlfn.LET(_xlpm.x,VLOOKUP($A224,'[1]Markings Threadings'!$B$3:$L$245,7,0),IF(_xlpm.x=0,"",_xlpm.x)),"")</f>
        <v/>
      </c>
      <c r="N224" s="5" t="str">
        <f>IFERROR(_xlfn.LET(_xlpm.x,VLOOKUP($A224,'[1]Markings Threadings'!$B$3:$L$245,8,0),IF(_xlpm.x=0,"",_xlpm.x)),"")</f>
        <v/>
      </c>
      <c r="O224" s="2" t="str">
        <f>IFERROR(_xlfn.LET(_xlpm.x,VLOOKUP($A224,'[1]Markings Threadings'!$B$3:$L$245,10,0),IF(_xlpm.x=0,"",_xlpm.x)),"")</f>
        <v/>
      </c>
      <c r="P224" s="5" t="str">
        <f>IFERROR(_xlfn.LET(_xlpm.x,VLOOKUP($A224,'[1]Markings Threadings'!$B$3:$L$245,11,0),IF(_xlpm.x=0,"",_xlpm.x)),"")</f>
        <v/>
      </c>
      <c r="Q224" s="1" t="str">
        <f>IFERROR(_xlfn.LET(_xlpm.x,VLOOKUP($A224,'[1]Markings Threadings'!$B$3:$L$245,4,0),IF(_xlpm.x=0,"",_xlpm.x)),"")</f>
        <v/>
      </c>
      <c r="R224" s="1" t="str">
        <f>IFERROR(_xlfn.LET(_xlpm.x,VLOOKUP($A224,'[1]Markings Threadings'!$B$3:$L$245,5,0),IF(_xlpm.x=0,"",_xlpm.x)),"")</f>
        <v/>
      </c>
      <c r="S224" s="1" t="str">
        <f>IFERROR(_xlfn.LET(_xlpm.x,VLOOKUP($A224,'[1]Markings Threadings'!$B$3:$L$245,6,0),IF(_xlpm.x=0,"",_xlpm.x)),"")</f>
        <v/>
      </c>
      <c r="T224" s="6" t="str">
        <f>IFERROR(_xlfn.LET(_xlpm.x,VLOOKUP($C224,[1]Summary!$A$2:$J$118,4,0),IF(_xlpm.x=0,"",_xlpm.x)),"")</f>
        <v/>
      </c>
      <c r="U224" s="6" t="str">
        <f>IFERROR(_xlfn.LET(_xlpm.x,VLOOKUP($C224,[1]Summary!$A$2:$J$118,5,0),IF(_xlpm.x=0,"",_xlpm.x)),"")</f>
        <v/>
      </c>
      <c r="V224" s="6" t="str">
        <f>IFERROR(_xlfn.LET(_xlpm.x,VLOOKUP($C224,[1]Summary!$A$2:$J$118,6,0),IF(_xlpm.x=0,"",_xlpm.x)),"")</f>
        <v/>
      </c>
      <c r="W224" s="6" t="str">
        <f>IFERROR(_xlfn.LET(_xlpm.x,VLOOKUP($C224,[1]Summary!$A$2:$J$118,7,0),IF(_xlpm.x=0,"",_xlpm.x)),"")</f>
        <v/>
      </c>
      <c r="X224" s="6" t="str">
        <f>IFERROR(_xlfn.LET(_xlpm.x,VLOOKUP($C224,[1]Summary!$A$2:$J$118,8,0),IF(_xlpm.x=0,"",_xlpm.x)),"")</f>
        <v/>
      </c>
      <c r="Y224" s="6" t="str">
        <f>IFERROR(_xlfn.LET(_xlpm.x,VLOOKUP($C224,[1]Summary!$A$2:$J$118,9,0),IF(_xlpm.x=0,"",_xlpm.x)),"")</f>
        <v/>
      </c>
      <c r="Z224" s="6" t="str">
        <f>IFERROR(_xlfn.LET(_xlpm.x,VLOOKUP($C224,[1]Summary!$A$2:$J$118,10,0),IF(_xlpm.x=0,"",_xlpm.x)),"")</f>
        <v/>
      </c>
    </row>
    <row r="225" spans="1:26" x14ac:dyDescent="0.25">
      <c r="A225" s="2">
        <v>1000000002782</v>
      </c>
      <c r="B225" s="5" t="s">
        <v>433</v>
      </c>
      <c r="C225" s="2">
        <v>3000000001748</v>
      </c>
      <c r="D225" s="5" t="s">
        <v>434</v>
      </c>
      <c r="E225" s="1"/>
      <c r="F225" s="1" t="s">
        <v>44</v>
      </c>
      <c r="G225" s="1">
        <v>4</v>
      </c>
      <c r="H225" s="1">
        <v>2</v>
      </c>
      <c r="I225" s="1">
        <v>2</v>
      </c>
      <c r="J225" s="1"/>
      <c r="K225" s="1">
        <v>500</v>
      </c>
      <c r="L225" s="1" t="str">
        <f>IFERROR(_xlfn.LET(_xlpm.x,VLOOKUP($A225,'[1]Markings Threadings'!$B$3:$L$245,3,0),IF(_xlpm.x=0,"",_xlpm.x)),"")</f>
        <v>White</v>
      </c>
      <c r="M225" s="2">
        <f>IFERROR(_xlfn.LET(_xlpm.x,VLOOKUP($A225,'[1]Markings Threadings'!$B$3:$L$245,7,0),IF(_xlpm.x=0,"",_xlpm.x)),"")</f>
        <v>5000000000601</v>
      </c>
      <c r="N225" s="5" t="str">
        <f>IFERROR(_xlfn.LET(_xlpm.x,VLOOKUP($A225,'[1]Markings Threadings'!$B$3:$L$245,8,0),IF(_xlpm.x=0,"",_xlpm.x)),"")</f>
        <v>Tote Bag 1000 kg</v>
      </c>
      <c r="O225" s="2" t="str">
        <f>IFERROR(_xlfn.LET(_xlpm.x,VLOOKUP($A225,'[1]Markings Threadings'!$B$3:$L$245,10,0),IF(_xlpm.x=0,"",_xlpm.x)),"")</f>
        <v/>
      </c>
      <c r="P225" s="5" t="str">
        <f>IFERROR(_xlfn.LET(_xlpm.x,VLOOKUP($A225,'[1]Markings Threadings'!$B$3:$L$245,11,0),IF(_xlpm.x=0,"",_xlpm.x)),"")</f>
        <v/>
      </c>
      <c r="Q225" s="1" t="str">
        <f>IFERROR(_xlfn.LET(_xlpm.x,VLOOKUP($A225,'[1]Markings Threadings'!$B$3:$L$245,4,0),IF(_xlpm.x=0,"",_xlpm.x)),"")</f>
        <v>2782 Pre Layer</v>
      </c>
      <c r="R225" s="1" t="str">
        <f>IFERROR(_xlfn.LET(_xlpm.x,VLOOKUP($A225,'[1]Markings Threadings'!$B$3:$L$245,5,0),IF(_xlpm.x=0,"",_xlpm.x)),"")</f>
        <v/>
      </c>
      <c r="S225" s="1">
        <f>IFERROR(_xlfn.LET(_xlpm.x,VLOOKUP($A225,'[1]Markings Threadings'!$B$3:$L$245,6,0),IF(_xlpm.x=0,"",_xlpm.x)),"")</f>
        <v>12</v>
      </c>
      <c r="T225" s="6" t="str">
        <f>IFERROR(_xlfn.LET(_xlpm.x,VLOOKUP($C225,[1]Summary!$A$2:$J$118,4,0),IF(_xlpm.x=0,"",_xlpm.x)),"")</f>
        <v/>
      </c>
      <c r="U225" s="6" t="str">
        <f>IFERROR(_xlfn.LET(_xlpm.x,VLOOKUP($C225,[1]Summary!$A$2:$J$118,5,0),IF(_xlpm.x=0,"",_xlpm.x)),"")</f>
        <v/>
      </c>
      <c r="V225" s="6" t="str">
        <f>IFERROR(_xlfn.LET(_xlpm.x,VLOOKUP($C225,[1]Summary!$A$2:$J$118,6,0),IF(_xlpm.x=0,"",_xlpm.x)),"")</f>
        <v/>
      </c>
      <c r="W225" s="6" t="str">
        <f>IFERROR(_xlfn.LET(_xlpm.x,VLOOKUP($C225,[1]Summary!$A$2:$J$118,7,0),IF(_xlpm.x=0,"",_xlpm.x)),"")</f>
        <v/>
      </c>
      <c r="X225" s="6" t="str">
        <f>IFERROR(_xlfn.LET(_xlpm.x,VLOOKUP($C225,[1]Summary!$A$2:$J$118,8,0),IF(_xlpm.x=0,"",_xlpm.x)),"")</f>
        <v/>
      </c>
      <c r="Y225" s="6" t="str">
        <f>IFERROR(_xlfn.LET(_xlpm.x,VLOOKUP($C225,[1]Summary!$A$2:$J$118,9,0),IF(_xlpm.x=0,"",_xlpm.x)),"")</f>
        <v/>
      </c>
      <c r="Z225" s="6" t="str">
        <f>IFERROR(_xlfn.LET(_xlpm.x,VLOOKUP($C225,[1]Summary!$A$2:$J$118,10,0),IF(_xlpm.x=0,"",_xlpm.x)),"")</f>
        <v/>
      </c>
    </row>
    <row r="226" spans="1:26" x14ac:dyDescent="0.25">
      <c r="A226" s="2">
        <v>1000000002783</v>
      </c>
      <c r="B226" s="5" t="s">
        <v>435</v>
      </c>
      <c r="C226" s="2">
        <v>3000000001749</v>
      </c>
      <c r="D226" s="5" t="s">
        <v>436</v>
      </c>
      <c r="E226" s="1"/>
      <c r="F226" s="1" t="s">
        <v>44</v>
      </c>
      <c r="G226" s="1">
        <v>4</v>
      </c>
      <c r="H226" s="1">
        <v>2</v>
      </c>
      <c r="I226" s="1">
        <v>2</v>
      </c>
      <c r="J226" s="1"/>
      <c r="K226" s="1">
        <v>500</v>
      </c>
      <c r="L226" s="1" t="str">
        <f>IFERROR(_xlfn.LET(_xlpm.x,VLOOKUP($A226,'[1]Markings Threadings'!$B$3:$L$245,3,0),IF(_xlpm.x=0,"",_xlpm.x)),"")</f>
        <v>White</v>
      </c>
      <c r="M226" s="2">
        <f>IFERROR(_xlfn.LET(_xlpm.x,VLOOKUP($A226,'[1]Markings Threadings'!$B$3:$L$245,7,0),IF(_xlpm.x=0,"",_xlpm.x)),"")</f>
        <v>5000000000601</v>
      </c>
      <c r="N226" s="5" t="str">
        <f>IFERROR(_xlfn.LET(_xlpm.x,VLOOKUP($A226,'[1]Markings Threadings'!$B$3:$L$245,8,0),IF(_xlpm.x=0,"",_xlpm.x)),"")</f>
        <v>Tote Bag 1000 kg</v>
      </c>
      <c r="O226" s="2" t="str">
        <f>IFERROR(_xlfn.LET(_xlpm.x,VLOOKUP($A226,'[1]Markings Threadings'!$B$3:$L$245,10,0),IF(_xlpm.x=0,"",_xlpm.x)),"")</f>
        <v/>
      </c>
      <c r="P226" s="5" t="str">
        <f>IFERROR(_xlfn.LET(_xlpm.x,VLOOKUP($A226,'[1]Markings Threadings'!$B$3:$L$245,11,0),IF(_xlpm.x=0,"",_xlpm.x)),"")</f>
        <v/>
      </c>
      <c r="Q226" s="1" t="str">
        <f>IFERROR(_xlfn.LET(_xlpm.x,VLOOKUP($A226,'[1]Markings Threadings'!$B$3:$L$245,4,0),IF(_xlpm.x=0,"",_xlpm.x)),"")</f>
        <v>2783 PS L-1</v>
      </c>
      <c r="R226" s="1" t="str">
        <f>IFERROR(_xlfn.LET(_xlpm.x,VLOOKUP($A226,'[1]Markings Threadings'!$B$3:$L$245,5,0),IF(_xlpm.x=0,"",_xlpm.x)),"")</f>
        <v/>
      </c>
      <c r="S226" s="1">
        <f>IFERROR(_xlfn.LET(_xlpm.x,VLOOKUP($A226,'[1]Markings Threadings'!$B$3:$L$245,6,0),IF(_xlpm.x=0,"",_xlpm.x)),"")</f>
        <v>12</v>
      </c>
      <c r="T226" s="6" t="str">
        <f>IFERROR(_xlfn.LET(_xlpm.x,VLOOKUP($C226,[1]Summary!$A$2:$J$118,4,0),IF(_xlpm.x=0,"",_xlpm.x)),"")</f>
        <v/>
      </c>
      <c r="U226" s="6" t="str">
        <f>IFERROR(_xlfn.LET(_xlpm.x,VLOOKUP($C226,[1]Summary!$A$2:$J$118,5,0),IF(_xlpm.x=0,"",_xlpm.x)),"")</f>
        <v/>
      </c>
      <c r="V226" s="6" t="str">
        <f>IFERROR(_xlfn.LET(_xlpm.x,VLOOKUP($C226,[1]Summary!$A$2:$J$118,6,0),IF(_xlpm.x=0,"",_xlpm.x)),"")</f>
        <v/>
      </c>
      <c r="W226" s="6" t="str">
        <f>IFERROR(_xlfn.LET(_xlpm.x,VLOOKUP($C226,[1]Summary!$A$2:$J$118,7,0),IF(_xlpm.x=0,"",_xlpm.x)),"")</f>
        <v/>
      </c>
      <c r="X226" s="6" t="str">
        <f>IFERROR(_xlfn.LET(_xlpm.x,VLOOKUP($C226,[1]Summary!$A$2:$J$118,8,0),IF(_xlpm.x=0,"",_xlpm.x)),"")</f>
        <v/>
      </c>
      <c r="Y226" s="6" t="str">
        <f>IFERROR(_xlfn.LET(_xlpm.x,VLOOKUP($C226,[1]Summary!$A$2:$J$118,9,0),IF(_xlpm.x=0,"",_xlpm.x)),"")</f>
        <v/>
      </c>
      <c r="Z226" s="6" t="str">
        <f>IFERROR(_xlfn.LET(_xlpm.x,VLOOKUP($C226,[1]Summary!$A$2:$J$118,10,0),IF(_xlpm.x=0,"",_xlpm.x)),"")</f>
        <v/>
      </c>
    </row>
    <row r="227" spans="1:26" x14ac:dyDescent="0.25">
      <c r="A227" s="2">
        <v>1000000002784</v>
      </c>
      <c r="B227" s="5" t="s">
        <v>437</v>
      </c>
      <c r="C227" s="2">
        <v>3000000001750</v>
      </c>
      <c r="D227" s="5" t="s">
        <v>438</v>
      </c>
      <c r="E227" s="1"/>
      <c r="F227" s="1" t="s">
        <v>44</v>
      </c>
      <c r="G227" s="1">
        <v>4</v>
      </c>
      <c r="H227" s="1">
        <v>2</v>
      </c>
      <c r="I227" s="1">
        <v>2</v>
      </c>
      <c r="J227" s="1"/>
      <c r="K227" s="1">
        <v>500</v>
      </c>
      <c r="L227" s="1" t="str">
        <f>IFERROR(_xlfn.LET(_xlpm.x,VLOOKUP($A227,'[1]Markings Threadings'!$B$3:$L$245,3,0),IF(_xlpm.x=0,"",_xlpm.x)),"")</f>
        <v>White</v>
      </c>
      <c r="M227" s="2">
        <f>IFERROR(_xlfn.LET(_xlpm.x,VLOOKUP($A227,'[1]Markings Threadings'!$B$3:$L$245,7,0),IF(_xlpm.x=0,"",_xlpm.x)),"")</f>
        <v>5000000000601</v>
      </c>
      <c r="N227" s="5" t="str">
        <f>IFERROR(_xlfn.LET(_xlpm.x,VLOOKUP($A227,'[1]Markings Threadings'!$B$3:$L$245,8,0),IF(_xlpm.x=0,"",_xlpm.x)),"")</f>
        <v>Tote Bag 1000 kg</v>
      </c>
      <c r="O227" s="2" t="str">
        <f>IFERROR(_xlfn.LET(_xlpm.x,VLOOKUP($A227,'[1]Markings Threadings'!$B$3:$L$245,10,0),IF(_xlpm.x=0,"",_xlpm.x)),"")</f>
        <v/>
      </c>
      <c r="P227" s="5" t="str">
        <f>IFERROR(_xlfn.LET(_xlpm.x,VLOOKUP($A227,'[1]Markings Threadings'!$B$3:$L$245,11,0),IF(_xlpm.x=0,"",_xlpm.x)),"")</f>
        <v/>
      </c>
      <c r="Q227" s="1" t="str">
        <f>IFERROR(_xlfn.LET(_xlpm.x,VLOOKUP($A227,'[1]Markings Threadings'!$B$3:$L$245,4,0),IF(_xlpm.x=0,"",_xlpm.x)),"")</f>
        <v>2784 PS L-2</v>
      </c>
      <c r="R227" s="1" t="str">
        <f>IFERROR(_xlfn.LET(_xlpm.x,VLOOKUP($A227,'[1]Markings Threadings'!$B$3:$L$245,5,0),IF(_xlpm.x=0,"",_xlpm.x)),"")</f>
        <v/>
      </c>
      <c r="S227" s="1">
        <f>IFERROR(_xlfn.LET(_xlpm.x,VLOOKUP($A227,'[1]Markings Threadings'!$B$3:$L$245,6,0),IF(_xlpm.x=0,"",_xlpm.x)),"")</f>
        <v>12</v>
      </c>
      <c r="T227" s="6" t="str">
        <f>IFERROR(_xlfn.LET(_xlpm.x,VLOOKUP($C227,[1]Summary!$A$2:$J$118,4,0),IF(_xlpm.x=0,"",_xlpm.x)),"")</f>
        <v/>
      </c>
      <c r="U227" s="6" t="str">
        <f>IFERROR(_xlfn.LET(_xlpm.x,VLOOKUP($C227,[1]Summary!$A$2:$J$118,5,0),IF(_xlpm.x=0,"",_xlpm.x)),"")</f>
        <v/>
      </c>
      <c r="V227" s="6" t="str">
        <f>IFERROR(_xlfn.LET(_xlpm.x,VLOOKUP($C227,[1]Summary!$A$2:$J$118,6,0),IF(_xlpm.x=0,"",_xlpm.x)),"")</f>
        <v/>
      </c>
      <c r="W227" s="6" t="str">
        <f>IFERROR(_xlfn.LET(_xlpm.x,VLOOKUP($C227,[1]Summary!$A$2:$J$118,7,0),IF(_xlpm.x=0,"",_xlpm.x)),"")</f>
        <v/>
      </c>
      <c r="X227" s="6" t="str">
        <f>IFERROR(_xlfn.LET(_xlpm.x,VLOOKUP($C227,[1]Summary!$A$2:$J$118,8,0),IF(_xlpm.x=0,"",_xlpm.x)),"")</f>
        <v/>
      </c>
      <c r="Y227" s="6" t="str">
        <f>IFERROR(_xlfn.LET(_xlpm.x,VLOOKUP($C227,[1]Summary!$A$2:$J$118,9,0),IF(_xlpm.x=0,"",_xlpm.x)),"")</f>
        <v/>
      </c>
      <c r="Z227" s="6" t="str">
        <f>IFERROR(_xlfn.LET(_xlpm.x,VLOOKUP($C227,[1]Summary!$A$2:$J$118,10,0),IF(_xlpm.x=0,"",_xlpm.x)),"")</f>
        <v/>
      </c>
    </row>
    <row r="228" spans="1:26" x14ac:dyDescent="0.25">
      <c r="A228" s="2">
        <v>1000000002785</v>
      </c>
      <c r="B228" s="5" t="s">
        <v>439</v>
      </c>
      <c r="C228" s="2">
        <v>3000000001761</v>
      </c>
      <c r="D228" s="5" t="s">
        <v>440</v>
      </c>
      <c r="E228" s="1"/>
      <c r="F228" s="1" t="s">
        <v>44</v>
      </c>
      <c r="G228" s="1">
        <v>4</v>
      </c>
      <c r="H228" s="1">
        <v>2</v>
      </c>
      <c r="I228" s="1">
        <v>2</v>
      </c>
      <c r="J228" s="1"/>
      <c r="K228" s="1">
        <v>500</v>
      </c>
      <c r="L228" s="1" t="str">
        <f>IFERROR(_xlfn.LET(_xlpm.x,VLOOKUP($A228,'[1]Markings Threadings'!$B$3:$L$245,3,0),IF(_xlpm.x=0,"",_xlpm.x)),"")</f>
        <v>White</v>
      </c>
      <c r="M228" s="2">
        <f>IFERROR(_xlfn.LET(_xlpm.x,VLOOKUP($A228,'[1]Markings Threadings'!$B$3:$L$245,7,0),IF(_xlpm.x=0,"",_xlpm.x)),"")</f>
        <v>5000000000601</v>
      </c>
      <c r="N228" s="5" t="str">
        <f>IFERROR(_xlfn.LET(_xlpm.x,VLOOKUP($A228,'[1]Markings Threadings'!$B$3:$L$245,8,0),IF(_xlpm.x=0,"",_xlpm.x)),"")</f>
        <v>Tote Bag 1000 kg</v>
      </c>
      <c r="O228" s="2" t="str">
        <f>IFERROR(_xlfn.LET(_xlpm.x,VLOOKUP($A228,'[1]Markings Threadings'!$B$3:$L$245,10,0),IF(_xlpm.x=0,"",_xlpm.x)),"")</f>
        <v/>
      </c>
      <c r="P228" s="5" t="str">
        <f>IFERROR(_xlfn.LET(_xlpm.x,VLOOKUP($A228,'[1]Markings Threadings'!$B$3:$L$245,11,0),IF(_xlpm.x=0,"",_xlpm.x)),"")</f>
        <v/>
      </c>
      <c r="Q228" s="1" t="str">
        <f>IFERROR(_xlfn.LET(_xlpm.x,VLOOKUP($A228,'[1]Markings Threadings'!$B$3:$L$245,4,0),IF(_xlpm.x=0,"",_xlpm.x)),"")</f>
        <v>2785 PS L-3</v>
      </c>
      <c r="R228" s="1" t="str">
        <f>IFERROR(_xlfn.LET(_xlpm.x,VLOOKUP($A228,'[1]Markings Threadings'!$B$3:$L$245,5,0),IF(_xlpm.x=0,"",_xlpm.x)),"")</f>
        <v/>
      </c>
      <c r="S228" s="1">
        <f>IFERROR(_xlfn.LET(_xlpm.x,VLOOKUP($A228,'[1]Markings Threadings'!$B$3:$L$245,6,0),IF(_xlpm.x=0,"",_xlpm.x)),"")</f>
        <v>12</v>
      </c>
      <c r="T228" s="6" t="str">
        <f>IFERROR(_xlfn.LET(_xlpm.x,VLOOKUP($C228,[1]Summary!$A$2:$J$118,4,0),IF(_xlpm.x=0,"",_xlpm.x)),"")</f>
        <v/>
      </c>
      <c r="U228" s="6" t="str">
        <f>IFERROR(_xlfn.LET(_xlpm.x,VLOOKUP($C228,[1]Summary!$A$2:$J$118,5,0),IF(_xlpm.x=0,"",_xlpm.x)),"")</f>
        <v/>
      </c>
      <c r="V228" s="6" t="str">
        <f>IFERROR(_xlfn.LET(_xlpm.x,VLOOKUP($C228,[1]Summary!$A$2:$J$118,6,0),IF(_xlpm.x=0,"",_xlpm.x)),"")</f>
        <v/>
      </c>
      <c r="W228" s="6" t="str">
        <f>IFERROR(_xlfn.LET(_xlpm.x,VLOOKUP($C228,[1]Summary!$A$2:$J$118,7,0),IF(_xlpm.x=0,"",_xlpm.x)),"")</f>
        <v/>
      </c>
      <c r="X228" s="6" t="str">
        <f>IFERROR(_xlfn.LET(_xlpm.x,VLOOKUP($C228,[1]Summary!$A$2:$J$118,8,0),IF(_xlpm.x=0,"",_xlpm.x)),"")</f>
        <v/>
      </c>
      <c r="Y228" s="6" t="str">
        <f>IFERROR(_xlfn.LET(_xlpm.x,VLOOKUP($C228,[1]Summary!$A$2:$J$118,9,0),IF(_xlpm.x=0,"",_xlpm.x)),"")</f>
        <v/>
      </c>
      <c r="Z228" s="6" t="str">
        <f>IFERROR(_xlfn.LET(_xlpm.x,VLOOKUP($C228,[1]Summary!$A$2:$J$118,10,0),IF(_xlpm.x=0,"",_xlpm.x)),"")</f>
        <v/>
      </c>
    </row>
    <row r="229" spans="1:26" x14ac:dyDescent="0.25">
      <c r="A229" s="2">
        <v>1000000002786</v>
      </c>
      <c r="B229" s="5" t="s">
        <v>441</v>
      </c>
      <c r="C229" s="2">
        <v>3000000001762</v>
      </c>
      <c r="D229" s="5" t="s">
        <v>442</v>
      </c>
      <c r="E229" s="1"/>
      <c r="F229" s="1" t="s">
        <v>44</v>
      </c>
      <c r="G229" s="1">
        <v>4</v>
      </c>
      <c r="H229" s="1">
        <v>2</v>
      </c>
      <c r="I229" s="1">
        <v>2</v>
      </c>
      <c r="J229" s="1"/>
      <c r="K229" s="1">
        <v>500</v>
      </c>
      <c r="L229" s="1" t="str">
        <f>IFERROR(_xlfn.LET(_xlpm.x,VLOOKUP($A229,'[1]Markings Threadings'!$B$3:$L$245,3,0),IF(_xlpm.x=0,"",_xlpm.x)),"")</f>
        <v>White</v>
      </c>
      <c r="M229" s="2">
        <f>IFERROR(_xlfn.LET(_xlpm.x,VLOOKUP($A229,'[1]Markings Threadings'!$B$3:$L$245,7,0),IF(_xlpm.x=0,"",_xlpm.x)),"")</f>
        <v>5000000000601</v>
      </c>
      <c r="N229" s="5" t="str">
        <f>IFERROR(_xlfn.LET(_xlpm.x,VLOOKUP($A229,'[1]Markings Threadings'!$B$3:$L$245,8,0),IF(_xlpm.x=0,"",_xlpm.x)),"")</f>
        <v>Tote Bag 1000 kg</v>
      </c>
      <c r="O229" s="2" t="str">
        <f>IFERROR(_xlfn.LET(_xlpm.x,VLOOKUP($A229,'[1]Markings Threadings'!$B$3:$L$245,10,0),IF(_xlpm.x=0,"",_xlpm.x)),"")</f>
        <v/>
      </c>
      <c r="P229" s="5" t="str">
        <f>IFERROR(_xlfn.LET(_xlpm.x,VLOOKUP($A229,'[1]Markings Threadings'!$B$3:$L$245,11,0),IF(_xlpm.x=0,"",_xlpm.x)),"")</f>
        <v/>
      </c>
      <c r="Q229" s="1" t="str">
        <f>IFERROR(_xlfn.LET(_xlpm.x,VLOOKUP($A229,'[1]Markings Threadings'!$B$3:$L$245,4,0),IF(_xlpm.x=0,"",_xlpm.x)),"")</f>
        <v>2786 - PS CSL</v>
      </c>
      <c r="R229" s="1" t="str">
        <f>IFERROR(_xlfn.LET(_xlpm.x,VLOOKUP($A229,'[1]Markings Threadings'!$B$3:$L$245,5,0),IF(_xlpm.x=0,"",_xlpm.x)),"")</f>
        <v/>
      </c>
      <c r="S229" s="1">
        <f>IFERROR(_xlfn.LET(_xlpm.x,VLOOKUP($A229,'[1]Markings Threadings'!$B$3:$L$245,6,0),IF(_xlpm.x=0,"",_xlpm.x)),"")</f>
        <v>12</v>
      </c>
      <c r="T229" s="6" t="str">
        <f>IFERROR(_xlfn.LET(_xlpm.x,VLOOKUP($C229,[1]Summary!$A$2:$J$118,4,0),IF(_xlpm.x=0,"",_xlpm.x)),"")</f>
        <v/>
      </c>
      <c r="U229" s="6" t="str">
        <f>IFERROR(_xlfn.LET(_xlpm.x,VLOOKUP($C229,[1]Summary!$A$2:$J$118,5,0),IF(_xlpm.x=0,"",_xlpm.x)),"")</f>
        <v/>
      </c>
      <c r="V229" s="6" t="str">
        <f>IFERROR(_xlfn.LET(_xlpm.x,VLOOKUP($C229,[1]Summary!$A$2:$J$118,6,0),IF(_xlpm.x=0,"",_xlpm.x)),"")</f>
        <v/>
      </c>
      <c r="W229" s="6" t="str">
        <f>IFERROR(_xlfn.LET(_xlpm.x,VLOOKUP($C229,[1]Summary!$A$2:$J$118,7,0),IF(_xlpm.x=0,"",_xlpm.x)),"")</f>
        <v/>
      </c>
      <c r="X229" s="6" t="str">
        <f>IFERROR(_xlfn.LET(_xlpm.x,VLOOKUP($C229,[1]Summary!$A$2:$J$118,8,0),IF(_xlpm.x=0,"",_xlpm.x)),"")</f>
        <v/>
      </c>
      <c r="Y229" s="6" t="str">
        <f>IFERROR(_xlfn.LET(_xlpm.x,VLOOKUP($C229,[1]Summary!$A$2:$J$118,9,0),IF(_xlpm.x=0,"",_xlpm.x)),"")</f>
        <v/>
      </c>
      <c r="Z229" s="6" t="str">
        <f>IFERROR(_xlfn.LET(_xlpm.x,VLOOKUP($C229,[1]Summary!$A$2:$J$118,10,0),IF(_xlpm.x=0,"",_xlpm.x)),"")</f>
        <v/>
      </c>
    </row>
    <row r="230" spans="1:26" x14ac:dyDescent="0.25">
      <c r="A230" s="2">
        <v>1000000000160</v>
      </c>
      <c r="B230" s="5" t="s">
        <v>443</v>
      </c>
      <c r="C230" s="2"/>
      <c r="D230" s="5"/>
      <c r="E230" s="1">
        <v>4</v>
      </c>
      <c r="F230" s="1" t="s">
        <v>28</v>
      </c>
      <c r="G230" s="1">
        <v>4</v>
      </c>
      <c r="H230" s="1">
        <v>2</v>
      </c>
      <c r="I230" s="1">
        <v>2</v>
      </c>
      <c r="J230" s="1"/>
      <c r="K230" s="1">
        <v>500</v>
      </c>
      <c r="L230" s="1" t="str">
        <f>IFERROR(_xlfn.LET(_xlpm.x,VLOOKUP($A230,'[1]Markings Threadings'!$B$3:$L$245,3,0),IF(_xlpm.x=0,"",_xlpm.x)),"")</f>
        <v/>
      </c>
      <c r="M230" s="2" t="str">
        <f>IFERROR(_xlfn.LET(_xlpm.x,VLOOKUP($A230,'[1]Markings Threadings'!$B$3:$L$245,7,0),IF(_xlpm.x=0,"",_xlpm.x)),"")</f>
        <v/>
      </c>
      <c r="N230" s="5" t="str">
        <f>IFERROR(_xlfn.LET(_xlpm.x,VLOOKUP($A230,'[1]Markings Threadings'!$B$3:$L$245,8,0),IF(_xlpm.x=0,"",_xlpm.x)),"")</f>
        <v/>
      </c>
      <c r="O230" s="2" t="str">
        <f>IFERROR(_xlfn.LET(_xlpm.x,VLOOKUP($A230,'[1]Markings Threadings'!$B$3:$L$245,10,0),IF(_xlpm.x=0,"",_xlpm.x)),"")</f>
        <v/>
      </c>
      <c r="P230" s="5" t="str">
        <f>IFERROR(_xlfn.LET(_xlpm.x,VLOOKUP($A230,'[1]Markings Threadings'!$B$3:$L$245,11,0),IF(_xlpm.x=0,"",_xlpm.x)),"")</f>
        <v/>
      </c>
      <c r="Q230" s="1" t="str">
        <f>IFERROR(_xlfn.LET(_xlpm.x,VLOOKUP($A230,'[1]Markings Threadings'!$B$3:$L$245,4,0),IF(_xlpm.x=0,"",_xlpm.x)),"")</f>
        <v/>
      </c>
      <c r="R230" s="1" t="str">
        <f>IFERROR(_xlfn.LET(_xlpm.x,VLOOKUP($A230,'[1]Markings Threadings'!$B$3:$L$245,5,0),IF(_xlpm.x=0,"",_xlpm.x)),"")</f>
        <v/>
      </c>
      <c r="S230" s="1" t="str">
        <f>IFERROR(_xlfn.LET(_xlpm.x,VLOOKUP($A230,'[1]Markings Threadings'!$B$3:$L$245,6,0),IF(_xlpm.x=0,"",_xlpm.x)),"")</f>
        <v/>
      </c>
      <c r="T230" s="6" t="str">
        <f>IFERROR(_xlfn.LET(_xlpm.x,VLOOKUP($C230,[1]Summary!$A$2:$J$118,4,0),IF(_xlpm.x=0,"",_xlpm.x)),"")</f>
        <v/>
      </c>
      <c r="U230" s="6" t="str">
        <f>IFERROR(_xlfn.LET(_xlpm.x,VLOOKUP($C230,[1]Summary!$A$2:$J$118,5,0),IF(_xlpm.x=0,"",_xlpm.x)),"")</f>
        <v/>
      </c>
      <c r="V230" s="6" t="str">
        <f>IFERROR(_xlfn.LET(_xlpm.x,VLOOKUP($C230,[1]Summary!$A$2:$J$118,6,0),IF(_xlpm.x=0,"",_xlpm.x)),"")</f>
        <v/>
      </c>
      <c r="W230" s="6" t="str">
        <f>IFERROR(_xlfn.LET(_xlpm.x,VLOOKUP($C230,[1]Summary!$A$2:$J$118,7,0),IF(_xlpm.x=0,"",_xlpm.x)),"")</f>
        <v/>
      </c>
      <c r="X230" s="6" t="str">
        <f>IFERROR(_xlfn.LET(_xlpm.x,VLOOKUP($C230,[1]Summary!$A$2:$J$118,8,0),IF(_xlpm.x=0,"",_xlpm.x)),"")</f>
        <v/>
      </c>
      <c r="Y230" s="6" t="str">
        <f>IFERROR(_xlfn.LET(_xlpm.x,VLOOKUP($C230,[1]Summary!$A$2:$J$118,9,0),IF(_xlpm.x=0,"",_xlpm.x)),"")</f>
        <v/>
      </c>
      <c r="Z230" s="6" t="str">
        <f>IFERROR(_xlfn.LET(_xlpm.x,VLOOKUP($C230,[1]Summary!$A$2:$J$118,10,0),IF(_xlpm.x=0,"",_xlpm.x)),"")</f>
        <v/>
      </c>
    </row>
    <row r="231" spans="1:26" x14ac:dyDescent="0.25">
      <c r="A231" s="2">
        <v>1000000002787</v>
      </c>
      <c r="B231" s="5" t="s">
        <v>430</v>
      </c>
      <c r="C231" s="2"/>
      <c r="D231" s="5"/>
      <c r="E231" s="1">
        <v>4</v>
      </c>
      <c r="F231" s="1" t="s">
        <v>28</v>
      </c>
      <c r="G231" s="1">
        <v>4</v>
      </c>
      <c r="H231" s="1">
        <v>2</v>
      </c>
      <c r="I231" s="1">
        <v>2</v>
      </c>
      <c r="J231" s="1"/>
      <c r="K231" s="1">
        <v>500</v>
      </c>
      <c r="L231" s="1" t="str">
        <f>IFERROR(_xlfn.LET(_xlpm.x,VLOOKUP($A231,'[1]Markings Threadings'!$B$3:$L$245,3,0),IF(_xlpm.x=0,"",_xlpm.x)),"")</f>
        <v/>
      </c>
      <c r="M231" s="2" t="str">
        <f>IFERROR(_xlfn.LET(_xlpm.x,VLOOKUP($A231,'[1]Markings Threadings'!$B$3:$L$245,7,0),IF(_xlpm.x=0,"",_xlpm.x)),"")</f>
        <v/>
      </c>
      <c r="N231" s="5" t="str">
        <f>IFERROR(_xlfn.LET(_xlpm.x,VLOOKUP($A231,'[1]Markings Threadings'!$B$3:$L$245,8,0),IF(_xlpm.x=0,"",_xlpm.x)),"")</f>
        <v/>
      </c>
      <c r="O231" s="2" t="str">
        <f>IFERROR(_xlfn.LET(_xlpm.x,VLOOKUP($A231,'[1]Markings Threadings'!$B$3:$L$245,10,0),IF(_xlpm.x=0,"",_xlpm.x)),"")</f>
        <v/>
      </c>
      <c r="P231" s="5" t="str">
        <f>IFERROR(_xlfn.LET(_xlpm.x,VLOOKUP($A231,'[1]Markings Threadings'!$B$3:$L$245,11,0),IF(_xlpm.x=0,"",_xlpm.x)),"")</f>
        <v/>
      </c>
      <c r="Q231" s="1" t="str">
        <f>IFERROR(_xlfn.LET(_xlpm.x,VLOOKUP($A231,'[1]Markings Threadings'!$B$3:$L$245,4,0),IF(_xlpm.x=0,"",_xlpm.x)),"")</f>
        <v/>
      </c>
      <c r="R231" s="1" t="str">
        <f>IFERROR(_xlfn.LET(_xlpm.x,VLOOKUP($A231,'[1]Markings Threadings'!$B$3:$L$245,5,0),IF(_xlpm.x=0,"",_xlpm.x)),"")</f>
        <v/>
      </c>
      <c r="S231" s="1" t="str">
        <f>IFERROR(_xlfn.LET(_xlpm.x,VLOOKUP($A231,'[1]Markings Threadings'!$B$3:$L$245,6,0),IF(_xlpm.x=0,"",_xlpm.x)),"")</f>
        <v/>
      </c>
      <c r="T231" s="6" t="str">
        <f>IFERROR(_xlfn.LET(_xlpm.x,VLOOKUP($C231,[1]Summary!$A$2:$J$118,4,0),IF(_xlpm.x=0,"",_xlpm.x)),"")</f>
        <v/>
      </c>
      <c r="U231" s="6" t="str">
        <f>IFERROR(_xlfn.LET(_xlpm.x,VLOOKUP($C231,[1]Summary!$A$2:$J$118,5,0),IF(_xlpm.x=0,"",_xlpm.x)),"")</f>
        <v/>
      </c>
      <c r="V231" s="6" t="str">
        <f>IFERROR(_xlfn.LET(_xlpm.x,VLOOKUP($C231,[1]Summary!$A$2:$J$118,6,0),IF(_xlpm.x=0,"",_xlpm.x)),"")</f>
        <v/>
      </c>
      <c r="W231" s="6" t="str">
        <f>IFERROR(_xlfn.LET(_xlpm.x,VLOOKUP($C231,[1]Summary!$A$2:$J$118,7,0),IF(_xlpm.x=0,"",_xlpm.x)),"")</f>
        <v/>
      </c>
      <c r="X231" s="6" t="str">
        <f>IFERROR(_xlfn.LET(_xlpm.x,VLOOKUP($C231,[1]Summary!$A$2:$J$118,8,0),IF(_xlpm.x=0,"",_xlpm.x)),"")</f>
        <v/>
      </c>
      <c r="Y231" s="6" t="str">
        <f>IFERROR(_xlfn.LET(_xlpm.x,VLOOKUP($C231,[1]Summary!$A$2:$J$118,9,0),IF(_xlpm.x=0,"",_xlpm.x)),"")</f>
        <v/>
      </c>
      <c r="Z231" s="6" t="str">
        <f>IFERROR(_xlfn.LET(_xlpm.x,VLOOKUP($C231,[1]Summary!$A$2:$J$118,10,0),IF(_xlpm.x=0,"",_xlpm.x)),"")</f>
        <v/>
      </c>
    </row>
    <row r="232" spans="1:26" x14ac:dyDescent="0.25">
      <c r="A232" s="2">
        <v>1000000002788</v>
      </c>
      <c r="B232" s="5" t="s">
        <v>431</v>
      </c>
      <c r="C232" s="2"/>
      <c r="D232" s="5"/>
      <c r="E232" s="1">
        <v>4</v>
      </c>
      <c r="F232" s="1" t="s">
        <v>28</v>
      </c>
      <c r="G232" s="1">
        <v>4</v>
      </c>
      <c r="H232" s="1">
        <v>2</v>
      </c>
      <c r="I232" s="1">
        <v>2</v>
      </c>
      <c r="J232" s="1"/>
      <c r="K232" s="1">
        <v>500</v>
      </c>
      <c r="L232" s="1" t="str">
        <f>IFERROR(_xlfn.LET(_xlpm.x,VLOOKUP($A232,'[1]Markings Threadings'!$B$3:$L$245,3,0),IF(_xlpm.x=0,"",_xlpm.x)),"")</f>
        <v/>
      </c>
      <c r="M232" s="2" t="str">
        <f>IFERROR(_xlfn.LET(_xlpm.x,VLOOKUP($A232,'[1]Markings Threadings'!$B$3:$L$245,7,0),IF(_xlpm.x=0,"",_xlpm.x)),"")</f>
        <v/>
      </c>
      <c r="N232" s="5" t="str">
        <f>IFERROR(_xlfn.LET(_xlpm.x,VLOOKUP($A232,'[1]Markings Threadings'!$B$3:$L$245,8,0),IF(_xlpm.x=0,"",_xlpm.x)),"")</f>
        <v/>
      </c>
      <c r="O232" s="2" t="str">
        <f>IFERROR(_xlfn.LET(_xlpm.x,VLOOKUP($A232,'[1]Markings Threadings'!$B$3:$L$245,10,0),IF(_xlpm.x=0,"",_xlpm.x)),"")</f>
        <v/>
      </c>
      <c r="P232" s="5" t="str">
        <f>IFERROR(_xlfn.LET(_xlpm.x,VLOOKUP($A232,'[1]Markings Threadings'!$B$3:$L$245,11,0),IF(_xlpm.x=0,"",_xlpm.x)),"")</f>
        <v/>
      </c>
      <c r="Q232" s="1" t="str">
        <f>IFERROR(_xlfn.LET(_xlpm.x,VLOOKUP($A232,'[1]Markings Threadings'!$B$3:$L$245,4,0),IF(_xlpm.x=0,"",_xlpm.x)),"")</f>
        <v/>
      </c>
      <c r="R232" s="1" t="str">
        <f>IFERROR(_xlfn.LET(_xlpm.x,VLOOKUP($A232,'[1]Markings Threadings'!$B$3:$L$245,5,0),IF(_xlpm.x=0,"",_xlpm.x)),"")</f>
        <v/>
      </c>
      <c r="S232" s="1" t="str">
        <f>IFERROR(_xlfn.LET(_xlpm.x,VLOOKUP($A232,'[1]Markings Threadings'!$B$3:$L$245,6,0),IF(_xlpm.x=0,"",_xlpm.x)),"")</f>
        <v/>
      </c>
      <c r="T232" s="6" t="str">
        <f>IFERROR(_xlfn.LET(_xlpm.x,VLOOKUP($C232,[1]Summary!$A$2:$J$118,4,0),IF(_xlpm.x=0,"",_xlpm.x)),"")</f>
        <v/>
      </c>
      <c r="U232" s="6" t="str">
        <f>IFERROR(_xlfn.LET(_xlpm.x,VLOOKUP($C232,[1]Summary!$A$2:$J$118,5,0),IF(_xlpm.x=0,"",_xlpm.x)),"")</f>
        <v/>
      </c>
      <c r="V232" s="6" t="str">
        <f>IFERROR(_xlfn.LET(_xlpm.x,VLOOKUP($C232,[1]Summary!$A$2:$J$118,6,0),IF(_xlpm.x=0,"",_xlpm.x)),"")</f>
        <v/>
      </c>
      <c r="W232" s="6" t="str">
        <f>IFERROR(_xlfn.LET(_xlpm.x,VLOOKUP($C232,[1]Summary!$A$2:$J$118,7,0),IF(_xlpm.x=0,"",_xlpm.x)),"")</f>
        <v/>
      </c>
      <c r="X232" s="6" t="str">
        <f>IFERROR(_xlfn.LET(_xlpm.x,VLOOKUP($C232,[1]Summary!$A$2:$J$118,8,0),IF(_xlpm.x=0,"",_xlpm.x)),"")</f>
        <v/>
      </c>
      <c r="Y232" s="6" t="str">
        <f>IFERROR(_xlfn.LET(_xlpm.x,VLOOKUP($C232,[1]Summary!$A$2:$J$118,9,0),IF(_xlpm.x=0,"",_xlpm.x)),"")</f>
        <v/>
      </c>
      <c r="Z232" s="6" t="str">
        <f>IFERROR(_xlfn.LET(_xlpm.x,VLOOKUP($C232,[1]Summary!$A$2:$J$118,10,0),IF(_xlpm.x=0,"",_xlpm.x)),"")</f>
        <v/>
      </c>
    </row>
    <row r="233" spans="1:26" x14ac:dyDescent="0.25">
      <c r="A233" s="2">
        <v>1000000002789</v>
      </c>
      <c r="B233" s="5" t="s">
        <v>432</v>
      </c>
      <c r="C233" s="2"/>
      <c r="D233" s="5"/>
      <c r="E233" s="1">
        <v>4</v>
      </c>
      <c r="F233" s="1" t="s">
        <v>28</v>
      </c>
      <c r="G233" s="1">
        <v>4</v>
      </c>
      <c r="H233" s="1">
        <v>2</v>
      </c>
      <c r="I233" s="1">
        <v>2</v>
      </c>
      <c r="J233" s="1"/>
      <c r="K233" s="1">
        <v>500</v>
      </c>
      <c r="L233" s="1" t="str">
        <f>IFERROR(_xlfn.LET(_xlpm.x,VLOOKUP($A233,'[1]Markings Threadings'!$B$3:$L$245,3,0),IF(_xlpm.x=0,"",_xlpm.x)),"")</f>
        <v/>
      </c>
      <c r="M233" s="2" t="str">
        <f>IFERROR(_xlfn.LET(_xlpm.x,VLOOKUP($A233,'[1]Markings Threadings'!$B$3:$L$245,7,0),IF(_xlpm.x=0,"",_xlpm.x)),"")</f>
        <v/>
      </c>
      <c r="N233" s="5" t="str">
        <f>IFERROR(_xlfn.LET(_xlpm.x,VLOOKUP($A233,'[1]Markings Threadings'!$B$3:$L$245,8,0),IF(_xlpm.x=0,"",_xlpm.x)),"")</f>
        <v/>
      </c>
      <c r="O233" s="2" t="str">
        <f>IFERROR(_xlfn.LET(_xlpm.x,VLOOKUP($A233,'[1]Markings Threadings'!$B$3:$L$245,10,0),IF(_xlpm.x=0,"",_xlpm.x)),"")</f>
        <v/>
      </c>
      <c r="P233" s="5" t="str">
        <f>IFERROR(_xlfn.LET(_xlpm.x,VLOOKUP($A233,'[1]Markings Threadings'!$B$3:$L$245,11,0),IF(_xlpm.x=0,"",_xlpm.x)),"")</f>
        <v/>
      </c>
      <c r="Q233" s="1" t="str">
        <f>IFERROR(_xlfn.LET(_xlpm.x,VLOOKUP($A233,'[1]Markings Threadings'!$B$3:$L$245,4,0),IF(_xlpm.x=0,"",_xlpm.x)),"")</f>
        <v/>
      </c>
      <c r="R233" s="1" t="str">
        <f>IFERROR(_xlfn.LET(_xlpm.x,VLOOKUP($A233,'[1]Markings Threadings'!$B$3:$L$245,5,0),IF(_xlpm.x=0,"",_xlpm.x)),"")</f>
        <v/>
      </c>
      <c r="S233" s="1" t="str">
        <f>IFERROR(_xlfn.LET(_xlpm.x,VLOOKUP($A233,'[1]Markings Threadings'!$B$3:$L$245,6,0),IF(_xlpm.x=0,"",_xlpm.x)),"")</f>
        <v/>
      </c>
      <c r="T233" s="6" t="str">
        <f>IFERROR(_xlfn.LET(_xlpm.x,VLOOKUP($C233,[1]Summary!$A$2:$J$118,4,0),IF(_xlpm.x=0,"",_xlpm.x)),"")</f>
        <v/>
      </c>
      <c r="U233" s="6" t="str">
        <f>IFERROR(_xlfn.LET(_xlpm.x,VLOOKUP($C233,[1]Summary!$A$2:$J$118,5,0),IF(_xlpm.x=0,"",_xlpm.x)),"")</f>
        <v/>
      </c>
      <c r="V233" s="6" t="str">
        <f>IFERROR(_xlfn.LET(_xlpm.x,VLOOKUP($C233,[1]Summary!$A$2:$J$118,6,0),IF(_xlpm.x=0,"",_xlpm.x)),"")</f>
        <v/>
      </c>
      <c r="W233" s="6" t="str">
        <f>IFERROR(_xlfn.LET(_xlpm.x,VLOOKUP($C233,[1]Summary!$A$2:$J$118,7,0),IF(_xlpm.x=0,"",_xlpm.x)),"")</f>
        <v/>
      </c>
      <c r="X233" s="6" t="str">
        <f>IFERROR(_xlfn.LET(_xlpm.x,VLOOKUP($C233,[1]Summary!$A$2:$J$118,8,0),IF(_xlpm.x=0,"",_xlpm.x)),"")</f>
        <v/>
      </c>
      <c r="Y233" s="6" t="str">
        <f>IFERROR(_xlfn.LET(_xlpm.x,VLOOKUP($C233,[1]Summary!$A$2:$J$118,9,0),IF(_xlpm.x=0,"",_xlpm.x)),"")</f>
        <v/>
      </c>
      <c r="Z233" s="6" t="str">
        <f>IFERROR(_xlfn.LET(_xlpm.x,VLOOKUP($C233,[1]Summary!$A$2:$J$118,10,0),IF(_xlpm.x=0,"",_xlpm.x)),"")</f>
        <v/>
      </c>
    </row>
    <row r="234" spans="1:26" x14ac:dyDescent="0.25">
      <c r="A234" s="2"/>
      <c r="B234" s="5"/>
      <c r="C234" s="2">
        <v>3000000000661</v>
      </c>
      <c r="D234" s="5" t="s">
        <v>444</v>
      </c>
      <c r="E234" s="1"/>
      <c r="F234" s="1" t="s">
        <v>44</v>
      </c>
      <c r="G234" s="1">
        <v>2</v>
      </c>
      <c r="H234" s="1">
        <v>2</v>
      </c>
      <c r="I234" s="1">
        <v>2</v>
      </c>
      <c r="J234" s="1"/>
      <c r="K234" s="1">
        <v>50</v>
      </c>
      <c r="L234" s="1" t="str">
        <f>IFERROR(_xlfn.LET(_xlpm.x,VLOOKUP($A234,'[1]Markings Threadings'!$B$3:$L$245,3,0),IF(_xlpm.x=0,"",_xlpm.x)),"")</f>
        <v/>
      </c>
      <c r="M234" s="2" t="str">
        <f>IFERROR(_xlfn.LET(_xlpm.x,VLOOKUP($A234,'[1]Markings Threadings'!$B$3:$L$245,7,0),IF(_xlpm.x=0,"",_xlpm.x)),"")</f>
        <v/>
      </c>
      <c r="N234" s="5" t="str">
        <f>IFERROR(_xlfn.LET(_xlpm.x,VLOOKUP($A234,'[1]Markings Threadings'!$B$3:$L$245,8,0),IF(_xlpm.x=0,"",_xlpm.x)),"")</f>
        <v/>
      </c>
      <c r="O234" s="2" t="str">
        <f>IFERROR(_xlfn.LET(_xlpm.x,VLOOKUP($A234,'[1]Markings Threadings'!$B$3:$L$245,10,0),IF(_xlpm.x=0,"",_xlpm.x)),"")</f>
        <v/>
      </c>
      <c r="P234" s="5" t="str">
        <f>IFERROR(_xlfn.LET(_xlpm.x,VLOOKUP($A234,'[1]Markings Threadings'!$B$3:$L$245,11,0),IF(_xlpm.x=0,"",_xlpm.x)),"")</f>
        <v/>
      </c>
      <c r="Q234" s="1" t="str">
        <f>IFERROR(_xlfn.LET(_xlpm.x,VLOOKUP($A234,'[1]Markings Threadings'!$B$3:$L$245,4,0),IF(_xlpm.x=0,"",_xlpm.x)),"")</f>
        <v/>
      </c>
      <c r="R234" s="1" t="str">
        <f>IFERROR(_xlfn.LET(_xlpm.x,VLOOKUP($A234,'[1]Markings Threadings'!$B$3:$L$245,5,0),IF(_xlpm.x=0,"",_xlpm.x)),"")</f>
        <v/>
      </c>
      <c r="S234" s="1" t="str">
        <f>IFERROR(_xlfn.LET(_xlpm.x,VLOOKUP($A234,'[1]Markings Threadings'!$B$3:$L$245,6,0),IF(_xlpm.x=0,"",_xlpm.x)),"")</f>
        <v/>
      </c>
      <c r="T234" s="6" t="str">
        <f>IFERROR(_xlfn.LET(_xlpm.x,VLOOKUP($C234,[1]Summary!$A$2:$J$118,4,0),IF(_xlpm.x=0,"",_xlpm.x)),"")</f>
        <v/>
      </c>
      <c r="U234" s="6" t="str">
        <f>IFERROR(_xlfn.LET(_xlpm.x,VLOOKUP($C234,[1]Summary!$A$2:$J$118,5,0),IF(_xlpm.x=0,"",_xlpm.x)),"")</f>
        <v/>
      </c>
      <c r="V234" s="6" t="str">
        <f>IFERROR(_xlfn.LET(_xlpm.x,VLOOKUP($C234,[1]Summary!$A$2:$J$118,6,0),IF(_xlpm.x=0,"",_xlpm.x)),"")</f>
        <v/>
      </c>
      <c r="W234" s="6" t="str">
        <f>IFERROR(_xlfn.LET(_xlpm.x,VLOOKUP($C234,[1]Summary!$A$2:$J$118,7,0),IF(_xlpm.x=0,"",_xlpm.x)),"")</f>
        <v/>
      </c>
      <c r="X234" s="6" t="str">
        <f>IFERROR(_xlfn.LET(_xlpm.x,VLOOKUP($C234,[1]Summary!$A$2:$J$118,8,0),IF(_xlpm.x=0,"",_xlpm.x)),"")</f>
        <v/>
      </c>
      <c r="Y234" s="6" t="str">
        <f>IFERROR(_xlfn.LET(_xlpm.x,VLOOKUP($C234,[1]Summary!$A$2:$J$118,9,0),IF(_xlpm.x=0,"",_xlpm.x)),"")</f>
        <v/>
      </c>
      <c r="Z234" s="6" t="str">
        <f>IFERROR(_xlfn.LET(_xlpm.x,VLOOKUP($C234,[1]Summary!$A$2:$J$118,10,0),IF(_xlpm.x=0,"",_xlpm.x)),"")</f>
        <v/>
      </c>
    </row>
    <row r="235" spans="1:26" x14ac:dyDescent="0.25">
      <c r="A235" s="2">
        <v>1000000002832</v>
      </c>
      <c r="B235" s="5" t="s">
        <v>445</v>
      </c>
      <c r="C235" s="2">
        <v>3000000001772</v>
      </c>
      <c r="D235" s="5" t="s">
        <v>446</v>
      </c>
      <c r="E235" s="1">
        <v>4</v>
      </c>
      <c r="F235" s="1" t="s">
        <v>54</v>
      </c>
      <c r="G235" s="1">
        <v>4</v>
      </c>
      <c r="H235" s="1">
        <v>2</v>
      </c>
      <c r="I235" s="1">
        <v>2</v>
      </c>
      <c r="J235" s="1"/>
      <c r="K235" s="1">
        <v>50</v>
      </c>
      <c r="L235" s="1" t="str">
        <f>IFERROR(_xlfn.LET(_xlpm.x,VLOOKUP($A235,'[1]Markings Threadings'!$B$3:$L$245,3,0),IF(_xlpm.x=0,"",_xlpm.x)),"")</f>
        <v>Yellow Green</v>
      </c>
      <c r="M235" s="2">
        <f>IFERROR(_xlfn.LET(_xlpm.x,VLOOKUP($A235,'[1]Markings Threadings'!$B$3:$L$245,7,0),IF(_xlpm.x=0,"",_xlpm.x)),"")</f>
        <v>5000000000555</v>
      </c>
      <c r="N235" s="5" t="str">
        <f>IFERROR(_xlfn.LET(_xlpm.x,VLOOKUP($A235,'[1]Markings Threadings'!$B$3:$L$245,8,0),IF(_xlpm.x=0,"",_xlpm.x)),"")</f>
        <v>v2 - Poultry Solutions Breeder Layer 1, 50kg</v>
      </c>
      <c r="O235" s="2">
        <f>IFERROR(_xlfn.LET(_xlpm.x,VLOOKUP($A235,'[1]Markings Threadings'!$B$3:$L$245,10,0),IF(_xlpm.x=0,"",_xlpm.x)),"")</f>
        <v>5000000000614</v>
      </c>
      <c r="P235" s="5" t="str">
        <f>IFERROR(_xlfn.LET(_xlpm.x,VLOOKUP($A235,'[1]Markings Threadings'!$B$3:$L$245,11,0),IF(_xlpm.x=0,"",_xlpm.x)),"")</f>
        <v>Poultry Solutions Breeder Layer 1 Crumble, 50kg</v>
      </c>
      <c r="Q235" s="1" t="str">
        <f>IFERROR(_xlfn.LET(_xlpm.x,VLOOKUP($A235,'[1]Markings Threadings'!$B$3:$L$245,4,0),IF(_xlpm.x=0,"",_xlpm.x)),"")</f>
        <v>2832 COBB L-1 MNTRX</v>
      </c>
      <c r="R235" s="1" t="str">
        <f>IFERROR(_xlfn.LET(_xlpm.x,VLOOKUP($A235,'[1]Markings Threadings'!$B$3:$L$245,5,0),IF(_xlpm.x=0,"",_xlpm.x)),"")</f>
        <v/>
      </c>
      <c r="S235" s="1">
        <f>IFERROR(_xlfn.LET(_xlpm.x,VLOOKUP($A235,'[1]Markings Threadings'!$B$3:$L$245,6,0),IF(_xlpm.x=0,"",_xlpm.x)),"")</f>
        <v>6</v>
      </c>
      <c r="T235" s="6" t="str">
        <f>IFERROR(_xlfn.LET(_xlpm.x,VLOOKUP($C235,[1]Summary!$A$2:$J$118,4,0),IF(_xlpm.x=0,"",_xlpm.x)),"")</f>
        <v/>
      </c>
      <c r="U235" s="6" t="str">
        <f>IFERROR(_xlfn.LET(_xlpm.x,VLOOKUP($C235,[1]Summary!$A$2:$J$118,5,0),IF(_xlpm.x=0,"",_xlpm.x)),"")</f>
        <v/>
      </c>
      <c r="V235" s="6" t="str">
        <f>IFERROR(_xlfn.LET(_xlpm.x,VLOOKUP($C235,[1]Summary!$A$2:$J$118,6,0),IF(_xlpm.x=0,"",_xlpm.x)),"")</f>
        <v/>
      </c>
      <c r="W235" s="6" t="str">
        <f>IFERROR(_xlfn.LET(_xlpm.x,VLOOKUP($C235,[1]Summary!$A$2:$J$118,7,0),IF(_xlpm.x=0,"",_xlpm.x)),"")</f>
        <v/>
      </c>
      <c r="X235" s="6" t="str">
        <f>IFERROR(_xlfn.LET(_xlpm.x,VLOOKUP($C235,[1]Summary!$A$2:$J$118,8,0),IF(_xlpm.x=0,"",_xlpm.x)),"")</f>
        <v/>
      </c>
      <c r="Y235" s="6" t="str">
        <f>IFERROR(_xlfn.LET(_xlpm.x,VLOOKUP($C235,[1]Summary!$A$2:$J$118,9,0),IF(_xlpm.x=0,"",_xlpm.x)),"")</f>
        <v/>
      </c>
      <c r="Z235" s="6" t="str">
        <f>IFERROR(_xlfn.LET(_xlpm.x,VLOOKUP($C235,[1]Summary!$A$2:$J$118,10,0),IF(_xlpm.x=0,"",_xlpm.x)),"")</f>
        <v/>
      </c>
    </row>
    <row r="236" spans="1:26" x14ac:dyDescent="0.25">
      <c r="A236" s="2">
        <v>1000000002833</v>
      </c>
      <c r="B236" s="5" t="s">
        <v>445</v>
      </c>
      <c r="C236" s="2">
        <v>3000000001773</v>
      </c>
      <c r="D236" s="5" t="s">
        <v>447</v>
      </c>
      <c r="E236" s="1">
        <v>4</v>
      </c>
      <c r="F236" s="1" t="s">
        <v>54</v>
      </c>
      <c r="G236" s="1">
        <v>4</v>
      </c>
      <c r="H236" s="1">
        <v>2</v>
      </c>
      <c r="I236" s="1">
        <v>2</v>
      </c>
      <c r="J236" s="1"/>
      <c r="K236" s="1">
        <v>50</v>
      </c>
      <c r="L236" s="1" t="str">
        <f>IFERROR(_xlfn.LET(_xlpm.x,VLOOKUP($A236,'[1]Markings Threadings'!$B$3:$L$245,3,0),IF(_xlpm.x=0,"",_xlpm.x)),"")</f>
        <v>Red Blue</v>
      </c>
      <c r="M236" s="2">
        <f>IFERROR(_xlfn.LET(_xlpm.x,VLOOKUP($A236,'[1]Markings Threadings'!$B$3:$L$245,7,0),IF(_xlpm.x=0,"",_xlpm.x)),"")</f>
        <v>5000000000983</v>
      </c>
      <c r="N236" s="5" t="str">
        <f>IFERROR(_xlfn.LET(_xlpm.x,VLOOKUP($A236,'[1]Markings Threadings'!$B$3:$L$245,8,0),IF(_xlpm.x=0,"",_xlpm.x)),"")</f>
        <v>V2-POULTRY SOLUTIONS BREEDER LAYER2 50KG</v>
      </c>
      <c r="O236" s="2">
        <f>IFERROR(_xlfn.LET(_xlpm.x,VLOOKUP($A236,'[1]Markings Threadings'!$B$3:$L$245,10,0),IF(_xlpm.x=0,"",_xlpm.x)),"")</f>
        <v>5000000000117</v>
      </c>
      <c r="P236" s="5" t="str">
        <f>IFERROR(_xlfn.LET(_xlpm.x,VLOOKUP($A236,'[1]Markings Threadings'!$B$3:$L$245,11,0),IF(_xlpm.x=0,"",_xlpm.x)),"")</f>
        <v>TAG POULTRY SOLUTIONS CHICKEN LAYER 2</v>
      </c>
      <c r="Q236" s="1" t="str">
        <f>IFERROR(_xlfn.LET(_xlpm.x,VLOOKUP($A236,'[1]Markings Threadings'!$B$3:$L$245,4,0),IF(_xlpm.x=0,"",_xlpm.x)),"")</f>
        <v>2833 COBB L-2 MNTRX</v>
      </c>
      <c r="R236" s="1" t="str">
        <f>IFERROR(_xlfn.LET(_xlpm.x,VLOOKUP($A236,'[1]Markings Threadings'!$B$3:$L$245,5,0),IF(_xlpm.x=0,"",_xlpm.x)),"")</f>
        <v/>
      </c>
      <c r="S236" s="1">
        <f>IFERROR(_xlfn.LET(_xlpm.x,VLOOKUP($A236,'[1]Markings Threadings'!$B$3:$L$245,6,0),IF(_xlpm.x=0,"",_xlpm.x)),"")</f>
        <v>6</v>
      </c>
      <c r="T236" s="6" t="str">
        <f>IFERROR(_xlfn.LET(_xlpm.x,VLOOKUP($C236,[1]Summary!$A$2:$J$118,4,0),IF(_xlpm.x=0,"",_xlpm.x)),"")</f>
        <v/>
      </c>
      <c r="U236" s="6" t="str">
        <f>IFERROR(_xlfn.LET(_xlpm.x,VLOOKUP($C236,[1]Summary!$A$2:$J$118,5,0),IF(_xlpm.x=0,"",_xlpm.x)),"")</f>
        <v/>
      </c>
      <c r="V236" s="6" t="str">
        <f>IFERROR(_xlfn.LET(_xlpm.x,VLOOKUP($C236,[1]Summary!$A$2:$J$118,6,0),IF(_xlpm.x=0,"",_xlpm.x)),"")</f>
        <v/>
      </c>
      <c r="W236" s="6" t="str">
        <f>IFERROR(_xlfn.LET(_xlpm.x,VLOOKUP($C236,[1]Summary!$A$2:$J$118,7,0),IF(_xlpm.x=0,"",_xlpm.x)),"")</f>
        <v/>
      </c>
      <c r="X236" s="6" t="str">
        <f>IFERROR(_xlfn.LET(_xlpm.x,VLOOKUP($C236,[1]Summary!$A$2:$J$118,8,0),IF(_xlpm.x=0,"",_xlpm.x)),"")</f>
        <v/>
      </c>
      <c r="Y236" s="6" t="str">
        <f>IFERROR(_xlfn.LET(_xlpm.x,VLOOKUP($C236,[1]Summary!$A$2:$J$118,9,0),IF(_xlpm.x=0,"",_xlpm.x)),"")</f>
        <v/>
      </c>
      <c r="Z236" s="6" t="str">
        <f>IFERROR(_xlfn.LET(_xlpm.x,VLOOKUP($C236,[1]Summary!$A$2:$J$118,10,0),IF(_xlpm.x=0,"",_xlpm.x)),"")</f>
        <v/>
      </c>
    </row>
    <row r="237" spans="1:26" x14ac:dyDescent="0.25">
      <c r="A237" s="2">
        <v>1000000002836</v>
      </c>
      <c r="B237" s="5" t="s">
        <v>448</v>
      </c>
      <c r="C237" s="2">
        <v>3000000000188</v>
      </c>
      <c r="D237" s="5" t="s">
        <v>146</v>
      </c>
      <c r="E237" s="1"/>
      <c r="F237" s="1" t="s">
        <v>44</v>
      </c>
      <c r="G237" s="1">
        <v>2</v>
      </c>
      <c r="H237" s="1">
        <v>2</v>
      </c>
      <c r="I237" s="1">
        <v>2</v>
      </c>
      <c r="J237" s="1"/>
      <c r="K237" s="1">
        <v>750</v>
      </c>
      <c r="L237" s="1" t="str">
        <f>IFERROR(_xlfn.LET(_xlpm.x,VLOOKUP($A237,'[1]Markings Threadings'!$B$3:$L$245,3,0),IF(_xlpm.x=0,"",_xlpm.x)),"")</f>
        <v/>
      </c>
      <c r="M237" s="2" t="str">
        <f>IFERROR(_xlfn.LET(_xlpm.x,VLOOKUP($A237,'[1]Markings Threadings'!$B$3:$L$245,7,0),IF(_xlpm.x=0,"",_xlpm.x)),"")</f>
        <v/>
      </c>
      <c r="N237" s="5" t="str">
        <f>IFERROR(_xlfn.LET(_xlpm.x,VLOOKUP($A237,'[1]Markings Threadings'!$B$3:$L$245,8,0),IF(_xlpm.x=0,"",_xlpm.x)),"")</f>
        <v/>
      </c>
      <c r="O237" s="2" t="str">
        <f>IFERROR(_xlfn.LET(_xlpm.x,VLOOKUP($A237,'[1]Markings Threadings'!$B$3:$L$245,10,0),IF(_xlpm.x=0,"",_xlpm.x)),"")</f>
        <v/>
      </c>
      <c r="P237" s="5" t="str">
        <f>IFERROR(_xlfn.LET(_xlpm.x,VLOOKUP($A237,'[1]Markings Threadings'!$B$3:$L$245,11,0),IF(_xlpm.x=0,"",_xlpm.x)),"")</f>
        <v/>
      </c>
      <c r="Q237" s="1" t="str">
        <f>IFERROR(_xlfn.LET(_xlpm.x,VLOOKUP($A237,'[1]Markings Threadings'!$B$3:$L$245,4,0),IF(_xlpm.x=0,"",_xlpm.x)),"")</f>
        <v/>
      </c>
      <c r="R237" s="1" t="str">
        <f>IFERROR(_xlfn.LET(_xlpm.x,VLOOKUP($A237,'[1]Markings Threadings'!$B$3:$L$245,5,0),IF(_xlpm.x=0,"",_xlpm.x)),"")</f>
        <v/>
      </c>
      <c r="S237" s="1" t="str">
        <f>IFERROR(_xlfn.LET(_xlpm.x,VLOOKUP($A237,'[1]Markings Threadings'!$B$3:$L$245,6,0),IF(_xlpm.x=0,"",_xlpm.x)),"")</f>
        <v/>
      </c>
      <c r="T237" s="6" t="str">
        <f>IFERROR(_xlfn.LET(_xlpm.x,VLOOKUP($C237,[1]Summary!$A$2:$J$118,4,0),IF(_xlpm.x=0,"",_xlpm.x)),"")</f>
        <v/>
      </c>
      <c r="U237" s="6" t="str">
        <f>IFERROR(_xlfn.LET(_xlpm.x,VLOOKUP($C237,[1]Summary!$A$2:$J$118,5,0),IF(_xlpm.x=0,"",_xlpm.x)),"")</f>
        <v/>
      </c>
      <c r="V237" s="6" t="str">
        <f>IFERROR(_xlfn.LET(_xlpm.x,VLOOKUP($C237,[1]Summary!$A$2:$J$118,6,0),IF(_xlpm.x=0,"",_xlpm.x)),"")</f>
        <v/>
      </c>
      <c r="W237" s="6" t="str">
        <f>IFERROR(_xlfn.LET(_xlpm.x,VLOOKUP($C237,[1]Summary!$A$2:$J$118,7,0),IF(_xlpm.x=0,"",_xlpm.x)),"")</f>
        <v/>
      </c>
      <c r="X237" s="6" t="str">
        <f>IFERROR(_xlfn.LET(_xlpm.x,VLOOKUP($C237,[1]Summary!$A$2:$J$118,8,0),IF(_xlpm.x=0,"",_xlpm.x)),"")</f>
        <v/>
      </c>
      <c r="Y237" s="6" t="str">
        <f>IFERROR(_xlfn.LET(_xlpm.x,VLOOKUP($C237,[1]Summary!$A$2:$J$118,9,0),IF(_xlpm.x=0,"",_xlpm.x)),"")</f>
        <v/>
      </c>
      <c r="Z237" s="6" t="str">
        <f>IFERROR(_xlfn.LET(_xlpm.x,VLOOKUP($C237,[1]Summary!$A$2:$J$118,10,0),IF(_xlpm.x=0,"",_xlpm.x)),"")</f>
        <v/>
      </c>
    </row>
    <row r="238" spans="1:26" x14ac:dyDescent="0.25">
      <c r="A238" s="2">
        <v>1000000002837</v>
      </c>
      <c r="B238" s="5" t="s">
        <v>449</v>
      </c>
      <c r="C238" s="2">
        <v>3000000000174</v>
      </c>
      <c r="D238" s="5" t="s">
        <v>450</v>
      </c>
      <c r="E238" s="1"/>
      <c r="F238" s="1" t="s">
        <v>44</v>
      </c>
      <c r="G238" s="1">
        <v>2</v>
      </c>
      <c r="H238" s="1">
        <v>2</v>
      </c>
      <c r="I238" s="1">
        <v>2</v>
      </c>
      <c r="J238" s="1"/>
      <c r="K238" s="1">
        <v>750</v>
      </c>
      <c r="L238" s="1" t="str">
        <f>IFERROR(_xlfn.LET(_xlpm.x,VLOOKUP($A238,'[1]Markings Threadings'!$B$3:$L$245,3,0),IF(_xlpm.x=0,"",_xlpm.x)),"")</f>
        <v/>
      </c>
      <c r="M238" s="2" t="str">
        <f>IFERROR(_xlfn.LET(_xlpm.x,VLOOKUP($A238,'[1]Markings Threadings'!$B$3:$L$245,7,0),IF(_xlpm.x=0,"",_xlpm.x)),"")</f>
        <v/>
      </c>
      <c r="N238" s="5" t="str">
        <f>IFERROR(_xlfn.LET(_xlpm.x,VLOOKUP($A238,'[1]Markings Threadings'!$B$3:$L$245,8,0),IF(_xlpm.x=0,"",_xlpm.x)),"")</f>
        <v/>
      </c>
      <c r="O238" s="2" t="str">
        <f>IFERROR(_xlfn.LET(_xlpm.x,VLOOKUP($A238,'[1]Markings Threadings'!$B$3:$L$245,10,0),IF(_xlpm.x=0,"",_xlpm.x)),"")</f>
        <v/>
      </c>
      <c r="P238" s="5" t="str">
        <f>IFERROR(_xlfn.LET(_xlpm.x,VLOOKUP($A238,'[1]Markings Threadings'!$B$3:$L$245,11,0),IF(_xlpm.x=0,"",_xlpm.x)),"")</f>
        <v/>
      </c>
      <c r="Q238" s="1" t="str">
        <f>IFERROR(_xlfn.LET(_xlpm.x,VLOOKUP($A238,'[1]Markings Threadings'!$B$3:$L$245,4,0),IF(_xlpm.x=0,"",_xlpm.x)),"")</f>
        <v/>
      </c>
      <c r="R238" s="1" t="str">
        <f>IFERROR(_xlfn.LET(_xlpm.x,VLOOKUP($A238,'[1]Markings Threadings'!$B$3:$L$245,5,0),IF(_xlpm.x=0,"",_xlpm.x)),"")</f>
        <v/>
      </c>
      <c r="S238" s="1" t="str">
        <f>IFERROR(_xlfn.LET(_xlpm.x,VLOOKUP($A238,'[1]Markings Threadings'!$B$3:$L$245,6,0),IF(_xlpm.x=0,"",_xlpm.x)),"")</f>
        <v/>
      </c>
      <c r="T238" s="6" t="str">
        <f>IFERROR(_xlfn.LET(_xlpm.x,VLOOKUP($C238,[1]Summary!$A$2:$J$118,4,0),IF(_xlpm.x=0,"",_xlpm.x)),"")</f>
        <v/>
      </c>
      <c r="U238" s="6" t="str">
        <f>IFERROR(_xlfn.LET(_xlpm.x,VLOOKUP($C238,[1]Summary!$A$2:$J$118,5,0),IF(_xlpm.x=0,"",_xlpm.x)),"")</f>
        <v/>
      </c>
      <c r="V238" s="6" t="str">
        <f>IFERROR(_xlfn.LET(_xlpm.x,VLOOKUP($C238,[1]Summary!$A$2:$J$118,6,0),IF(_xlpm.x=0,"",_xlpm.x)),"")</f>
        <v/>
      </c>
      <c r="W238" s="6" t="str">
        <f>IFERROR(_xlfn.LET(_xlpm.x,VLOOKUP($C238,[1]Summary!$A$2:$J$118,7,0),IF(_xlpm.x=0,"",_xlpm.x)),"")</f>
        <v/>
      </c>
      <c r="X238" s="6" t="str">
        <f>IFERROR(_xlfn.LET(_xlpm.x,VLOOKUP($C238,[1]Summary!$A$2:$J$118,8,0),IF(_xlpm.x=0,"",_xlpm.x)),"")</f>
        <v/>
      </c>
      <c r="Y238" s="6" t="str">
        <f>IFERROR(_xlfn.LET(_xlpm.x,VLOOKUP($C238,[1]Summary!$A$2:$J$118,9,0),IF(_xlpm.x=0,"",_xlpm.x)),"")</f>
        <v/>
      </c>
      <c r="Z238" s="6" t="str">
        <f>IFERROR(_xlfn.LET(_xlpm.x,VLOOKUP($C238,[1]Summary!$A$2:$J$118,10,0),IF(_xlpm.x=0,"",_xlpm.x)),"")</f>
        <v/>
      </c>
    </row>
    <row r="239" spans="1:26" x14ac:dyDescent="0.25">
      <c r="A239" s="2">
        <v>1000000002838</v>
      </c>
      <c r="B239" s="5" t="s">
        <v>451</v>
      </c>
      <c r="C239" s="2">
        <v>3000000000176</v>
      </c>
      <c r="D239" s="5" t="s">
        <v>452</v>
      </c>
      <c r="E239" s="1"/>
      <c r="F239" s="1" t="s">
        <v>44</v>
      </c>
      <c r="G239" s="1">
        <v>2</v>
      </c>
      <c r="H239" s="1">
        <v>2</v>
      </c>
      <c r="I239" s="1">
        <v>2</v>
      </c>
      <c r="J239" s="1"/>
      <c r="K239" s="1">
        <v>750</v>
      </c>
      <c r="L239" s="1" t="str">
        <f>IFERROR(_xlfn.LET(_xlpm.x,VLOOKUP($A239,'[1]Markings Threadings'!$B$3:$L$245,3,0),IF(_xlpm.x=0,"",_xlpm.x)),"")</f>
        <v/>
      </c>
      <c r="M239" s="2" t="str">
        <f>IFERROR(_xlfn.LET(_xlpm.x,VLOOKUP($A239,'[1]Markings Threadings'!$B$3:$L$245,7,0),IF(_xlpm.x=0,"",_xlpm.x)),"")</f>
        <v/>
      </c>
      <c r="N239" s="5" t="str">
        <f>IFERROR(_xlfn.LET(_xlpm.x,VLOOKUP($A239,'[1]Markings Threadings'!$B$3:$L$245,8,0),IF(_xlpm.x=0,"",_xlpm.x)),"")</f>
        <v/>
      </c>
      <c r="O239" s="2" t="str">
        <f>IFERROR(_xlfn.LET(_xlpm.x,VLOOKUP($A239,'[1]Markings Threadings'!$B$3:$L$245,10,0),IF(_xlpm.x=0,"",_xlpm.x)),"")</f>
        <v/>
      </c>
      <c r="P239" s="5" t="str">
        <f>IFERROR(_xlfn.LET(_xlpm.x,VLOOKUP($A239,'[1]Markings Threadings'!$B$3:$L$245,11,0),IF(_xlpm.x=0,"",_xlpm.x)),"")</f>
        <v/>
      </c>
      <c r="Q239" s="1" t="str">
        <f>IFERROR(_xlfn.LET(_xlpm.x,VLOOKUP($A239,'[1]Markings Threadings'!$B$3:$L$245,4,0),IF(_xlpm.x=0,"",_xlpm.x)),"")</f>
        <v/>
      </c>
      <c r="R239" s="1" t="str">
        <f>IFERROR(_xlfn.LET(_xlpm.x,VLOOKUP($A239,'[1]Markings Threadings'!$B$3:$L$245,5,0),IF(_xlpm.x=0,"",_xlpm.x)),"")</f>
        <v/>
      </c>
      <c r="S239" s="1" t="str">
        <f>IFERROR(_xlfn.LET(_xlpm.x,VLOOKUP($A239,'[1]Markings Threadings'!$B$3:$L$245,6,0),IF(_xlpm.x=0,"",_xlpm.x)),"")</f>
        <v/>
      </c>
      <c r="T239" s="6" t="str">
        <f>IFERROR(_xlfn.LET(_xlpm.x,VLOOKUP($C239,[1]Summary!$A$2:$J$118,4,0),IF(_xlpm.x=0,"",_xlpm.x)),"")</f>
        <v/>
      </c>
      <c r="U239" s="6" t="str">
        <f>IFERROR(_xlfn.LET(_xlpm.x,VLOOKUP($C239,[1]Summary!$A$2:$J$118,5,0),IF(_xlpm.x=0,"",_xlpm.x)),"")</f>
        <v/>
      </c>
      <c r="V239" s="6" t="str">
        <f>IFERROR(_xlfn.LET(_xlpm.x,VLOOKUP($C239,[1]Summary!$A$2:$J$118,6,0),IF(_xlpm.x=0,"",_xlpm.x)),"")</f>
        <v/>
      </c>
      <c r="W239" s="6" t="str">
        <f>IFERROR(_xlfn.LET(_xlpm.x,VLOOKUP($C239,[1]Summary!$A$2:$J$118,7,0),IF(_xlpm.x=0,"",_xlpm.x)),"")</f>
        <v/>
      </c>
      <c r="X239" s="6" t="str">
        <f>IFERROR(_xlfn.LET(_xlpm.x,VLOOKUP($C239,[1]Summary!$A$2:$J$118,8,0),IF(_xlpm.x=0,"",_xlpm.x)),"")</f>
        <v/>
      </c>
      <c r="Y239" s="6" t="str">
        <f>IFERROR(_xlfn.LET(_xlpm.x,VLOOKUP($C239,[1]Summary!$A$2:$J$118,9,0),IF(_xlpm.x=0,"",_xlpm.x)),"")</f>
        <v/>
      </c>
      <c r="Z239" s="6" t="str">
        <f>IFERROR(_xlfn.LET(_xlpm.x,VLOOKUP($C239,[1]Summary!$A$2:$J$118,10,0),IF(_xlpm.x=0,"",_xlpm.x)),"")</f>
        <v/>
      </c>
    </row>
    <row r="240" spans="1:26" x14ac:dyDescent="0.25">
      <c r="A240" s="2">
        <v>1000000002840</v>
      </c>
      <c r="B240" s="5" t="s">
        <v>453</v>
      </c>
      <c r="C240" s="2">
        <v>3000000000178</v>
      </c>
      <c r="D240" s="5" t="s">
        <v>454</v>
      </c>
      <c r="E240" s="1"/>
      <c r="F240" s="1" t="s">
        <v>44</v>
      </c>
      <c r="G240" s="1">
        <v>2</v>
      </c>
      <c r="H240" s="1">
        <v>2</v>
      </c>
      <c r="I240" s="1">
        <v>2</v>
      </c>
      <c r="J240" s="1"/>
      <c r="K240" s="1">
        <v>750</v>
      </c>
      <c r="L240" s="1" t="str">
        <f>IFERROR(_xlfn.LET(_xlpm.x,VLOOKUP($A240,'[1]Markings Threadings'!$B$3:$L$245,3,0),IF(_xlpm.x=0,"",_xlpm.x)),"")</f>
        <v/>
      </c>
      <c r="M240" s="2" t="str">
        <f>IFERROR(_xlfn.LET(_xlpm.x,VLOOKUP($A240,'[1]Markings Threadings'!$B$3:$L$245,7,0),IF(_xlpm.x=0,"",_xlpm.x)),"")</f>
        <v/>
      </c>
      <c r="N240" s="5" t="str">
        <f>IFERROR(_xlfn.LET(_xlpm.x,VLOOKUP($A240,'[1]Markings Threadings'!$B$3:$L$245,8,0),IF(_xlpm.x=0,"",_xlpm.x)),"")</f>
        <v/>
      </c>
      <c r="O240" s="2" t="str">
        <f>IFERROR(_xlfn.LET(_xlpm.x,VLOOKUP($A240,'[1]Markings Threadings'!$B$3:$L$245,10,0),IF(_xlpm.x=0,"",_xlpm.x)),"")</f>
        <v/>
      </c>
      <c r="P240" s="5" t="str">
        <f>IFERROR(_xlfn.LET(_xlpm.x,VLOOKUP($A240,'[1]Markings Threadings'!$B$3:$L$245,11,0),IF(_xlpm.x=0,"",_xlpm.x)),"")</f>
        <v/>
      </c>
      <c r="Q240" s="1" t="str">
        <f>IFERROR(_xlfn.LET(_xlpm.x,VLOOKUP($A240,'[1]Markings Threadings'!$B$3:$L$245,4,0),IF(_xlpm.x=0,"",_xlpm.x)),"")</f>
        <v/>
      </c>
      <c r="R240" s="1" t="str">
        <f>IFERROR(_xlfn.LET(_xlpm.x,VLOOKUP($A240,'[1]Markings Threadings'!$B$3:$L$245,5,0),IF(_xlpm.x=0,"",_xlpm.x)),"")</f>
        <v/>
      </c>
      <c r="S240" s="1" t="str">
        <f>IFERROR(_xlfn.LET(_xlpm.x,VLOOKUP($A240,'[1]Markings Threadings'!$B$3:$L$245,6,0),IF(_xlpm.x=0,"",_xlpm.x)),"")</f>
        <v/>
      </c>
      <c r="T240" s="6" t="str">
        <f>IFERROR(_xlfn.LET(_xlpm.x,VLOOKUP($C240,[1]Summary!$A$2:$J$118,4,0),IF(_xlpm.x=0,"",_xlpm.x)),"")</f>
        <v/>
      </c>
      <c r="U240" s="6" t="str">
        <f>IFERROR(_xlfn.LET(_xlpm.x,VLOOKUP($C240,[1]Summary!$A$2:$J$118,5,0),IF(_xlpm.x=0,"",_xlpm.x)),"")</f>
        <v/>
      </c>
      <c r="V240" s="6" t="str">
        <f>IFERROR(_xlfn.LET(_xlpm.x,VLOOKUP($C240,[1]Summary!$A$2:$J$118,6,0),IF(_xlpm.x=0,"",_xlpm.x)),"")</f>
        <v/>
      </c>
      <c r="W240" s="6" t="str">
        <f>IFERROR(_xlfn.LET(_xlpm.x,VLOOKUP($C240,[1]Summary!$A$2:$J$118,7,0),IF(_xlpm.x=0,"",_xlpm.x)),"")</f>
        <v/>
      </c>
      <c r="X240" s="6" t="str">
        <f>IFERROR(_xlfn.LET(_xlpm.x,VLOOKUP($C240,[1]Summary!$A$2:$J$118,8,0),IF(_xlpm.x=0,"",_xlpm.x)),"")</f>
        <v/>
      </c>
      <c r="Y240" s="6" t="str">
        <f>IFERROR(_xlfn.LET(_xlpm.x,VLOOKUP($C240,[1]Summary!$A$2:$J$118,9,0),IF(_xlpm.x=0,"",_xlpm.x)),"")</f>
        <v/>
      </c>
      <c r="Z240" s="6" t="str">
        <f>IFERROR(_xlfn.LET(_xlpm.x,VLOOKUP($C240,[1]Summary!$A$2:$J$118,10,0),IF(_xlpm.x=0,"",_xlpm.x)),"")</f>
        <v/>
      </c>
    </row>
    <row r="241" spans="1:26" x14ac:dyDescent="0.25">
      <c r="A241" s="2">
        <v>1000000002839</v>
      </c>
      <c r="B241" s="5" t="s">
        <v>455</v>
      </c>
      <c r="C241" s="2">
        <v>3000000000362</v>
      </c>
      <c r="D241" s="5" t="s">
        <v>177</v>
      </c>
      <c r="E241" s="1"/>
      <c r="F241" s="1" t="s">
        <v>44</v>
      </c>
      <c r="G241" s="1">
        <v>2</v>
      </c>
      <c r="H241" s="1">
        <v>2</v>
      </c>
      <c r="I241" s="1">
        <v>2</v>
      </c>
      <c r="J241" s="1"/>
      <c r="K241" s="1">
        <v>750</v>
      </c>
      <c r="L241" s="1" t="str">
        <f>IFERROR(_xlfn.LET(_xlpm.x,VLOOKUP($A241,'[1]Markings Threadings'!$B$3:$L$245,3,0),IF(_xlpm.x=0,"",_xlpm.x)),"")</f>
        <v/>
      </c>
      <c r="M241" s="2" t="str">
        <f>IFERROR(_xlfn.LET(_xlpm.x,VLOOKUP($A241,'[1]Markings Threadings'!$B$3:$L$245,7,0),IF(_xlpm.x=0,"",_xlpm.x)),"")</f>
        <v/>
      </c>
      <c r="N241" s="5" t="str">
        <f>IFERROR(_xlfn.LET(_xlpm.x,VLOOKUP($A241,'[1]Markings Threadings'!$B$3:$L$245,8,0),IF(_xlpm.x=0,"",_xlpm.x)),"")</f>
        <v/>
      </c>
      <c r="O241" s="2" t="str">
        <f>IFERROR(_xlfn.LET(_xlpm.x,VLOOKUP($A241,'[1]Markings Threadings'!$B$3:$L$245,10,0),IF(_xlpm.x=0,"",_xlpm.x)),"")</f>
        <v/>
      </c>
      <c r="P241" s="5" t="str">
        <f>IFERROR(_xlfn.LET(_xlpm.x,VLOOKUP($A241,'[1]Markings Threadings'!$B$3:$L$245,11,0),IF(_xlpm.x=0,"",_xlpm.x)),"")</f>
        <v/>
      </c>
      <c r="Q241" s="1" t="str">
        <f>IFERROR(_xlfn.LET(_xlpm.x,VLOOKUP($A241,'[1]Markings Threadings'!$B$3:$L$245,4,0),IF(_xlpm.x=0,"",_xlpm.x)),"")</f>
        <v/>
      </c>
      <c r="R241" s="1" t="str">
        <f>IFERROR(_xlfn.LET(_xlpm.x,VLOOKUP($A241,'[1]Markings Threadings'!$B$3:$L$245,5,0),IF(_xlpm.x=0,"",_xlpm.x)),"")</f>
        <v/>
      </c>
      <c r="S241" s="1" t="str">
        <f>IFERROR(_xlfn.LET(_xlpm.x,VLOOKUP($A241,'[1]Markings Threadings'!$B$3:$L$245,6,0),IF(_xlpm.x=0,"",_xlpm.x)),"")</f>
        <v/>
      </c>
      <c r="T241" s="6" t="str">
        <f>IFERROR(_xlfn.LET(_xlpm.x,VLOOKUP($C241,[1]Summary!$A$2:$J$118,4,0),IF(_xlpm.x=0,"",_xlpm.x)),"")</f>
        <v/>
      </c>
      <c r="U241" s="6" t="str">
        <f>IFERROR(_xlfn.LET(_xlpm.x,VLOOKUP($C241,[1]Summary!$A$2:$J$118,5,0),IF(_xlpm.x=0,"",_xlpm.x)),"")</f>
        <v/>
      </c>
      <c r="V241" s="6" t="str">
        <f>IFERROR(_xlfn.LET(_xlpm.x,VLOOKUP($C241,[1]Summary!$A$2:$J$118,6,0),IF(_xlpm.x=0,"",_xlpm.x)),"")</f>
        <v/>
      </c>
      <c r="W241" s="6" t="str">
        <f>IFERROR(_xlfn.LET(_xlpm.x,VLOOKUP($C241,[1]Summary!$A$2:$J$118,7,0),IF(_xlpm.x=0,"",_xlpm.x)),"")</f>
        <v/>
      </c>
      <c r="X241" s="6" t="str">
        <f>IFERROR(_xlfn.LET(_xlpm.x,VLOOKUP($C241,[1]Summary!$A$2:$J$118,8,0),IF(_xlpm.x=0,"",_xlpm.x)),"")</f>
        <v/>
      </c>
      <c r="Y241" s="6" t="str">
        <f>IFERROR(_xlfn.LET(_xlpm.x,VLOOKUP($C241,[1]Summary!$A$2:$J$118,9,0),IF(_xlpm.x=0,"",_xlpm.x)),"")</f>
        <v/>
      </c>
      <c r="Z241" s="6" t="str">
        <f>IFERROR(_xlfn.LET(_xlpm.x,VLOOKUP($C241,[1]Summary!$A$2:$J$118,10,0),IF(_xlpm.x=0,"",_xlpm.x)),"")</f>
        <v/>
      </c>
    </row>
    <row r="242" spans="1:26" x14ac:dyDescent="0.25">
      <c r="A242" s="2">
        <v>1000000002870</v>
      </c>
      <c r="B242" s="5" t="s">
        <v>456</v>
      </c>
      <c r="C242" s="2">
        <v>3000000001753</v>
      </c>
      <c r="D242" s="5" t="s">
        <v>456</v>
      </c>
      <c r="E242" s="1">
        <v>3</v>
      </c>
      <c r="F242" s="1" t="s">
        <v>54</v>
      </c>
      <c r="G242" s="1">
        <v>4</v>
      </c>
      <c r="H242" s="1">
        <v>2</v>
      </c>
      <c r="I242" s="1">
        <v>2</v>
      </c>
      <c r="J242" s="1"/>
      <c r="K242" s="1">
        <v>50</v>
      </c>
      <c r="L242" s="1" t="str">
        <f>IFERROR(_xlfn.LET(_xlpm.x,VLOOKUP($A242,'[1]Markings Threadings'!$B$3:$L$245,3,0),IF(_xlpm.x=0,"",_xlpm.x)),"")</f>
        <v>Green</v>
      </c>
      <c r="M242" s="2">
        <f>IFERROR(_xlfn.LET(_xlpm.x,VLOOKUP($A242,'[1]Markings Threadings'!$B$3:$L$245,7,0),IF(_xlpm.x=0,"",_xlpm.x)),"")</f>
        <v>5000000000561</v>
      </c>
      <c r="N242" s="5" t="str">
        <f>IFERROR(_xlfn.LET(_xlpm.x,VLOOKUP($A242,'[1]Markings Threadings'!$B$3:$L$245,8,0),IF(_xlpm.x=0,"",_xlpm.x)),"")</f>
        <v>v2 - Poultry Solutions Chick Starter, 50</v>
      </c>
      <c r="O242" s="2">
        <f>IFERROR(_xlfn.LET(_xlpm.x,VLOOKUP($A242,'[1]Markings Threadings'!$B$3:$L$245,10,0),IF(_xlpm.x=0,"",_xlpm.x)),"")</f>
        <v>5000000000125</v>
      </c>
      <c r="P242" s="5" t="str">
        <f>IFERROR(_xlfn.LET(_xlpm.x,VLOOKUP($A242,'[1]Markings Threadings'!$B$3:$L$245,11,0),IF(_xlpm.x=0,"",_xlpm.x)),"")</f>
        <v>Tag - Poultry Solutions Chick Starter Crumble</v>
      </c>
      <c r="Q242" s="1" t="str">
        <f>IFERROR(_xlfn.LET(_xlpm.x,VLOOKUP($A242,'[1]Markings Threadings'!$B$3:$L$245,4,0),IF(_xlpm.x=0,"",_xlpm.x)),"")</f>
        <v>2870 SFPI</v>
      </c>
      <c r="R242" s="1" t="str">
        <f>IFERROR(_xlfn.LET(_xlpm.x,VLOOKUP($A242,'[1]Markings Threadings'!$B$3:$L$245,5,0),IF(_xlpm.x=0,"",_xlpm.x)),"")</f>
        <v/>
      </c>
      <c r="S242" s="1">
        <f>IFERROR(_xlfn.LET(_xlpm.x,VLOOKUP($A242,'[1]Markings Threadings'!$B$3:$L$245,6,0),IF(_xlpm.x=0,"",_xlpm.x)),"")</f>
        <v>15</v>
      </c>
      <c r="T242" s="6" t="str">
        <f>IFERROR(_xlfn.LET(_xlpm.x,VLOOKUP($C242,[1]Summary!$A$2:$J$118,4,0),IF(_xlpm.x=0,"",_xlpm.x)),"")</f>
        <v/>
      </c>
      <c r="U242" s="6" t="str">
        <f>IFERROR(_xlfn.LET(_xlpm.x,VLOOKUP($C242,[1]Summary!$A$2:$J$118,5,0),IF(_xlpm.x=0,"",_xlpm.x)),"")</f>
        <v/>
      </c>
      <c r="V242" s="6" t="str">
        <f>IFERROR(_xlfn.LET(_xlpm.x,VLOOKUP($C242,[1]Summary!$A$2:$J$118,6,0),IF(_xlpm.x=0,"",_xlpm.x)),"")</f>
        <v/>
      </c>
      <c r="W242" s="6" t="str">
        <f>IFERROR(_xlfn.LET(_xlpm.x,VLOOKUP($C242,[1]Summary!$A$2:$J$118,7,0),IF(_xlpm.x=0,"",_xlpm.x)),"")</f>
        <v/>
      </c>
      <c r="X242" s="6" t="str">
        <f>IFERROR(_xlfn.LET(_xlpm.x,VLOOKUP($C242,[1]Summary!$A$2:$J$118,8,0),IF(_xlpm.x=0,"",_xlpm.x)),"")</f>
        <v/>
      </c>
      <c r="Y242" s="6" t="str">
        <f>IFERROR(_xlfn.LET(_xlpm.x,VLOOKUP($C242,[1]Summary!$A$2:$J$118,9,0),IF(_xlpm.x=0,"",_xlpm.x)),"")</f>
        <v/>
      </c>
      <c r="Z242" s="6" t="str">
        <f>IFERROR(_xlfn.LET(_xlpm.x,VLOOKUP($C242,[1]Summary!$A$2:$J$118,10,0),IF(_xlpm.x=0,"",_xlpm.x)),"")</f>
        <v/>
      </c>
    </row>
    <row r="243" spans="1:26" x14ac:dyDescent="0.25">
      <c r="A243" s="2">
        <v>1000000002871</v>
      </c>
      <c r="B243" s="5" t="s">
        <v>457</v>
      </c>
      <c r="C243" s="2">
        <v>3000000001754</v>
      </c>
      <c r="D243" s="5" t="s">
        <v>457</v>
      </c>
      <c r="E243" s="1">
        <v>4</v>
      </c>
      <c r="F243" s="1" t="s">
        <v>54</v>
      </c>
      <c r="G243" s="1">
        <v>4</v>
      </c>
      <c r="H243" s="1">
        <v>2</v>
      </c>
      <c r="I243" s="1">
        <v>2</v>
      </c>
      <c r="J243" s="1"/>
      <c r="K243" s="1">
        <v>50</v>
      </c>
      <c r="L243" s="1" t="str">
        <f>IFERROR(_xlfn.LET(_xlpm.x,VLOOKUP($A243,'[1]Markings Threadings'!$B$3:$L$245,3,0),IF(_xlpm.x=0,"",_xlpm.x)),"")</f>
        <v>Green</v>
      </c>
      <c r="M243" s="2">
        <f>IFERROR(_xlfn.LET(_xlpm.x,VLOOKUP($A243,'[1]Markings Threadings'!$B$3:$L$245,7,0),IF(_xlpm.x=0,"",_xlpm.x)),"")</f>
        <v>5000000000562</v>
      </c>
      <c r="N243" s="5" t="str">
        <f>IFERROR(_xlfn.LET(_xlpm.x,VLOOKUP($A243,'[1]Markings Threadings'!$B$3:$L$245,8,0),IF(_xlpm.x=0,"",_xlpm.x)),"")</f>
        <v>Sack Poultry Sol Chick Growex 1, 50kg</v>
      </c>
      <c r="O243" s="2">
        <f>IFERROR(_xlfn.LET(_xlpm.x,VLOOKUP($A243,'[1]Markings Threadings'!$B$3:$L$245,10,0),IF(_xlpm.x=0,"",_xlpm.x)),"")</f>
        <v>5000000000122</v>
      </c>
      <c r="P243" s="5" t="str">
        <f>IFERROR(_xlfn.LET(_xlpm.x,VLOOKUP($A243,'[1]Markings Threadings'!$B$3:$L$245,11,0),IF(_xlpm.x=0,"",_xlpm.x)),"")</f>
        <v>Tag - Poultry Solutions Chick Grower 1 Crumble</v>
      </c>
      <c r="Q243" s="1" t="str">
        <f>IFERROR(_xlfn.LET(_xlpm.x,VLOOKUP($A243,'[1]Markings Threadings'!$B$3:$L$245,4,0),IF(_xlpm.x=0,"",_xlpm.x)),"")</f>
        <v>2871 GB C - SFPI</v>
      </c>
      <c r="R243" s="1" t="str">
        <f>IFERROR(_xlfn.LET(_xlpm.x,VLOOKUP($A243,'[1]Markings Threadings'!$B$3:$L$245,5,0),IF(_xlpm.x=0,"",_xlpm.x)),"")</f>
        <v/>
      </c>
      <c r="S243" s="1">
        <f>IFERROR(_xlfn.LET(_xlpm.x,VLOOKUP($A243,'[1]Markings Threadings'!$B$3:$L$245,6,0),IF(_xlpm.x=0,"",_xlpm.x)),"")</f>
        <v>14</v>
      </c>
      <c r="T243" s="6" t="str">
        <f>IFERROR(_xlfn.LET(_xlpm.x,VLOOKUP($C243,[1]Summary!$A$2:$J$118,4,0),IF(_xlpm.x=0,"",_xlpm.x)),"")</f>
        <v/>
      </c>
      <c r="U243" s="6" t="str">
        <f>IFERROR(_xlfn.LET(_xlpm.x,VLOOKUP($C243,[1]Summary!$A$2:$J$118,5,0),IF(_xlpm.x=0,"",_xlpm.x)),"")</f>
        <v/>
      </c>
      <c r="V243" s="6" t="str">
        <f>IFERROR(_xlfn.LET(_xlpm.x,VLOOKUP($C243,[1]Summary!$A$2:$J$118,6,0),IF(_xlpm.x=0,"",_xlpm.x)),"")</f>
        <v/>
      </c>
      <c r="W243" s="6" t="str">
        <f>IFERROR(_xlfn.LET(_xlpm.x,VLOOKUP($C243,[1]Summary!$A$2:$J$118,7,0),IF(_xlpm.x=0,"",_xlpm.x)),"")</f>
        <v/>
      </c>
      <c r="X243" s="6" t="str">
        <f>IFERROR(_xlfn.LET(_xlpm.x,VLOOKUP($C243,[1]Summary!$A$2:$J$118,8,0),IF(_xlpm.x=0,"",_xlpm.x)),"")</f>
        <v/>
      </c>
      <c r="Y243" s="6" t="str">
        <f>IFERROR(_xlfn.LET(_xlpm.x,VLOOKUP($C243,[1]Summary!$A$2:$J$118,9,0),IF(_xlpm.x=0,"",_xlpm.x)),"")</f>
        <v/>
      </c>
      <c r="Z243" s="6" t="str">
        <f>IFERROR(_xlfn.LET(_xlpm.x,VLOOKUP($C243,[1]Summary!$A$2:$J$118,10,0),IF(_xlpm.x=0,"",_xlpm.x)),"")</f>
        <v/>
      </c>
    </row>
    <row r="244" spans="1:26" x14ac:dyDescent="0.25">
      <c r="A244" s="2">
        <v>1000000002872</v>
      </c>
      <c r="B244" s="5" t="s">
        <v>458</v>
      </c>
      <c r="C244" s="2">
        <v>3000000001755</v>
      </c>
      <c r="D244" s="5" t="s">
        <v>458</v>
      </c>
      <c r="E244" s="1">
        <v>4</v>
      </c>
      <c r="F244" s="1" t="s">
        <v>54</v>
      </c>
      <c r="G244" s="1">
        <v>4</v>
      </c>
      <c r="H244" s="1">
        <v>2</v>
      </c>
      <c r="I244" s="1">
        <v>2</v>
      </c>
      <c r="J244" s="1"/>
      <c r="K244" s="1">
        <v>50</v>
      </c>
      <c r="L244" s="1" t="str">
        <f>IFERROR(_xlfn.LET(_xlpm.x,VLOOKUP($A244,'[1]Markings Threadings'!$B$3:$L$245,3,0),IF(_xlpm.x=0,"",_xlpm.x)),"")</f>
        <v>Green</v>
      </c>
      <c r="M244" s="2">
        <f>IFERROR(_xlfn.LET(_xlpm.x,VLOOKUP($A244,'[1]Markings Threadings'!$B$3:$L$245,7,0),IF(_xlpm.x=0,"",_xlpm.x)),"")</f>
        <v>5000000000563</v>
      </c>
      <c r="N244" s="5" t="str">
        <f>IFERROR(_xlfn.LET(_xlpm.x,VLOOKUP($A244,'[1]Markings Threadings'!$B$3:$L$245,8,0),IF(_xlpm.x=0,"",_xlpm.x)),"")</f>
        <v>Sack Poultry Solutions Pre-Lay 50kg</v>
      </c>
      <c r="O244" s="2">
        <f>IFERROR(_xlfn.LET(_xlpm.x,VLOOKUP($A244,'[1]Markings Threadings'!$B$3:$L$245,10,0),IF(_xlpm.x=0,"",_xlpm.x)),"")</f>
        <v>5000000000615</v>
      </c>
      <c r="P244" s="5" t="str">
        <f>IFERROR(_xlfn.LET(_xlpm.x,VLOOKUP($A244,'[1]Markings Threadings'!$B$3:$L$245,11,0),IF(_xlpm.x=0,"",_xlpm.x)),"")</f>
        <v>Tag Poultry Solutions Pre-Lay Crumble</v>
      </c>
      <c r="Q244" s="1" t="str">
        <f>IFERROR(_xlfn.LET(_xlpm.x,VLOOKUP($A244,'[1]Markings Threadings'!$B$3:$L$245,4,0),IF(_xlpm.x=0,"",_xlpm.x)),"")</f>
        <v>2872 SFPI</v>
      </c>
      <c r="R244" s="1" t="str">
        <f>IFERROR(_xlfn.LET(_xlpm.x,VLOOKUP($A244,'[1]Markings Threadings'!$B$3:$L$245,5,0),IF(_xlpm.x=0,"",_xlpm.x)),"")</f>
        <v/>
      </c>
      <c r="S244" s="1">
        <f>IFERROR(_xlfn.LET(_xlpm.x,VLOOKUP($A244,'[1]Markings Threadings'!$B$3:$L$245,6,0),IF(_xlpm.x=0,"",_xlpm.x)),"")</f>
        <v>6</v>
      </c>
      <c r="T244" s="6" t="str">
        <f>IFERROR(_xlfn.LET(_xlpm.x,VLOOKUP($C244,[1]Summary!$A$2:$J$118,4,0),IF(_xlpm.x=0,"",_xlpm.x)),"")</f>
        <v/>
      </c>
      <c r="U244" s="6" t="str">
        <f>IFERROR(_xlfn.LET(_xlpm.x,VLOOKUP($C244,[1]Summary!$A$2:$J$118,5,0),IF(_xlpm.x=0,"",_xlpm.x)),"")</f>
        <v/>
      </c>
      <c r="V244" s="6" t="str">
        <f>IFERROR(_xlfn.LET(_xlpm.x,VLOOKUP($C244,[1]Summary!$A$2:$J$118,6,0),IF(_xlpm.x=0,"",_xlpm.x)),"")</f>
        <v/>
      </c>
      <c r="W244" s="6">
        <f>IFERROR(_xlfn.LET(_xlpm.x,VLOOKUP($C244,[1]Summary!$A$2:$J$118,7,0),IF(_xlpm.x=0,"",_xlpm.x)),"")</f>
        <v>7.9994880000000093</v>
      </c>
      <c r="X244" s="6" t="str">
        <f>IFERROR(_xlfn.LET(_xlpm.x,VLOOKUP($C244,[1]Summary!$A$2:$J$118,8,0),IF(_xlpm.x=0,"",_xlpm.x)),"")</f>
        <v/>
      </c>
      <c r="Y244" s="6" t="str">
        <f>IFERROR(_xlfn.LET(_xlpm.x,VLOOKUP($C244,[1]Summary!$A$2:$J$118,9,0),IF(_xlpm.x=0,"",_xlpm.x)),"")</f>
        <v/>
      </c>
      <c r="Z244" s="6" t="str">
        <f>IFERROR(_xlfn.LET(_xlpm.x,VLOOKUP($C244,[1]Summary!$A$2:$J$118,10,0),IF(_xlpm.x=0,"",_xlpm.x)),"")</f>
        <v/>
      </c>
    </row>
    <row r="245" spans="1:26" x14ac:dyDescent="0.25">
      <c r="A245" s="2">
        <v>1000000002873</v>
      </c>
      <c r="B245" s="5" t="s">
        <v>459</v>
      </c>
      <c r="C245" s="2">
        <v>3000000001756</v>
      </c>
      <c r="D245" s="5" t="s">
        <v>459</v>
      </c>
      <c r="E245" s="1">
        <v>4</v>
      </c>
      <c r="F245" s="1" t="s">
        <v>54</v>
      </c>
      <c r="G245" s="1">
        <v>4</v>
      </c>
      <c r="H245" s="1">
        <v>2</v>
      </c>
      <c r="I245" s="1">
        <v>2</v>
      </c>
      <c r="J245" s="1"/>
      <c r="K245" s="1">
        <v>50</v>
      </c>
      <c r="L245" s="1" t="str">
        <f>IFERROR(_xlfn.LET(_xlpm.x,VLOOKUP($A245,'[1]Markings Threadings'!$B$3:$L$245,3,0),IF(_xlpm.x=0,"",_xlpm.x)),"")</f>
        <v>Green</v>
      </c>
      <c r="M245" s="2">
        <f>IFERROR(_xlfn.LET(_xlpm.x,VLOOKUP($A245,'[1]Markings Threadings'!$B$3:$L$245,7,0),IF(_xlpm.x=0,"",_xlpm.x)),"")</f>
        <v>5000000000555</v>
      </c>
      <c r="N245" s="5" t="str">
        <f>IFERROR(_xlfn.LET(_xlpm.x,VLOOKUP($A245,'[1]Markings Threadings'!$B$3:$L$245,8,0),IF(_xlpm.x=0,"",_xlpm.x)),"")</f>
        <v>v2 - Poultry Solutions Breeder Layer 1, 50kg</v>
      </c>
      <c r="O245" s="2">
        <f>IFERROR(_xlfn.LET(_xlpm.x,VLOOKUP($A245,'[1]Markings Threadings'!$B$3:$L$245,10,0),IF(_xlpm.x=0,"",_xlpm.x)),"")</f>
        <v>5000000000614</v>
      </c>
      <c r="P245" s="5" t="str">
        <f>IFERROR(_xlfn.LET(_xlpm.x,VLOOKUP($A245,'[1]Markings Threadings'!$B$3:$L$245,11,0),IF(_xlpm.x=0,"",_xlpm.x)),"")</f>
        <v>Poultry Solutions Breeder Layer 1 Crumble, 50kg</v>
      </c>
      <c r="Q245" s="1" t="str">
        <f>IFERROR(_xlfn.LET(_xlpm.x,VLOOKUP($A245,'[1]Markings Threadings'!$B$3:$L$245,4,0),IF(_xlpm.x=0,"",_xlpm.x)),"")</f>
        <v>2873 SFPI</v>
      </c>
      <c r="R245" s="1" t="str">
        <f>IFERROR(_xlfn.LET(_xlpm.x,VLOOKUP($A245,'[1]Markings Threadings'!$B$3:$L$245,5,0),IF(_xlpm.x=0,"",_xlpm.x)),"")</f>
        <v/>
      </c>
      <c r="S245" s="1">
        <f>IFERROR(_xlfn.LET(_xlpm.x,VLOOKUP($A245,'[1]Markings Threadings'!$B$3:$L$245,6,0),IF(_xlpm.x=0,"",_xlpm.x)),"")</f>
        <v>6</v>
      </c>
      <c r="T245" s="6" t="str">
        <f>IFERROR(_xlfn.LET(_xlpm.x,VLOOKUP($C245,[1]Summary!$A$2:$J$118,4,0),IF(_xlpm.x=0,"",_xlpm.x)),"")</f>
        <v/>
      </c>
      <c r="U245" s="6" t="str">
        <f>IFERROR(_xlfn.LET(_xlpm.x,VLOOKUP($C245,[1]Summary!$A$2:$J$118,5,0),IF(_xlpm.x=0,"",_xlpm.x)),"")</f>
        <v/>
      </c>
      <c r="V245" s="6" t="str">
        <f>IFERROR(_xlfn.LET(_xlpm.x,VLOOKUP($C245,[1]Summary!$A$2:$J$118,6,0),IF(_xlpm.x=0,"",_xlpm.x)),"")</f>
        <v/>
      </c>
      <c r="W245" s="6">
        <f>IFERROR(_xlfn.LET(_xlpm.x,VLOOKUP($C245,[1]Summary!$A$2:$J$118,7,0),IF(_xlpm.x=0,"",_xlpm.x)),"")</f>
        <v>8.210000842105261</v>
      </c>
      <c r="X245" s="6" t="str">
        <f>IFERROR(_xlfn.LET(_xlpm.x,VLOOKUP($C245,[1]Summary!$A$2:$J$118,8,0),IF(_xlpm.x=0,"",_xlpm.x)),"")</f>
        <v/>
      </c>
      <c r="Y245" s="6" t="str">
        <f>IFERROR(_xlfn.LET(_xlpm.x,VLOOKUP($C245,[1]Summary!$A$2:$J$118,9,0),IF(_xlpm.x=0,"",_xlpm.x)),"")</f>
        <v/>
      </c>
      <c r="Z245" s="6" t="str">
        <f>IFERROR(_xlfn.LET(_xlpm.x,VLOOKUP($C245,[1]Summary!$A$2:$J$118,10,0),IF(_xlpm.x=0,"",_xlpm.x)),"")</f>
        <v/>
      </c>
    </row>
    <row r="246" spans="1:26" x14ac:dyDescent="0.25">
      <c r="A246" s="2">
        <v>1000000002874</v>
      </c>
      <c r="B246" s="5" t="s">
        <v>460</v>
      </c>
      <c r="C246" s="2">
        <v>3000000001757</v>
      </c>
      <c r="D246" s="5" t="s">
        <v>460</v>
      </c>
      <c r="E246" s="1">
        <v>4</v>
      </c>
      <c r="F246" s="1" t="s">
        <v>54</v>
      </c>
      <c r="G246" s="1">
        <v>4</v>
      </c>
      <c r="H246" s="1">
        <v>2</v>
      </c>
      <c r="I246" s="1">
        <v>2</v>
      </c>
      <c r="J246" s="1"/>
      <c r="K246" s="1">
        <v>50</v>
      </c>
      <c r="L246" s="1" t="str">
        <f>IFERROR(_xlfn.LET(_xlpm.x,VLOOKUP($A246,'[1]Markings Threadings'!$B$3:$L$245,3,0),IF(_xlpm.x=0,"",_xlpm.x)),"")</f>
        <v>Green</v>
      </c>
      <c r="M246" s="2">
        <f>IFERROR(_xlfn.LET(_xlpm.x,VLOOKUP($A246,'[1]Markings Threadings'!$B$3:$L$245,7,0),IF(_xlpm.x=0,"",_xlpm.x)),"")</f>
        <v>5000000000983</v>
      </c>
      <c r="N246" s="5" t="str">
        <f>IFERROR(_xlfn.LET(_xlpm.x,VLOOKUP($A246,'[1]Markings Threadings'!$B$3:$L$245,8,0),IF(_xlpm.x=0,"",_xlpm.x)),"")</f>
        <v>V2-POULTRY SOLUTIONS BREEDER LAYER2 50KG</v>
      </c>
      <c r="O246" s="2">
        <f>IFERROR(_xlfn.LET(_xlpm.x,VLOOKUP($A246,'[1]Markings Threadings'!$B$3:$L$245,10,0),IF(_xlpm.x=0,"",_xlpm.x)),"")</f>
        <v>5000000000117</v>
      </c>
      <c r="P246" s="5" t="str">
        <f>IFERROR(_xlfn.LET(_xlpm.x,VLOOKUP($A246,'[1]Markings Threadings'!$B$3:$L$245,11,0),IF(_xlpm.x=0,"",_xlpm.x)),"")</f>
        <v>TAG POULTRY SOLUTIONS CHICKEN LAYER 2</v>
      </c>
      <c r="Q246" s="1" t="str">
        <f>IFERROR(_xlfn.LET(_xlpm.x,VLOOKUP($A246,'[1]Markings Threadings'!$B$3:$L$245,4,0),IF(_xlpm.x=0,"",_xlpm.x)),"")</f>
        <v>2874 SFPI</v>
      </c>
      <c r="R246" s="1" t="str">
        <f>IFERROR(_xlfn.LET(_xlpm.x,VLOOKUP($A246,'[1]Markings Threadings'!$B$3:$L$245,5,0),IF(_xlpm.x=0,"",_xlpm.x)),"")</f>
        <v/>
      </c>
      <c r="S246" s="1">
        <f>IFERROR(_xlfn.LET(_xlpm.x,VLOOKUP($A246,'[1]Markings Threadings'!$B$3:$L$245,6,0),IF(_xlpm.x=0,"",_xlpm.x)),"")</f>
        <v>6</v>
      </c>
      <c r="T246" s="6" t="str">
        <f>IFERROR(_xlfn.LET(_xlpm.x,VLOOKUP($C246,[1]Summary!$A$2:$J$118,4,0),IF(_xlpm.x=0,"",_xlpm.x)),"")</f>
        <v/>
      </c>
      <c r="U246" s="6" t="str">
        <f>IFERROR(_xlfn.LET(_xlpm.x,VLOOKUP($C246,[1]Summary!$A$2:$J$118,5,0),IF(_xlpm.x=0,"",_xlpm.x)),"")</f>
        <v/>
      </c>
      <c r="V246" s="6" t="str">
        <f>IFERROR(_xlfn.LET(_xlpm.x,VLOOKUP($C246,[1]Summary!$A$2:$J$118,6,0),IF(_xlpm.x=0,"",_xlpm.x)),"")</f>
        <v/>
      </c>
      <c r="W246" s="6">
        <f>IFERROR(_xlfn.LET(_xlpm.x,VLOOKUP($C246,[1]Summary!$A$2:$J$118,7,0),IF(_xlpm.x=0,"",_xlpm.x)),"")</f>
        <v>7.8876070489510521</v>
      </c>
      <c r="X246" s="6" t="str">
        <f>IFERROR(_xlfn.LET(_xlpm.x,VLOOKUP($C246,[1]Summary!$A$2:$J$118,8,0),IF(_xlpm.x=0,"",_xlpm.x)),"")</f>
        <v/>
      </c>
      <c r="Y246" s="6" t="str">
        <f>IFERROR(_xlfn.LET(_xlpm.x,VLOOKUP($C246,[1]Summary!$A$2:$J$118,9,0),IF(_xlpm.x=0,"",_xlpm.x)),"")</f>
        <v/>
      </c>
      <c r="Z246" s="6" t="str">
        <f>IFERROR(_xlfn.LET(_xlpm.x,VLOOKUP($C246,[1]Summary!$A$2:$J$118,10,0),IF(_xlpm.x=0,"",_xlpm.x)),"")</f>
        <v/>
      </c>
    </row>
    <row r="247" spans="1:26" x14ac:dyDescent="0.25">
      <c r="A247" s="2">
        <v>1000000002875</v>
      </c>
      <c r="B247" s="5" t="s">
        <v>461</v>
      </c>
      <c r="C247" s="2">
        <v>3000000001758</v>
      </c>
      <c r="D247" s="5" t="s">
        <v>461</v>
      </c>
      <c r="E247" s="1">
        <v>4</v>
      </c>
      <c r="F247" s="1" t="s">
        <v>54</v>
      </c>
      <c r="G247" s="1">
        <v>4</v>
      </c>
      <c r="H247" s="1">
        <v>2</v>
      </c>
      <c r="I247" s="1">
        <v>2</v>
      </c>
      <c r="J247" s="1"/>
      <c r="K247" s="1">
        <v>50</v>
      </c>
      <c r="L247" s="1" t="str">
        <f>IFERROR(_xlfn.LET(_xlpm.x,VLOOKUP($A247,'[1]Markings Threadings'!$B$3:$L$245,3,0),IF(_xlpm.x=0,"",_xlpm.x)),"")</f>
        <v>Green</v>
      </c>
      <c r="M247" s="2">
        <f>IFERROR(_xlfn.LET(_xlpm.x,VLOOKUP($A247,'[1]Markings Threadings'!$B$3:$L$245,7,0),IF(_xlpm.x=0,"",_xlpm.x)),"")</f>
        <v>5000000000556</v>
      </c>
      <c r="N247" s="5" t="str">
        <f>IFERROR(_xlfn.LET(_xlpm.x,VLOOKUP($A247,'[1]Markings Threadings'!$B$3:$L$245,8,0),IF(_xlpm.x=0,"",_xlpm.x)),"")</f>
        <v>v2 - Poultry Solutions Breeder Layer Male, 50kg</v>
      </c>
      <c r="O247" s="2">
        <f>IFERROR(_xlfn.LET(_xlpm.x,VLOOKUP($A247,'[1]Markings Threadings'!$B$3:$L$245,10,0),IF(_xlpm.x=0,"",_xlpm.x)),"")</f>
        <v>5000000000498</v>
      </c>
      <c r="P247" s="5" t="str">
        <f>IFERROR(_xlfn.LET(_xlpm.x,VLOOKUP($A247,'[1]Markings Threadings'!$B$3:$L$245,11,0),IF(_xlpm.x=0,"",_xlpm.x)),"")</f>
        <v>Tag - Poultry Breeder Layer Male, Mash</v>
      </c>
      <c r="Q247" s="1" t="str">
        <f>IFERROR(_xlfn.LET(_xlpm.x,VLOOKUP($A247,'[1]Markings Threadings'!$B$3:$L$245,4,0),IF(_xlpm.x=0,"",_xlpm.x)),"")</f>
        <v>2875 SFPI</v>
      </c>
      <c r="R247" s="1" t="str">
        <f>IFERROR(_xlfn.LET(_xlpm.x,VLOOKUP($A247,'[1]Markings Threadings'!$B$3:$L$245,5,0),IF(_xlpm.x=0,"",_xlpm.x)),"")</f>
        <v/>
      </c>
      <c r="S247" s="1">
        <f>IFERROR(_xlfn.LET(_xlpm.x,VLOOKUP($A247,'[1]Markings Threadings'!$B$3:$L$245,6,0),IF(_xlpm.x=0,"",_xlpm.x)),"")</f>
        <v>4</v>
      </c>
      <c r="T247" s="6" t="str">
        <f>IFERROR(_xlfn.LET(_xlpm.x,VLOOKUP($C247,[1]Summary!$A$2:$J$118,4,0),IF(_xlpm.x=0,"",_xlpm.x)),"")</f>
        <v/>
      </c>
      <c r="U247" s="6" t="str">
        <f>IFERROR(_xlfn.LET(_xlpm.x,VLOOKUP($C247,[1]Summary!$A$2:$J$118,5,0),IF(_xlpm.x=0,"",_xlpm.x)),"")</f>
        <v/>
      </c>
      <c r="V247" s="6" t="str">
        <f>IFERROR(_xlfn.LET(_xlpm.x,VLOOKUP($C247,[1]Summary!$A$2:$J$118,6,0),IF(_xlpm.x=0,"",_xlpm.x)),"")</f>
        <v/>
      </c>
      <c r="W247" s="6" t="str">
        <f>IFERROR(_xlfn.LET(_xlpm.x,VLOOKUP($C247,[1]Summary!$A$2:$J$118,7,0),IF(_xlpm.x=0,"",_xlpm.x)),"")</f>
        <v/>
      </c>
      <c r="X247" s="6" t="str">
        <f>IFERROR(_xlfn.LET(_xlpm.x,VLOOKUP($C247,[1]Summary!$A$2:$J$118,8,0),IF(_xlpm.x=0,"",_xlpm.x)),"")</f>
        <v/>
      </c>
      <c r="Y247" s="6" t="str">
        <f>IFERROR(_xlfn.LET(_xlpm.x,VLOOKUP($C247,[1]Summary!$A$2:$J$118,9,0),IF(_xlpm.x=0,"",_xlpm.x)),"")</f>
        <v/>
      </c>
      <c r="Z247" s="6" t="str">
        <f>IFERROR(_xlfn.LET(_xlpm.x,VLOOKUP($C247,[1]Summary!$A$2:$J$118,10,0),IF(_xlpm.x=0,"",_xlpm.x)),"")</f>
        <v/>
      </c>
    </row>
    <row r="248" spans="1:26" x14ac:dyDescent="0.25">
      <c r="A248" s="2">
        <v>1000000002967</v>
      </c>
      <c r="B248" s="5" t="s">
        <v>462</v>
      </c>
      <c r="C248" s="2">
        <v>3000000001781</v>
      </c>
      <c r="D248" s="5" t="s">
        <v>463</v>
      </c>
      <c r="E248" s="1">
        <v>3</v>
      </c>
      <c r="F248" s="1" t="s">
        <v>86</v>
      </c>
      <c r="G248" s="1">
        <v>4</v>
      </c>
      <c r="H248" s="1">
        <v>2</v>
      </c>
      <c r="I248" s="1">
        <v>2</v>
      </c>
      <c r="J248" s="1"/>
      <c r="K248" s="1">
        <v>50</v>
      </c>
      <c r="L248" s="1" t="str">
        <f>IFERROR(_xlfn.LET(_xlpm.x,VLOOKUP($A248,'[1]Markings Threadings'!$B$3:$L$245,3,0),IF(_xlpm.x=0,"",_xlpm.x)),"")</f>
        <v>Red Green</v>
      </c>
      <c r="M248" s="2">
        <f>IFERROR(_xlfn.LET(_xlpm.x,VLOOKUP($A248,'[1]Markings Threadings'!$B$3:$L$245,7,0),IF(_xlpm.x=0,"",_xlpm.x)),"")</f>
        <v>5000000000558</v>
      </c>
      <c r="N248" s="5" t="str">
        <f>IFERROR(_xlfn.LET(_xlpm.x,VLOOKUP($A248,'[1]Markings Threadings'!$B$3:$L$245,8,0),IF(_xlpm.x=0,"",_xlpm.x)),"")</f>
        <v>v2 - Poultry Solutions Broiler Starter, 50kg</v>
      </c>
      <c r="O248" s="2">
        <f>IFERROR(_xlfn.LET(_xlpm.x,VLOOKUP($A248,'[1]Markings Threadings'!$B$3:$L$245,10,0),IF(_xlpm.x=0,"",_xlpm.x)),"")</f>
        <v>5000000000113</v>
      </c>
      <c r="P248" s="5" t="str">
        <f>IFERROR(_xlfn.LET(_xlpm.x,VLOOKUP($A248,'[1]Markings Threadings'!$B$3:$L$245,11,0),IF(_xlpm.x=0,"",_xlpm.x)),"")</f>
        <v>Tag - Poultry Solutions Broiler Starter Crumble</v>
      </c>
      <c r="Q248" s="1" t="str">
        <f>IFERROR(_xlfn.LET(_xlpm.x,VLOOKUP($A248,'[1]Markings Threadings'!$B$3:$L$245,4,0),IF(_xlpm.x=0,"",_xlpm.x)),"")</f>
        <v>2967 MP</v>
      </c>
      <c r="R248" s="1" t="str">
        <f>IFERROR(_xlfn.LET(_xlpm.x,VLOOKUP($A248,'[1]Markings Threadings'!$B$3:$L$245,5,0),IF(_xlpm.x=0,"",_xlpm.x)),"")</f>
        <v/>
      </c>
      <c r="S248" s="1">
        <f>IFERROR(_xlfn.LET(_xlpm.x,VLOOKUP($A248,'[1]Markings Threadings'!$B$3:$L$245,6,0),IF(_xlpm.x=0,"",_xlpm.x)),"")</f>
        <v>7</v>
      </c>
      <c r="T248" s="6" t="str">
        <f>IFERROR(_xlfn.LET(_xlpm.x,VLOOKUP($C248,[1]Summary!$A$2:$J$118,4,0),IF(_xlpm.x=0,"",_xlpm.x)),"")</f>
        <v/>
      </c>
      <c r="U248" s="6" t="str">
        <f>IFERROR(_xlfn.LET(_xlpm.x,VLOOKUP($C248,[1]Summary!$A$2:$J$118,5,0),IF(_xlpm.x=0,"",_xlpm.x)),"")</f>
        <v/>
      </c>
      <c r="V248" s="6" t="str">
        <f>IFERROR(_xlfn.LET(_xlpm.x,VLOOKUP($C248,[1]Summary!$A$2:$J$118,6,0),IF(_xlpm.x=0,"",_xlpm.x)),"")</f>
        <v/>
      </c>
      <c r="W248" s="6" t="str">
        <f>IFERROR(_xlfn.LET(_xlpm.x,VLOOKUP($C248,[1]Summary!$A$2:$J$118,7,0),IF(_xlpm.x=0,"",_xlpm.x)),"")</f>
        <v/>
      </c>
      <c r="X248" s="6" t="str">
        <f>IFERROR(_xlfn.LET(_xlpm.x,VLOOKUP($C248,[1]Summary!$A$2:$J$118,8,0),IF(_xlpm.x=0,"",_xlpm.x)),"")</f>
        <v/>
      </c>
      <c r="Y248" s="6" t="str">
        <f>IFERROR(_xlfn.LET(_xlpm.x,VLOOKUP($C248,[1]Summary!$A$2:$J$118,9,0),IF(_xlpm.x=0,"",_xlpm.x)),"")</f>
        <v/>
      </c>
      <c r="Z248" s="6" t="str">
        <f>IFERROR(_xlfn.LET(_xlpm.x,VLOOKUP($C248,[1]Summary!$A$2:$J$118,10,0),IF(_xlpm.x=0,"",_xlpm.x)),"")</f>
        <v/>
      </c>
    </row>
    <row r="249" spans="1:26" x14ac:dyDescent="0.25">
      <c r="A249" s="2">
        <v>1000000002960</v>
      </c>
      <c r="B249" s="5" t="s">
        <v>464</v>
      </c>
      <c r="C249" s="2">
        <v>3000000001774</v>
      </c>
      <c r="D249" s="5" t="s">
        <v>465</v>
      </c>
      <c r="E249" s="1">
        <v>3</v>
      </c>
      <c r="F249" s="1" t="s">
        <v>86</v>
      </c>
      <c r="G249" s="1">
        <v>4</v>
      </c>
      <c r="H249" s="1">
        <v>2</v>
      </c>
      <c r="I249" s="1">
        <v>2</v>
      </c>
      <c r="J249" s="1"/>
      <c r="K249" s="1">
        <v>50</v>
      </c>
      <c r="L249" s="1" t="str">
        <f>IFERROR(_xlfn.LET(_xlpm.x,VLOOKUP($A249,'[1]Markings Threadings'!$B$3:$L$245,3,0),IF(_xlpm.x=0,"",_xlpm.x)),"")</f>
        <v>Yellow</v>
      </c>
      <c r="M249" s="2">
        <f>IFERROR(_xlfn.LET(_xlpm.x,VLOOKUP($A249,'[1]Markings Threadings'!$B$3:$L$245,7,0),IF(_xlpm.x=0,"",_xlpm.x)),"")</f>
        <v>5000000000562</v>
      </c>
      <c r="N249" s="5" t="str">
        <f>IFERROR(_xlfn.LET(_xlpm.x,VLOOKUP($A249,'[1]Markings Threadings'!$B$3:$L$245,8,0),IF(_xlpm.x=0,"",_xlpm.x)),"")</f>
        <v>Poultry Solution Chick Grower 50kg 1&amp;2</v>
      </c>
      <c r="O249" s="2">
        <f>IFERROR(_xlfn.LET(_xlpm.x,VLOOKUP($A249,'[1]Markings Threadings'!$B$3:$L$245,10,0),IF(_xlpm.x=0,"",_xlpm.x)),"")</f>
        <v>5000000000123</v>
      </c>
      <c r="P249" s="5" t="str">
        <f>IFERROR(_xlfn.LET(_xlpm.x,VLOOKUP($A249,'[1]Markings Threadings'!$B$3:$L$245,11,0),IF(_xlpm.x=0,"",_xlpm.x)),"")</f>
        <v>Tag Poultry Solution Chick Grower II</v>
      </c>
      <c r="Q249" s="1" t="str">
        <f>IFERROR(_xlfn.LET(_xlpm.x,VLOOKUP($A249,'[1]Markings Threadings'!$B$3:$L$245,4,0),IF(_xlpm.x=0,"",_xlpm.x)),"")</f>
        <v>2960 CG 2 MP</v>
      </c>
      <c r="R249" s="1" t="str">
        <f>IFERROR(_xlfn.LET(_xlpm.x,VLOOKUP($A249,'[1]Markings Threadings'!$B$3:$L$245,5,0),IF(_xlpm.x=0,"",_xlpm.x)),"")</f>
        <v/>
      </c>
      <c r="S249" s="1">
        <f>IFERROR(_xlfn.LET(_xlpm.x,VLOOKUP($A249,'[1]Markings Threadings'!$B$3:$L$245,6,0),IF(_xlpm.x=0,"",_xlpm.x)),"")</f>
        <v>14</v>
      </c>
      <c r="T249" s="6" t="str">
        <f>IFERROR(_xlfn.LET(_xlpm.x,VLOOKUP($C249,[1]Summary!$A$2:$J$118,4,0),IF(_xlpm.x=0,"",_xlpm.x)),"")</f>
        <v/>
      </c>
      <c r="U249" s="6" t="str">
        <f>IFERROR(_xlfn.LET(_xlpm.x,VLOOKUP($C249,[1]Summary!$A$2:$J$118,5,0),IF(_xlpm.x=0,"",_xlpm.x)),"")</f>
        <v/>
      </c>
      <c r="V249" s="6">
        <f>IFERROR(_xlfn.LET(_xlpm.x,VLOOKUP($C249,[1]Summary!$A$2:$J$118,6,0),IF(_xlpm.x=0,"",_xlpm.x)),"")</f>
        <v>7.9042560000000002</v>
      </c>
      <c r="W249" s="6" t="str">
        <f>IFERROR(_xlfn.LET(_xlpm.x,VLOOKUP($C249,[1]Summary!$A$2:$J$118,7,0),IF(_xlpm.x=0,"",_xlpm.x)),"")</f>
        <v/>
      </c>
      <c r="X249" s="6" t="str">
        <f>IFERROR(_xlfn.LET(_xlpm.x,VLOOKUP($C249,[1]Summary!$A$2:$J$118,8,0),IF(_xlpm.x=0,"",_xlpm.x)),"")</f>
        <v/>
      </c>
      <c r="Y249" s="6" t="str">
        <f>IFERROR(_xlfn.LET(_xlpm.x,VLOOKUP($C249,[1]Summary!$A$2:$J$118,9,0),IF(_xlpm.x=0,"",_xlpm.x)),"")</f>
        <v/>
      </c>
      <c r="Z249" s="6" t="str">
        <f>IFERROR(_xlfn.LET(_xlpm.x,VLOOKUP($C249,[1]Summary!$A$2:$J$118,10,0),IF(_xlpm.x=0,"",_xlpm.x)),"")</f>
        <v/>
      </c>
    </row>
    <row r="250" spans="1:26" x14ac:dyDescent="0.25">
      <c r="A250" s="2">
        <v>1000000002980</v>
      </c>
      <c r="B250" s="5" t="s">
        <v>466</v>
      </c>
      <c r="C250" s="2">
        <v>3000000001776</v>
      </c>
      <c r="D250" s="5" t="s">
        <v>467</v>
      </c>
      <c r="E250" s="1">
        <v>4</v>
      </c>
      <c r="F250" s="1" t="s">
        <v>37</v>
      </c>
      <c r="G250" s="1">
        <v>4</v>
      </c>
      <c r="H250" s="1">
        <v>2</v>
      </c>
      <c r="I250" s="1">
        <v>2</v>
      </c>
      <c r="J250" s="1"/>
      <c r="K250" s="1">
        <v>50</v>
      </c>
      <c r="L250" s="1" t="str">
        <f>IFERROR(_xlfn.LET(_xlpm.x,VLOOKUP($A250,'[1]Markings Threadings'!$B$3:$L$245,3,0),IF(_xlpm.x=0,"",_xlpm.x)),"")</f>
        <v/>
      </c>
      <c r="M250" s="2" t="str">
        <f>IFERROR(_xlfn.LET(_xlpm.x,VLOOKUP($A250,'[1]Markings Threadings'!$B$3:$L$245,7,0),IF(_xlpm.x=0,"",_xlpm.x)),"")</f>
        <v/>
      </c>
      <c r="N250" s="5" t="str">
        <f>IFERROR(_xlfn.LET(_xlpm.x,VLOOKUP($A250,'[1]Markings Threadings'!$B$3:$L$245,8,0),IF(_xlpm.x=0,"",_xlpm.x)),"")</f>
        <v/>
      </c>
      <c r="O250" s="2" t="str">
        <f>IFERROR(_xlfn.LET(_xlpm.x,VLOOKUP($A250,'[1]Markings Threadings'!$B$3:$L$245,10,0),IF(_xlpm.x=0,"",_xlpm.x)),"")</f>
        <v/>
      </c>
      <c r="P250" s="5" t="str">
        <f>IFERROR(_xlfn.LET(_xlpm.x,VLOOKUP($A250,'[1]Markings Threadings'!$B$3:$L$245,11,0),IF(_xlpm.x=0,"",_xlpm.x)),"")</f>
        <v/>
      </c>
      <c r="Q250" s="1" t="str">
        <f>IFERROR(_xlfn.LET(_xlpm.x,VLOOKUP($A250,'[1]Markings Threadings'!$B$3:$L$245,4,0),IF(_xlpm.x=0,"",_xlpm.x)),"")</f>
        <v/>
      </c>
      <c r="R250" s="1" t="str">
        <f>IFERROR(_xlfn.LET(_xlpm.x,VLOOKUP($A250,'[1]Markings Threadings'!$B$3:$L$245,5,0),IF(_xlpm.x=0,"",_xlpm.x)),"")</f>
        <v/>
      </c>
      <c r="S250" s="1" t="str">
        <f>IFERROR(_xlfn.LET(_xlpm.x,VLOOKUP($A250,'[1]Markings Threadings'!$B$3:$L$245,6,0),IF(_xlpm.x=0,"",_xlpm.x)),"")</f>
        <v/>
      </c>
      <c r="T250" s="6" t="str">
        <f>IFERROR(_xlfn.LET(_xlpm.x,VLOOKUP($C250,[1]Summary!$A$2:$J$118,4,0),IF(_xlpm.x=0,"",_xlpm.x)),"")</f>
        <v/>
      </c>
      <c r="U250" s="6" t="str">
        <f>IFERROR(_xlfn.LET(_xlpm.x,VLOOKUP($C250,[1]Summary!$A$2:$J$118,5,0),IF(_xlpm.x=0,"",_xlpm.x)),"")</f>
        <v/>
      </c>
      <c r="V250" s="6" t="str">
        <f>IFERROR(_xlfn.LET(_xlpm.x,VLOOKUP($C250,[1]Summary!$A$2:$J$118,6,0),IF(_xlpm.x=0,"",_xlpm.x)),"")</f>
        <v/>
      </c>
      <c r="W250" s="6" t="str">
        <f>IFERROR(_xlfn.LET(_xlpm.x,VLOOKUP($C250,[1]Summary!$A$2:$J$118,7,0),IF(_xlpm.x=0,"",_xlpm.x)),"")</f>
        <v/>
      </c>
      <c r="X250" s="6" t="str">
        <f>IFERROR(_xlfn.LET(_xlpm.x,VLOOKUP($C250,[1]Summary!$A$2:$J$118,8,0),IF(_xlpm.x=0,"",_xlpm.x)),"")</f>
        <v/>
      </c>
      <c r="Y250" s="6" t="str">
        <f>IFERROR(_xlfn.LET(_xlpm.x,VLOOKUP($C250,[1]Summary!$A$2:$J$118,9,0),IF(_xlpm.x=0,"",_xlpm.x)),"")</f>
        <v/>
      </c>
      <c r="Z250" s="6" t="str">
        <f>IFERROR(_xlfn.LET(_xlpm.x,VLOOKUP($C250,[1]Summary!$A$2:$J$118,10,0),IF(_xlpm.x=0,"",_xlpm.x)),"")</f>
        <v/>
      </c>
    </row>
    <row r="251" spans="1:26" x14ac:dyDescent="0.25">
      <c r="A251" s="2"/>
      <c r="B251" s="5"/>
      <c r="C251" s="2">
        <v>3000000001114</v>
      </c>
      <c r="D251" s="5" t="s">
        <v>468</v>
      </c>
      <c r="E251" s="1"/>
      <c r="F251" s="1" t="s">
        <v>44</v>
      </c>
      <c r="G251" s="1">
        <v>4</v>
      </c>
      <c r="H251" s="1">
        <v>2</v>
      </c>
      <c r="I251" s="1">
        <v>2</v>
      </c>
      <c r="J251" s="1"/>
      <c r="K251" s="1">
        <v>750</v>
      </c>
      <c r="L251" s="1" t="str">
        <f>IFERROR(_xlfn.LET(_xlpm.x,VLOOKUP($A251,'[1]Markings Threadings'!$B$3:$L$245,3,0),IF(_xlpm.x=0,"",_xlpm.x)),"")</f>
        <v/>
      </c>
      <c r="M251" s="2" t="str">
        <f>IFERROR(_xlfn.LET(_xlpm.x,VLOOKUP($A251,'[1]Markings Threadings'!$B$3:$L$245,7,0),IF(_xlpm.x=0,"",_xlpm.x)),"")</f>
        <v/>
      </c>
      <c r="N251" s="5" t="str">
        <f>IFERROR(_xlfn.LET(_xlpm.x,VLOOKUP($A251,'[1]Markings Threadings'!$B$3:$L$245,8,0),IF(_xlpm.x=0,"",_xlpm.x)),"")</f>
        <v/>
      </c>
      <c r="O251" s="2" t="str">
        <f>IFERROR(_xlfn.LET(_xlpm.x,VLOOKUP($A251,'[1]Markings Threadings'!$B$3:$L$245,10,0),IF(_xlpm.x=0,"",_xlpm.x)),"")</f>
        <v/>
      </c>
      <c r="P251" s="5" t="str">
        <f>IFERROR(_xlfn.LET(_xlpm.x,VLOOKUP($A251,'[1]Markings Threadings'!$B$3:$L$245,11,0),IF(_xlpm.x=0,"",_xlpm.x)),"")</f>
        <v/>
      </c>
      <c r="Q251" s="1" t="str">
        <f>IFERROR(_xlfn.LET(_xlpm.x,VLOOKUP($A251,'[1]Markings Threadings'!$B$3:$L$245,4,0),IF(_xlpm.x=0,"",_xlpm.x)),"")</f>
        <v/>
      </c>
      <c r="R251" s="1" t="str">
        <f>IFERROR(_xlfn.LET(_xlpm.x,VLOOKUP($A251,'[1]Markings Threadings'!$B$3:$L$245,5,0),IF(_xlpm.x=0,"",_xlpm.x)),"")</f>
        <v/>
      </c>
      <c r="S251" s="1" t="str">
        <f>IFERROR(_xlfn.LET(_xlpm.x,VLOOKUP($A251,'[1]Markings Threadings'!$B$3:$L$245,6,0),IF(_xlpm.x=0,"",_xlpm.x)),"")</f>
        <v/>
      </c>
      <c r="T251" s="6" t="str">
        <f>IFERROR(_xlfn.LET(_xlpm.x,VLOOKUP($C251,[1]Summary!$A$2:$J$118,4,0),IF(_xlpm.x=0,"",_xlpm.x)),"")</f>
        <v/>
      </c>
      <c r="U251" s="6" t="str">
        <f>IFERROR(_xlfn.LET(_xlpm.x,VLOOKUP($C251,[1]Summary!$A$2:$J$118,5,0),IF(_xlpm.x=0,"",_xlpm.x)),"")</f>
        <v/>
      </c>
      <c r="V251" s="6" t="str">
        <f>IFERROR(_xlfn.LET(_xlpm.x,VLOOKUP($C251,[1]Summary!$A$2:$J$118,6,0),IF(_xlpm.x=0,"",_xlpm.x)),"")</f>
        <v/>
      </c>
      <c r="W251" s="6" t="str">
        <f>IFERROR(_xlfn.LET(_xlpm.x,VLOOKUP($C251,[1]Summary!$A$2:$J$118,7,0),IF(_xlpm.x=0,"",_xlpm.x)),"")</f>
        <v/>
      </c>
      <c r="X251" s="6" t="str">
        <f>IFERROR(_xlfn.LET(_xlpm.x,VLOOKUP($C251,[1]Summary!$A$2:$J$118,8,0),IF(_xlpm.x=0,"",_xlpm.x)),"")</f>
        <v/>
      </c>
      <c r="Y251" s="6" t="str">
        <f>IFERROR(_xlfn.LET(_xlpm.x,VLOOKUP($C251,[1]Summary!$A$2:$J$118,9,0),IF(_xlpm.x=0,"",_xlpm.x)),"")</f>
        <v/>
      </c>
      <c r="Z251" s="6" t="str">
        <f>IFERROR(_xlfn.LET(_xlpm.x,VLOOKUP($C251,[1]Summary!$A$2:$J$118,10,0),IF(_xlpm.x=0,"",_xlpm.x)),"")</f>
        <v/>
      </c>
    </row>
    <row r="252" spans="1:26" x14ac:dyDescent="0.25">
      <c r="A252" s="2">
        <v>1000000002985</v>
      </c>
      <c r="B252" s="5" t="s">
        <v>469</v>
      </c>
      <c r="C252" s="2">
        <v>3000000001777</v>
      </c>
      <c r="D252" s="5" t="s">
        <v>470</v>
      </c>
      <c r="E252" s="1">
        <v>4</v>
      </c>
      <c r="F252" s="1" t="s">
        <v>28</v>
      </c>
      <c r="G252" s="1">
        <v>4</v>
      </c>
      <c r="H252" s="1">
        <v>2</v>
      </c>
      <c r="I252" s="1">
        <v>2</v>
      </c>
      <c r="J252" s="1"/>
      <c r="K252" s="1">
        <v>50</v>
      </c>
      <c r="L252" s="1" t="str">
        <f>IFERROR(_xlfn.LET(_xlpm.x,VLOOKUP($A252,'[1]Markings Threadings'!$B$3:$L$245,3,0),IF(_xlpm.x=0,"",_xlpm.x)),"")</f>
        <v/>
      </c>
      <c r="M252" s="2" t="str">
        <f>IFERROR(_xlfn.LET(_xlpm.x,VLOOKUP($A252,'[1]Markings Threadings'!$B$3:$L$245,7,0),IF(_xlpm.x=0,"",_xlpm.x)),"")</f>
        <v/>
      </c>
      <c r="N252" s="5" t="str">
        <f>IFERROR(_xlfn.LET(_xlpm.x,VLOOKUP($A252,'[1]Markings Threadings'!$B$3:$L$245,8,0),IF(_xlpm.x=0,"",_xlpm.x)),"")</f>
        <v/>
      </c>
      <c r="O252" s="2" t="str">
        <f>IFERROR(_xlfn.LET(_xlpm.x,VLOOKUP($A252,'[1]Markings Threadings'!$B$3:$L$245,10,0),IF(_xlpm.x=0,"",_xlpm.x)),"")</f>
        <v/>
      </c>
      <c r="P252" s="5" t="str">
        <f>IFERROR(_xlfn.LET(_xlpm.x,VLOOKUP($A252,'[1]Markings Threadings'!$B$3:$L$245,11,0),IF(_xlpm.x=0,"",_xlpm.x)),"")</f>
        <v/>
      </c>
      <c r="Q252" s="1" t="str">
        <f>IFERROR(_xlfn.LET(_xlpm.x,VLOOKUP($A252,'[1]Markings Threadings'!$B$3:$L$245,4,0),IF(_xlpm.x=0,"",_xlpm.x)),"")</f>
        <v/>
      </c>
      <c r="R252" s="1" t="str">
        <f>IFERROR(_xlfn.LET(_xlpm.x,VLOOKUP($A252,'[1]Markings Threadings'!$B$3:$L$245,5,0),IF(_xlpm.x=0,"",_xlpm.x)),"")</f>
        <v/>
      </c>
      <c r="S252" s="1" t="str">
        <f>IFERROR(_xlfn.LET(_xlpm.x,VLOOKUP($A252,'[1]Markings Threadings'!$B$3:$L$245,6,0),IF(_xlpm.x=0,"",_xlpm.x)),"")</f>
        <v/>
      </c>
      <c r="T252" s="6" t="str">
        <f>IFERROR(_xlfn.LET(_xlpm.x,VLOOKUP($C252,[1]Summary!$A$2:$J$118,4,0),IF(_xlpm.x=0,"",_xlpm.x)),"")</f>
        <v/>
      </c>
      <c r="U252" s="6" t="str">
        <f>IFERROR(_xlfn.LET(_xlpm.x,VLOOKUP($C252,[1]Summary!$A$2:$J$118,5,0),IF(_xlpm.x=0,"",_xlpm.x)),"")</f>
        <v/>
      </c>
      <c r="V252" s="6" t="str">
        <f>IFERROR(_xlfn.LET(_xlpm.x,VLOOKUP($C252,[1]Summary!$A$2:$J$118,6,0),IF(_xlpm.x=0,"",_xlpm.x)),"")</f>
        <v/>
      </c>
      <c r="W252" s="6" t="str">
        <f>IFERROR(_xlfn.LET(_xlpm.x,VLOOKUP($C252,[1]Summary!$A$2:$J$118,7,0),IF(_xlpm.x=0,"",_xlpm.x)),"")</f>
        <v/>
      </c>
      <c r="X252" s="6" t="str">
        <f>IFERROR(_xlfn.LET(_xlpm.x,VLOOKUP($C252,[1]Summary!$A$2:$J$118,8,0),IF(_xlpm.x=0,"",_xlpm.x)),"")</f>
        <v/>
      </c>
      <c r="Y252" s="6" t="str">
        <f>IFERROR(_xlfn.LET(_xlpm.x,VLOOKUP($C252,[1]Summary!$A$2:$J$118,9,0),IF(_xlpm.x=0,"",_xlpm.x)),"")</f>
        <v/>
      </c>
      <c r="Z252" s="6" t="str">
        <f>IFERROR(_xlfn.LET(_xlpm.x,VLOOKUP($C252,[1]Summary!$A$2:$J$118,10,0),IF(_xlpm.x=0,"",_xlpm.x)),"")</f>
        <v/>
      </c>
    </row>
    <row r="253" spans="1:26" x14ac:dyDescent="0.25">
      <c r="A253" s="2">
        <v>1000000002986</v>
      </c>
      <c r="B253" s="5" t="s">
        <v>471</v>
      </c>
      <c r="C253" s="2">
        <v>3000000001779</v>
      </c>
      <c r="D253" s="5" t="s">
        <v>472</v>
      </c>
      <c r="E253" s="1">
        <v>4</v>
      </c>
      <c r="F253" s="1" t="s">
        <v>28</v>
      </c>
      <c r="G253" s="1">
        <v>4</v>
      </c>
      <c r="H253" s="1">
        <v>2</v>
      </c>
      <c r="I253" s="1">
        <v>2</v>
      </c>
      <c r="J253" s="1"/>
      <c r="K253" s="1">
        <v>50</v>
      </c>
      <c r="L253" s="1" t="str">
        <f>IFERROR(_xlfn.LET(_xlpm.x,VLOOKUP($A253,'[1]Markings Threadings'!$B$3:$L$245,3,0),IF(_xlpm.x=0,"",_xlpm.x)),"")</f>
        <v/>
      </c>
      <c r="M253" s="2" t="str">
        <f>IFERROR(_xlfn.LET(_xlpm.x,VLOOKUP($A253,'[1]Markings Threadings'!$B$3:$L$245,7,0),IF(_xlpm.x=0,"",_xlpm.x)),"")</f>
        <v/>
      </c>
      <c r="N253" s="5" t="str">
        <f>IFERROR(_xlfn.LET(_xlpm.x,VLOOKUP($A253,'[1]Markings Threadings'!$B$3:$L$245,8,0),IF(_xlpm.x=0,"",_xlpm.x)),"")</f>
        <v/>
      </c>
      <c r="O253" s="2" t="str">
        <f>IFERROR(_xlfn.LET(_xlpm.x,VLOOKUP($A253,'[1]Markings Threadings'!$B$3:$L$245,10,0),IF(_xlpm.x=0,"",_xlpm.x)),"")</f>
        <v/>
      </c>
      <c r="P253" s="5" t="str">
        <f>IFERROR(_xlfn.LET(_xlpm.x,VLOOKUP($A253,'[1]Markings Threadings'!$B$3:$L$245,11,0),IF(_xlpm.x=0,"",_xlpm.x)),"")</f>
        <v/>
      </c>
      <c r="Q253" s="1" t="str">
        <f>IFERROR(_xlfn.LET(_xlpm.x,VLOOKUP($A253,'[1]Markings Threadings'!$B$3:$L$245,4,0),IF(_xlpm.x=0,"",_xlpm.x)),"")</f>
        <v/>
      </c>
      <c r="R253" s="1" t="str">
        <f>IFERROR(_xlfn.LET(_xlpm.x,VLOOKUP($A253,'[1]Markings Threadings'!$B$3:$L$245,5,0),IF(_xlpm.x=0,"",_xlpm.x)),"")</f>
        <v/>
      </c>
      <c r="S253" s="1" t="str">
        <f>IFERROR(_xlfn.LET(_xlpm.x,VLOOKUP($A253,'[1]Markings Threadings'!$B$3:$L$245,6,0),IF(_xlpm.x=0,"",_xlpm.x)),"")</f>
        <v/>
      </c>
      <c r="T253" s="6" t="str">
        <f>IFERROR(_xlfn.LET(_xlpm.x,VLOOKUP($C253,[1]Summary!$A$2:$J$118,4,0),IF(_xlpm.x=0,"",_xlpm.x)),"")</f>
        <v/>
      </c>
      <c r="U253" s="6" t="str">
        <f>IFERROR(_xlfn.LET(_xlpm.x,VLOOKUP($C253,[1]Summary!$A$2:$J$118,5,0),IF(_xlpm.x=0,"",_xlpm.x)),"")</f>
        <v/>
      </c>
      <c r="V253" s="6" t="str">
        <f>IFERROR(_xlfn.LET(_xlpm.x,VLOOKUP($C253,[1]Summary!$A$2:$J$118,6,0),IF(_xlpm.x=0,"",_xlpm.x)),"")</f>
        <v/>
      </c>
      <c r="W253" s="6" t="str">
        <f>IFERROR(_xlfn.LET(_xlpm.x,VLOOKUP($C253,[1]Summary!$A$2:$J$118,7,0),IF(_xlpm.x=0,"",_xlpm.x)),"")</f>
        <v/>
      </c>
      <c r="X253" s="6" t="str">
        <f>IFERROR(_xlfn.LET(_xlpm.x,VLOOKUP($C253,[1]Summary!$A$2:$J$118,8,0),IF(_xlpm.x=0,"",_xlpm.x)),"")</f>
        <v/>
      </c>
      <c r="Y253" s="6" t="str">
        <f>IFERROR(_xlfn.LET(_xlpm.x,VLOOKUP($C253,[1]Summary!$A$2:$J$118,9,0),IF(_xlpm.x=0,"",_xlpm.x)),"")</f>
        <v/>
      </c>
      <c r="Z253" s="6" t="str">
        <f>IFERROR(_xlfn.LET(_xlpm.x,VLOOKUP($C253,[1]Summary!$A$2:$J$118,10,0),IF(_xlpm.x=0,"",_xlpm.x)),"")</f>
        <v/>
      </c>
    </row>
    <row r="254" spans="1:26" x14ac:dyDescent="0.25">
      <c r="A254" s="2">
        <v>1000000002997</v>
      </c>
      <c r="B254" s="5" t="s">
        <v>473</v>
      </c>
      <c r="C254" s="2">
        <v>3000000001793</v>
      </c>
      <c r="D254" s="5" t="s">
        <v>474</v>
      </c>
      <c r="E254" s="1"/>
      <c r="F254" s="1" t="s">
        <v>28</v>
      </c>
      <c r="G254" s="1">
        <v>4</v>
      </c>
      <c r="H254" s="1">
        <v>2</v>
      </c>
      <c r="I254" s="1">
        <v>2</v>
      </c>
      <c r="J254" s="1"/>
      <c r="K254" s="1">
        <v>50</v>
      </c>
      <c r="L254" s="1" t="str">
        <f>IFERROR(_xlfn.LET(_xlpm.x,VLOOKUP($A254,'[1]Markings Threadings'!$B$3:$L$245,3,0),IF(_xlpm.x=0,"",_xlpm.x)),"")</f>
        <v>White</v>
      </c>
      <c r="M254" s="2">
        <f>IFERROR(_xlfn.LET(_xlpm.x,VLOOKUP($A254,'[1]Markings Threadings'!$B$3:$L$245,7,0),IF(_xlpm.x=0,"",_xlpm.x)),"")</f>
        <v>5000000000610</v>
      </c>
      <c r="N254" s="5" t="str">
        <f>IFERROR(_xlfn.LET(_xlpm.x,VLOOKUP($A254,'[1]Markings Threadings'!$B$3:$L$245,8,0),IF(_xlpm.x=0,"",_xlpm.x)),"")</f>
        <v>Sack Plain white PP w/ liner; 50kg 26x45</v>
      </c>
      <c r="O254" s="2" t="str">
        <f>IFERROR(_xlfn.LET(_xlpm.x,VLOOKUP($A254,'[1]Markings Threadings'!$B$3:$L$245,10,0),IF(_xlpm.x=0,"",_xlpm.x)),"")</f>
        <v/>
      </c>
      <c r="P254" s="5" t="str">
        <f>IFERROR(_xlfn.LET(_xlpm.x,VLOOKUP($A254,'[1]Markings Threadings'!$B$3:$L$245,11,0),IF(_xlpm.x=0,"",_xlpm.x)),"")</f>
        <v/>
      </c>
      <c r="Q254" s="1" t="str">
        <f>IFERROR(_xlfn.LET(_xlpm.x,VLOOKUP($A254,'[1]Markings Threadings'!$B$3:$L$245,4,0),IF(_xlpm.x=0,"",_xlpm.x)),"")</f>
        <v>2997 PS PDEVP</v>
      </c>
      <c r="R254" s="1" t="str">
        <f>IFERROR(_xlfn.LET(_xlpm.x,VLOOKUP($A254,'[1]Markings Threadings'!$B$3:$L$245,5,0),IF(_xlpm.x=0,"",_xlpm.x)),"")</f>
        <v/>
      </c>
      <c r="S254" s="1">
        <f>IFERROR(_xlfn.LET(_xlpm.x,VLOOKUP($A254,'[1]Markings Threadings'!$B$3:$L$245,6,0),IF(_xlpm.x=0,"",_xlpm.x)),"")</f>
        <v>4</v>
      </c>
      <c r="T254" s="6" t="str">
        <f>IFERROR(_xlfn.LET(_xlpm.x,VLOOKUP($C254,[1]Summary!$A$2:$J$118,4,0),IF(_xlpm.x=0,"",_xlpm.x)),"")</f>
        <v/>
      </c>
      <c r="U254" s="6" t="str">
        <f>IFERROR(_xlfn.LET(_xlpm.x,VLOOKUP($C254,[1]Summary!$A$2:$J$118,5,0),IF(_xlpm.x=0,"",_xlpm.x)),"")</f>
        <v/>
      </c>
      <c r="V254" s="6" t="str">
        <f>IFERROR(_xlfn.LET(_xlpm.x,VLOOKUP($C254,[1]Summary!$A$2:$J$118,6,0),IF(_xlpm.x=0,"",_xlpm.x)),"")</f>
        <v/>
      </c>
      <c r="W254" s="6" t="str">
        <f>IFERROR(_xlfn.LET(_xlpm.x,VLOOKUP($C254,[1]Summary!$A$2:$J$118,7,0),IF(_xlpm.x=0,"",_xlpm.x)),"")</f>
        <v/>
      </c>
      <c r="X254" s="6" t="str">
        <f>IFERROR(_xlfn.LET(_xlpm.x,VLOOKUP($C254,[1]Summary!$A$2:$J$118,8,0),IF(_xlpm.x=0,"",_xlpm.x)),"")</f>
        <v/>
      </c>
      <c r="Y254" s="6" t="str">
        <f>IFERROR(_xlfn.LET(_xlpm.x,VLOOKUP($C254,[1]Summary!$A$2:$J$118,9,0),IF(_xlpm.x=0,"",_xlpm.x)),"")</f>
        <v/>
      </c>
      <c r="Z254" s="6" t="str">
        <f>IFERROR(_xlfn.LET(_xlpm.x,VLOOKUP($C254,[1]Summary!$A$2:$J$118,10,0),IF(_xlpm.x=0,"",_xlpm.x)),"")</f>
        <v/>
      </c>
    </row>
    <row r="255" spans="1:26" x14ac:dyDescent="0.25">
      <c r="A255" s="2">
        <v>1000000001014</v>
      </c>
      <c r="B255" s="5" t="s">
        <v>475</v>
      </c>
      <c r="C255" s="2">
        <v>3000000000274</v>
      </c>
      <c r="D255" s="5" t="s">
        <v>476</v>
      </c>
      <c r="E255" s="1"/>
      <c r="F255" s="1" t="s">
        <v>44</v>
      </c>
      <c r="G255" s="1">
        <v>4</v>
      </c>
      <c r="H255" s="1">
        <v>2</v>
      </c>
      <c r="I255" s="1">
        <v>2</v>
      </c>
      <c r="J255" s="1"/>
      <c r="K255" s="1">
        <v>50</v>
      </c>
      <c r="L255" s="1" t="str">
        <f>IFERROR(_xlfn.LET(_xlpm.x,VLOOKUP($A255,'[1]Markings Threadings'!$B$3:$L$245,3,0),IF(_xlpm.x=0,"",_xlpm.x)),"")</f>
        <v>Orange</v>
      </c>
      <c r="M255" s="2">
        <f>IFERROR(_xlfn.LET(_xlpm.x,VLOOKUP($A255,'[1]Markings Threadings'!$B$3:$L$245,7,0),IF(_xlpm.x=0,"",_xlpm.x)),"")</f>
        <v>5000000000038</v>
      </c>
      <c r="N255" s="5" t="str">
        <f>IFERROR(_xlfn.LET(_xlpm.x,VLOOKUP($A255,'[1]Markings Threadings'!$B$3:$L$245,8,0),IF(_xlpm.x=0,"",_xlpm.x)),"")</f>
        <v>Empty Sack - Plain White Sacks 50 kg</v>
      </c>
      <c r="O255" s="2" t="str">
        <f>IFERROR(_xlfn.LET(_xlpm.x,VLOOKUP($A255,'[1]Markings Threadings'!$B$3:$L$245,10,0),IF(_xlpm.x=0,"",_xlpm.x)),"")</f>
        <v/>
      </c>
      <c r="P255" s="5" t="str">
        <f>IFERROR(_xlfn.LET(_xlpm.x,VLOOKUP($A255,'[1]Markings Threadings'!$B$3:$L$245,11,0),IF(_xlpm.x=0,"",_xlpm.x)),"")</f>
        <v>None</v>
      </c>
      <c r="Q255" s="1" t="str">
        <f>IFERROR(_xlfn.LET(_xlpm.x,VLOOKUP($A255,'[1]Markings Threadings'!$B$3:$L$245,4,0),IF(_xlpm.x=0,"",_xlpm.x)),"")</f>
        <v>1014 - P-L Brdr</v>
      </c>
      <c r="R255" s="1" t="str">
        <f>IFERROR(_xlfn.LET(_xlpm.x,VLOOKUP($A255,'[1]Markings Threadings'!$B$3:$L$245,5,0),IF(_xlpm.x=0,"",_xlpm.x)),"")</f>
        <v/>
      </c>
      <c r="S255" s="1">
        <f>IFERROR(_xlfn.LET(_xlpm.x,VLOOKUP($A255,'[1]Markings Threadings'!$B$3:$L$245,6,0),IF(_xlpm.x=0,"",_xlpm.x)),"")</f>
        <v>7</v>
      </c>
      <c r="T255" s="6" t="str">
        <f>IFERROR(_xlfn.LET(_xlpm.x,VLOOKUP($C255,[1]Summary!$A$2:$J$118,4,0),IF(_xlpm.x=0,"",_xlpm.x)),"")</f>
        <v/>
      </c>
      <c r="U255" s="6" t="str">
        <f>IFERROR(_xlfn.LET(_xlpm.x,VLOOKUP($C255,[1]Summary!$A$2:$J$118,5,0),IF(_xlpm.x=0,"",_xlpm.x)),"")</f>
        <v/>
      </c>
      <c r="V255" s="6" t="str">
        <f>IFERROR(_xlfn.LET(_xlpm.x,VLOOKUP($C255,[1]Summary!$A$2:$J$118,6,0),IF(_xlpm.x=0,"",_xlpm.x)),"")</f>
        <v/>
      </c>
      <c r="W255" s="6" t="str">
        <f>IFERROR(_xlfn.LET(_xlpm.x,VLOOKUP($C255,[1]Summary!$A$2:$J$118,7,0),IF(_xlpm.x=0,"",_xlpm.x)),"")</f>
        <v/>
      </c>
      <c r="X255" s="6" t="str">
        <f>IFERROR(_xlfn.LET(_xlpm.x,VLOOKUP($C255,[1]Summary!$A$2:$J$118,8,0),IF(_xlpm.x=0,"",_xlpm.x)),"")</f>
        <v/>
      </c>
      <c r="Y255" s="6" t="str">
        <f>IFERROR(_xlfn.LET(_xlpm.x,VLOOKUP($C255,[1]Summary!$A$2:$J$118,9,0),IF(_xlpm.x=0,"",_xlpm.x)),"")</f>
        <v/>
      </c>
      <c r="Z255" s="6" t="str">
        <f>IFERROR(_xlfn.LET(_xlpm.x,VLOOKUP($C255,[1]Summary!$A$2:$J$118,10,0),IF(_xlpm.x=0,"",_xlpm.x)),"")</f>
        <v/>
      </c>
    </row>
    <row r="256" spans="1:26" x14ac:dyDescent="0.25">
      <c r="A256" s="2">
        <v>1000000002487</v>
      </c>
      <c r="B256" s="5" t="s">
        <v>477</v>
      </c>
      <c r="C256" s="2">
        <v>1000000002487</v>
      </c>
      <c r="D256" s="5" t="s">
        <v>477</v>
      </c>
      <c r="E256" s="1"/>
      <c r="F256" s="1" t="s">
        <v>44</v>
      </c>
      <c r="G256" s="1"/>
      <c r="H256" s="1">
        <v>0.5</v>
      </c>
      <c r="I256" s="1">
        <v>0.5</v>
      </c>
      <c r="J256" s="1"/>
      <c r="K256" s="1">
        <v>500</v>
      </c>
      <c r="L256" s="1" t="str">
        <f>IFERROR(_xlfn.LET(_xlpm.x,VLOOKUP($A256,'[1]Markings Threadings'!$B$3:$L$245,3,0),IF(_xlpm.x=0,"",_xlpm.x)),"")</f>
        <v/>
      </c>
      <c r="M256" s="2" t="str">
        <f>IFERROR(_xlfn.LET(_xlpm.x,VLOOKUP($A256,'[1]Markings Threadings'!$B$3:$L$245,7,0),IF(_xlpm.x=0,"",_xlpm.x)),"")</f>
        <v/>
      </c>
      <c r="N256" s="5" t="str">
        <f>IFERROR(_xlfn.LET(_xlpm.x,VLOOKUP($A256,'[1]Markings Threadings'!$B$3:$L$245,8,0),IF(_xlpm.x=0,"",_xlpm.x)),"")</f>
        <v/>
      </c>
      <c r="O256" s="2" t="str">
        <f>IFERROR(_xlfn.LET(_xlpm.x,VLOOKUP($A256,'[1]Markings Threadings'!$B$3:$L$245,10,0),IF(_xlpm.x=0,"",_xlpm.x)),"")</f>
        <v/>
      </c>
      <c r="P256" s="5" t="str">
        <f>IFERROR(_xlfn.LET(_xlpm.x,VLOOKUP($A256,'[1]Markings Threadings'!$B$3:$L$245,11,0),IF(_xlpm.x=0,"",_xlpm.x)),"")</f>
        <v/>
      </c>
      <c r="Q256" s="1" t="str">
        <f>IFERROR(_xlfn.LET(_xlpm.x,VLOOKUP($A256,'[1]Markings Threadings'!$B$3:$L$245,4,0),IF(_xlpm.x=0,"",_xlpm.x)),"")</f>
        <v/>
      </c>
      <c r="R256" s="1" t="str">
        <f>IFERROR(_xlfn.LET(_xlpm.x,VLOOKUP($A256,'[1]Markings Threadings'!$B$3:$L$245,5,0),IF(_xlpm.x=0,"",_xlpm.x)),"")</f>
        <v/>
      </c>
      <c r="S256" s="1" t="str">
        <f>IFERROR(_xlfn.LET(_xlpm.x,VLOOKUP($A256,'[1]Markings Threadings'!$B$3:$L$245,6,0),IF(_xlpm.x=0,"",_xlpm.x)),"")</f>
        <v/>
      </c>
      <c r="T256" s="6" t="str">
        <f>IFERROR(_xlfn.LET(_xlpm.x,VLOOKUP($C256,[1]Summary!$A$2:$J$118,4,0),IF(_xlpm.x=0,"",_xlpm.x)),"")</f>
        <v/>
      </c>
      <c r="U256" s="6" t="str">
        <f>IFERROR(_xlfn.LET(_xlpm.x,VLOOKUP($C256,[1]Summary!$A$2:$J$118,5,0),IF(_xlpm.x=0,"",_xlpm.x)),"")</f>
        <v/>
      </c>
      <c r="V256" s="6" t="str">
        <f>IFERROR(_xlfn.LET(_xlpm.x,VLOOKUP($C256,[1]Summary!$A$2:$J$118,6,0),IF(_xlpm.x=0,"",_xlpm.x)),"")</f>
        <v/>
      </c>
      <c r="W256" s="6" t="str">
        <f>IFERROR(_xlfn.LET(_xlpm.x,VLOOKUP($C256,[1]Summary!$A$2:$J$118,7,0),IF(_xlpm.x=0,"",_xlpm.x)),"")</f>
        <v/>
      </c>
      <c r="X256" s="6" t="str">
        <f>IFERROR(_xlfn.LET(_xlpm.x,VLOOKUP($C256,[1]Summary!$A$2:$J$118,8,0),IF(_xlpm.x=0,"",_xlpm.x)),"")</f>
        <v/>
      </c>
      <c r="Y256" s="6" t="str">
        <f>IFERROR(_xlfn.LET(_xlpm.x,VLOOKUP($C256,[1]Summary!$A$2:$J$118,9,0),IF(_xlpm.x=0,"",_xlpm.x)),"")</f>
        <v/>
      </c>
      <c r="Z256" s="6" t="str">
        <f>IFERROR(_xlfn.LET(_xlpm.x,VLOOKUP($C256,[1]Summary!$A$2:$J$118,10,0),IF(_xlpm.x=0,"",_xlpm.x)),"")</f>
        <v/>
      </c>
    </row>
    <row r="257" spans="1:26" x14ac:dyDescent="0.25">
      <c r="A257" s="2">
        <v>1000000000086</v>
      </c>
      <c r="B257" s="5" t="s">
        <v>478</v>
      </c>
      <c r="C257" s="2">
        <v>3000000001133</v>
      </c>
      <c r="D257" s="5" t="s">
        <v>479</v>
      </c>
      <c r="E257" s="1">
        <v>3</v>
      </c>
      <c r="F257" s="1" t="s">
        <v>67</v>
      </c>
      <c r="G257" s="1">
        <v>4</v>
      </c>
      <c r="H257" s="1">
        <v>2</v>
      </c>
      <c r="I257" s="1">
        <v>2</v>
      </c>
      <c r="J257" s="1"/>
      <c r="K257" s="1">
        <v>50</v>
      </c>
      <c r="L257" s="1" t="str">
        <f>IFERROR(_xlfn.LET(_xlpm.x,VLOOKUP($A257,'[1]Markings Threadings'!$B$3:$L$245,3,0),IF(_xlpm.x=0,"",_xlpm.x)),"")</f>
        <v>Blue</v>
      </c>
      <c r="M257" s="2">
        <f>IFERROR(_xlfn.LET(_xlpm.x,VLOOKUP($A257,'[1]Markings Threadings'!$B$3:$L$245,7,0),IF(_xlpm.x=0,"",_xlpm.x)),"")</f>
        <v>5000000000558</v>
      </c>
      <c r="N257" s="5" t="str">
        <f>IFERROR(_xlfn.LET(_xlpm.x,VLOOKUP($A257,'[1]Markings Threadings'!$B$3:$L$245,8,0),IF(_xlpm.x=0,"",_xlpm.x)),"")</f>
        <v>v2 - Poultry Solutions Broiler Starter, 50kg</v>
      </c>
      <c r="O257" s="2">
        <f>IFERROR(_xlfn.LET(_xlpm.x,VLOOKUP($A257,'[1]Markings Threadings'!$B$3:$L$245,10,0),IF(_xlpm.x=0,"",_xlpm.x)),"")</f>
        <v>5000000000113</v>
      </c>
      <c r="P257" s="5" t="str">
        <f>IFERROR(_xlfn.LET(_xlpm.x,VLOOKUP($A257,'[1]Markings Threadings'!$B$3:$L$245,11,0),IF(_xlpm.x=0,"",_xlpm.x)),"")</f>
        <v>Tag - Poultry Solutions Broiler Starter Crumble</v>
      </c>
      <c r="Q257" s="1" t="str">
        <f>IFERROR(_xlfn.LET(_xlpm.x,VLOOKUP($A257,'[1]Markings Threadings'!$B$3:$L$245,4,0),IF(_xlpm.x=0,"",_xlpm.x)),"")</f>
        <v>086 | PS BSMP</v>
      </c>
      <c r="R257" s="1" t="str">
        <f>IFERROR(_xlfn.LET(_xlpm.x,VLOOKUP($A257,'[1]Markings Threadings'!$B$3:$L$245,5,0),IF(_xlpm.x=0,"",_xlpm.x)),"")</f>
        <v/>
      </c>
      <c r="S257" s="1">
        <f>IFERROR(_xlfn.LET(_xlpm.x,VLOOKUP($A257,'[1]Markings Threadings'!$B$3:$L$245,6,0),IF(_xlpm.x=0,"",_xlpm.x)),"")</f>
        <v>7</v>
      </c>
      <c r="T257" s="6" t="str">
        <f>IFERROR(_xlfn.LET(_xlpm.x,VLOOKUP($C257,[1]Summary!$A$2:$J$118,4,0),IF(_xlpm.x=0,"",_xlpm.x)),"")</f>
        <v/>
      </c>
      <c r="U257" s="6" t="str">
        <f>IFERROR(_xlfn.LET(_xlpm.x,VLOOKUP($C257,[1]Summary!$A$2:$J$118,5,0),IF(_xlpm.x=0,"",_xlpm.x)),"")</f>
        <v/>
      </c>
      <c r="V257" s="6">
        <f>IFERROR(_xlfn.LET(_xlpm.x,VLOOKUP($C257,[1]Summary!$A$2:$J$118,6,0),IF(_xlpm.x=0,"",_xlpm.x)),"")</f>
        <v>8.4700461176470601</v>
      </c>
      <c r="W257" s="6" t="str">
        <f>IFERROR(_xlfn.LET(_xlpm.x,VLOOKUP($C257,[1]Summary!$A$2:$J$118,7,0),IF(_xlpm.x=0,"",_xlpm.x)),"")</f>
        <v/>
      </c>
      <c r="X257" s="6" t="str">
        <f>IFERROR(_xlfn.LET(_xlpm.x,VLOOKUP($C257,[1]Summary!$A$2:$J$118,8,0),IF(_xlpm.x=0,"",_xlpm.x)),"")</f>
        <v/>
      </c>
      <c r="Y257" s="6" t="str">
        <f>IFERROR(_xlfn.LET(_xlpm.x,VLOOKUP($C257,[1]Summary!$A$2:$J$118,9,0),IF(_xlpm.x=0,"",_xlpm.x)),"")</f>
        <v/>
      </c>
      <c r="Z257" s="6" t="str">
        <f>IFERROR(_xlfn.LET(_xlpm.x,VLOOKUP($C257,[1]Summary!$A$2:$J$118,10,0),IF(_xlpm.x=0,"",_xlpm.x)),"")</f>
        <v/>
      </c>
    </row>
    <row r="258" spans="1:26" x14ac:dyDescent="0.25">
      <c r="A258" s="2">
        <v>1000000003131</v>
      </c>
      <c r="B258" s="5" t="s">
        <v>480</v>
      </c>
      <c r="C258" s="2">
        <v>3000000001826</v>
      </c>
      <c r="D258" s="5" t="s">
        <v>481</v>
      </c>
      <c r="E258" s="1">
        <v>4</v>
      </c>
      <c r="F258" s="1" t="s">
        <v>54</v>
      </c>
      <c r="G258" s="1">
        <v>4</v>
      </c>
      <c r="H258" s="1">
        <v>2</v>
      </c>
      <c r="I258" s="1">
        <v>2</v>
      </c>
      <c r="J258" s="1"/>
      <c r="K258" s="1">
        <v>50</v>
      </c>
      <c r="L258" s="1" t="str">
        <f>IFERROR(_xlfn.LET(_xlpm.x,VLOOKUP($A258,'[1]Markings Threadings'!$B$3:$L$245,3,0),IF(_xlpm.x=0,"",_xlpm.x)),"")</f>
        <v/>
      </c>
      <c r="M258" s="2" t="str">
        <f>IFERROR(_xlfn.LET(_xlpm.x,VLOOKUP($A258,'[1]Markings Threadings'!$B$3:$L$245,7,0),IF(_xlpm.x=0,"",_xlpm.x)),"")</f>
        <v/>
      </c>
      <c r="N258" s="5" t="str">
        <f>IFERROR(_xlfn.LET(_xlpm.x,VLOOKUP($A258,'[1]Markings Threadings'!$B$3:$L$245,8,0),IF(_xlpm.x=0,"",_xlpm.x)),"")</f>
        <v/>
      </c>
      <c r="O258" s="2" t="str">
        <f>IFERROR(_xlfn.LET(_xlpm.x,VLOOKUP($A258,'[1]Markings Threadings'!$B$3:$L$245,10,0),IF(_xlpm.x=0,"",_xlpm.x)),"")</f>
        <v/>
      </c>
      <c r="P258" s="5" t="str">
        <f>IFERROR(_xlfn.LET(_xlpm.x,VLOOKUP($A258,'[1]Markings Threadings'!$B$3:$L$245,11,0),IF(_xlpm.x=0,"",_xlpm.x)),"")</f>
        <v/>
      </c>
      <c r="Q258" s="1" t="str">
        <f>IFERROR(_xlfn.LET(_xlpm.x,VLOOKUP($A258,'[1]Markings Threadings'!$B$3:$L$245,4,0),IF(_xlpm.x=0,"",_xlpm.x)),"")</f>
        <v/>
      </c>
      <c r="R258" s="1" t="str">
        <f>IFERROR(_xlfn.LET(_xlpm.x,VLOOKUP($A258,'[1]Markings Threadings'!$B$3:$L$245,5,0),IF(_xlpm.x=0,"",_xlpm.x)),"")</f>
        <v/>
      </c>
      <c r="S258" s="1" t="str">
        <f>IFERROR(_xlfn.LET(_xlpm.x,VLOOKUP($A258,'[1]Markings Threadings'!$B$3:$L$245,6,0),IF(_xlpm.x=0,"",_xlpm.x)),"")</f>
        <v/>
      </c>
      <c r="T258" s="6" t="str">
        <f>IFERROR(_xlfn.LET(_xlpm.x,VLOOKUP($C258,[1]Summary!$A$2:$J$118,4,0),IF(_xlpm.x=0,"",_xlpm.x)),"")</f>
        <v/>
      </c>
      <c r="U258" s="6" t="str">
        <f>IFERROR(_xlfn.LET(_xlpm.x,VLOOKUP($C258,[1]Summary!$A$2:$J$118,5,0),IF(_xlpm.x=0,"",_xlpm.x)),"")</f>
        <v/>
      </c>
      <c r="V258" s="6" t="str">
        <f>IFERROR(_xlfn.LET(_xlpm.x,VLOOKUP($C258,[1]Summary!$A$2:$J$118,6,0),IF(_xlpm.x=0,"",_xlpm.x)),"")</f>
        <v/>
      </c>
      <c r="W258" s="6" t="str">
        <f>IFERROR(_xlfn.LET(_xlpm.x,VLOOKUP($C258,[1]Summary!$A$2:$J$118,7,0),IF(_xlpm.x=0,"",_xlpm.x)),"")</f>
        <v/>
      </c>
      <c r="X258" s="6" t="str">
        <f>IFERROR(_xlfn.LET(_xlpm.x,VLOOKUP($C258,[1]Summary!$A$2:$J$118,8,0),IF(_xlpm.x=0,"",_xlpm.x)),"")</f>
        <v/>
      </c>
      <c r="Y258" s="6" t="str">
        <f>IFERROR(_xlfn.LET(_xlpm.x,VLOOKUP($C258,[1]Summary!$A$2:$J$118,9,0),IF(_xlpm.x=0,"",_xlpm.x)),"")</f>
        <v/>
      </c>
      <c r="Z258" s="6" t="str">
        <f>IFERROR(_xlfn.LET(_xlpm.x,VLOOKUP($C258,[1]Summary!$A$2:$J$118,10,0),IF(_xlpm.x=0,"",_xlpm.x)),"")</f>
        <v/>
      </c>
    </row>
    <row r="259" spans="1:26" x14ac:dyDescent="0.25">
      <c r="A259" s="2">
        <v>1000000003114</v>
      </c>
      <c r="B259" s="5" t="s">
        <v>482</v>
      </c>
      <c r="C259" s="2">
        <v>3000000001821</v>
      </c>
      <c r="D259" s="5" t="s">
        <v>483</v>
      </c>
      <c r="E259" s="1">
        <v>3</v>
      </c>
      <c r="F259" s="1" t="s">
        <v>37</v>
      </c>
      <c r="G259" s="1">
        <v>4</v>
      </c>
      <c r="H259" s="1">
        <v>2</v>
      </c>
      <c r="I259" s="1">
        <v>2</v>
      </c>
      <c r="J259" s="1"/>
      <c r="K259" s="1">
        <v>25</v>
      </c>
      <c r="L259" s="1" t="str">
        <f>IFERROR(_xlfn.LET(_xlpm.x,VLOOKUP($A259,'[1]Markings Threadings'!$B$3:$L$245,3,0),IF(_xlpm.x=0,"",_xlpm.x)),"")</f>
        <v>Green</v>
      </c>
      <c r="M259" s="2">
        <f>IFERROR(_xlfn.LET(_xlpm.x,VLOOKUP($A259,'[1]Markings Threadings'!$B$3:$L$245,7,0),IF(_xlpm.x=0,"",_xlpm.x)),"")</f>
        <v>5000000000163</v>
      </c>
      <c r="N259" s="5" t="str">
        <f>IFERROR(_xlfn.LET(_xlpm.x,VLOOKUP($A259,'[1]Markings Threadings'!$B$3:$L$245,8,0),IF(_xlpm.x=0,"",_xlpm.x)),"")</f>
        <v>v2- Bundle Packaging for Elite Sprinter 1kg, 25kg</v>
      </c>
      <c r="O259" s="2">
        <f>IFERROR(_xlfn.LET(_xlpm.x,VLOOKUP($A259,'[1]Markings Threadings'!$B$3:$L$245,10,0),IF(_xlpm.x=0,"",_xlpm.x)),"")</f>
        <v>5000000000479</v>
      </c>
      <c r="P259" s="5" t="str">
        <f>IFERROR(_xlfn.LET(_xlpm.x,VLOOKUP($A259,'[1]Markings Threadings'!$B$3:$L$245,11,0),IF(_xlpm.x=0,"",_xlpm.x)),"")</f>
        <v>Tag- Elite XP Sprinter Mini-Pellet, Pellet 10 kg</v>
      </c>
      <c r="Q259" s="1" t="str">
        <f>IFERROR(_xlfn.LET(_xlpm.x,VLOOKUP($A259,'[1]Markings Threadings'!$B$3:$L$245,4,0),IF(_xlpm.x=0,"",_xlpm.x)),"")</f>
        <v/>
      </c>
      <c r="R259" s="1" t="str">
        <f>IFERROR(_xlfn.LET(_xlpm.x,VLOOKUP($A259,'[1]Markings Threadings'!$B$3:$L$245,5,0),IF(_xlpm.x=0,"",_xlpm.x)),"")</f>
        <v>3114 - BST T2</v>
      </c>
      <c r="S259" s="1">
        <f>IFERROR(_xlfn.LET(_xlpm.x,VLOOKUP($A259,'[1]Markings Threadings'!$B$3:$L$245,6,0),IF(_xlpm.x=0,"",_xlpm.x)),"")</f>
        <v>2</v>
      </c>
      <c r="T259" s="6" t="str">
        <f>IFERROR(_xlfn.LET(_xlpm.x,VLOOKUP($C259,[1]Summary!$A$2:$J$118,4,0),IF(_xlpm.x=0,"",_xlpm.x)),"")</f>
        <v/>
      </c>
      <c r="U259" s="6" t="str">
        <f>IFERROR(_xlfn.LET(_xlpm.x,VLOOKUP($C259,[1]Summary!$A$2:$J$118,5,0),IF(_xlpm.x=0,"",_xlpm.x)),"")</f>
        <v/>
      </c>
      <c r="V259" s="6" t="str">
        <f>IFERROR(_xlfn.LET(_xlpm.x,VLOOKUP($C259,[1]Summary!$A$2:$J$118,6,0),IF(_xlpm.x=0,"",_xlpm.x)),"")</f>
        <v/>
      </c>
      <c r="W259" s="6" t="str">
        <f>IFERROR(_xlfn.LET(_xlpm.x,VLOOKUP($C259,[1]Summary!$A$2:$J$118,7,0),IF(_xlpm.x=0,"",_xlpm.x)),"")</f>
        <v/>
      </c>
      <c r="X259" s="6" t="str">
        <f>IFERROR(_xlfn.LET(_xlpm.x,VLOOKUP($C259,[1]Summary!$A$2:$J$118,8,0),IF(_xlpm.x=0,"",_xlpm.x)),"")</f>
        <v/>
      </c>
      <c r="Y259" s="6" t="str">
        <f>IFERROR(_xlfn.LET(_xlpm.x,VLOOKUP($C259,[1]Summary!$A$2:$J$118,9,0),IF(_xlpm.x=0,"",_xlpm.x)),"")</f>
        <v/>
      </c>
      <c r="Z259" s="6">
        <f>IFERROR(_xlfn.LET(_xlpm.x,VLOOKUP($C259,[1]Summary!$A$2:$J$118,10,0),IF(_xlpm.x=0,"",_xlpm.x)),"")</f>
        <v>5.901261639344253</v>
      </c>
    </row>
    <row r="260" spans="1:26" x14ac:dyDescent="0.25">
      <c r="A260" s="2">
        <v>1000000003162</v>
      </c>
      <c r="B260" s="5" t="s">
        <v>484</v>
      </c>
      <c r="C260" s="2">
        <v>3000000001554</v>
      </c>
      <c r="D260" s="5" t="s">
        <v>485</v>
      </c>
      <c r="E260" s="1">
        <v>4</v>
      </c>
      <c r="F260" s="1" t="s">
        <v>486</v>
      </c>
      <c r="G260" s="1">
        <v>4</v>
      </c>
      <c r="H260" s="1">
        <v>2</v>
      </c>
      <c r="I260" s="1">
        <v>2</v>
      </c>
      <c r="J260" s="1"/>
      <c r="K260" s="1">
        <v>50</v>
      </c>
      <c r="L260" s="1" t="str">
        <f>IFERROR(_xlfn.LET(_xlpm.x,VLOOKUP($A260,'[1]Markings Threadings'!$B$3:$L$245,3,0),IF(_xlpm.x=0,"",_xlpm.x)),"")</f>
        <v>Blue</v>
      </c>
      <c r="M260" s="2">
        <f>IFERROR(_xlfn.LET(_xlpm.x,VLOOKUP($A260,'[1]Markings Threadings'!$B$3:$L$245,7,0),IF(_xlpm.x=0,"",_xlpm.x)),"")</f>
        <v>5000000000563</v>
      </c>
      <c r="N260" s="5" t="str">
        <f>IFERROR(_xlfn.LET(_xlpm.x,VLOOKUP($A260,'[1]Markings Threadings'!$B$3:$L$245,8,0),IF(_xlpm.x=0,"",_xlpm.x)),"")</f>
        <v>v2 - Poultry Solutions Pre-Layer 50kg</v>
      </c>
      <c r="O260" s="2">
        <f>IFERROR(_xlfn.LET(_xlpm.x,VLOOKUP($A260,'[1]Markings Threadings'!$B$3:$L$245,10,0),IF(_xlpm.x=0,"",_xlpm.x)),"")</f>
        <v>5000000000615</v>
      </c>
      <c r="P260" s="5" t="str">
        <f>IFERROR(_xlfn.LET(_xlpm.x,VLOOKUP($A260,'[1]Markings Threadings'!$B$3:$L$245,11,0),IF(_xlpm.x=0,"",_xlpm.x)),"")</f>
        <v>Tag - Poultry Solutions Pre-Lay Crumble, 50kg</v>
      </c>
      <c r="Q260" s="1" t="str">
        <f>IFERROR(_xlfn.LET(_xlpm.x,VLOOKUP($A260,'[1]Markings Threadings'!$B$3:$L$245,4,0),IF(_xlpm.x=0,"",_xlpm.x)),"")</f>
        <v>3162 - P-Layer</v>
      </c>
      <c r="R260" s="1" t="str">
        <f>IFERROR(_xlfn.LET(_xlpm.x,VLOOKUP($A260,'[1]Markings Threadings'!$B$3:$L$245,5,0),IF(_xlpm.x=0,"",_xlpm.x)),"")</f>
        <v/>
      </c>
      <c r="S260" s="1">
        <f>IFERROR(_xlfn.LET(_xlpm.x,VLOOKUP($A260,'[1]Markings Threadings'!$B$3:$L$245,6,0),IF(_xlpm.x=0,"",_xlpm.x)),"")</f>
        <v>6</v>
      </c>
      <c r="T260" s="6" t="str">
        <f>IFERROR(_xlfn.LET(_xlpm.x,VLOOKUP($C260,[1]Summary!$A$2:$J$118,4,0),IF(_xlpm.x=0,"",_xlpm.x)),"")</f>
        <v/>
      </c>
      <c r="U260" s="6" t="str">
        <f>IFERROR(_xlfn.LET(_xlpm.x,VLOOKUP($C260,[1]Summary!$A$2:$J$118,5,0),IF(_xlpm.x=0,"",_xlpm.x)),"")</f>
        <v/>
      </c>
      <c r="V260" s="6" t="str">
        <f>IFERROR(_xlfn.LET(_xlpm.x,VLOOKUP($C260,[1]Summary!$A$2:$J$118,6,0),IF(_xlpm.x=0,"",_xlpm.x)),"")</f>
        <v/>
      </c>
      <c r="W260" s="6" t="str">
        <f>IFERROR(_xlfn.LET(_xlpm.x,VLOOKUP($C260,[1]Summary!$A$2:$J$118,7,0),IF(_xlpm.x=0,"",_xlpm.x)),"")</f>
        <v/>
      </c>
      <c r="X260" s="6" t="str">
        <f>IFERROR(_xlfn.LET(_xlpm.x,VLOOKUP($C260,[1]Summary!$A$2:$J$118,8,0),IF(_xlpm.x=0,"",_xlpm.x)),"")</f>
        <v/>
      </c>
      <c r="Y260" s="6" t="str">
        <f>IFERROR(_xlfn.LET(_xlpm.x,VLOOKUP($C260,[1]Summary!$A$2:$J$118,9,0),IF(_xlpm.x=0,"",_xlpm.x)),"")</f>
        <v/>
      </c>
      <c r="Z260" s="6" t="str">
        <f>IFERROR(_xlfn.LET(_xlpm.x,VLOOKUP($C260,[1]Summary!$A$2:$J$118,10,0),IF(_xlpm.x=0,"",_xlpm.x)),"")</f>
        <v/>
      </c>
    </row>
    <row r="261" spans="1:26" x14ac:dyDescent="0.25">
      <c r="A261" s="2">
        <v>1000000003164</v>
      </c>
      <c r="B261" s="5" t="s">
        <v>487</v>
      </c>
      <c r="C261" s="2">
        <v>3000000001841</v>
      </c>
      <c r="D261" s="5" t="s">
        <v>488</v>
      </c>
      <c r="E261" s="1">
        <v>4</v>
      </c>
      <c r="F261" s="1" t="s">
        <v>54</v>
      </c>
      <c r="G261" s="1">
        <v>4</v>
      </c>
      <c r="H261" s="1">
        <v>2</v>
      </c>
      <c r="I261" s="1">
        <v>2</v>
      </c>
      <c r="J261" s="1"/>
      <c r="K261" s="1">
        <v>50</v>
      </c>
      <c r="L261" s="1" t="str">
        <f>IFERROR(_xlfn.LET(_xlpm.x,VLOOKUP($A261,'[1]Markings Threadings'!$B$3:$L$245,3,0),IF(_xlpm.x=0,"",_xlpm.x)),"")</f>
        <v>Green</v>
      </c>
      <c r="M261" s="2">
        <f>IFERROR(_xlfn.LET(_xlpm.x,VLOOKUP($A261,'[1]Markings Threadings'!$B$3:$L$245,7,0),IF(_xlpm.x=0,"",_xlpm.x)),"")</f>
        <v>5000000000564</v>
      </c>
      <c r="N261" s="5" t="str">
        <f>IFERROR(_xlfn.LET(_xlpm.x,VLOOKUP($A261,'[1]Markings Threadings'!$B$3:$L$245,8,0),IF(_xlpm.x=0,"",_xlpm.x)),"")</f>
        <v>v2 - Poultry Solutions Layer 1, 50kg</v>
      </c>
      <c r="O261" s="2">
        <f>IFERROR(_xlfn.LET(_xlpm.x,VLOOKUP($A261,'[1]Markings Threadings'!$B$3:$L$245,10,0),IF(_xlpm.x=0,"",_xlpm.x)),"")</f>
        <v>5000000000116</v>
      </c>
      <c r="P261" s="5" t="str">
        <f>IFERROR(_xlfn.LET(_xlpm.x,VLOOKUP($A261,'[1]Markings Threadings'!$B$3:$L$245,11,0),IF(_xlpm.x=0,"",_xlpm.x)),"")</f>
        <v>Tag - Poultry Solutions Chicken Layer 1 Crumble</v>
      </c>
      <c r="Q261" s="1" t="str">
        <f>IFERROR(_xlfn.LET(_xlpm.x,VLOOKUP($A261,'[1]Markings Threadings'!$B$3:$L$245,4,0),IF(_xlpm.x=0,"",_xlpm.x)),"")</f>
        <v xml:space="preserve">3164 - Layer 1 </v>
      </c>
      <c r="R261" s="1" t="str">
        <f>IFERROR(_xlfn.LET(_xlpm.x,VLOOKUP($A261,'[1]Markings Threadings'!$B$3:$L$245,5,0),IF(_xlpm.x=0,"",_xlpm.x)),"")</f>
        <v/>
      </c>
      <c r="S261" s="1">
        <f>IFERROR(_xlfn.LET(_xlpm.x,VLOOKUP($A261,'[1]Markings Threadings'!$B$3:$L$245,6,0),IF(_xlpm.x=0,"",_xlpm.x)),"")</f>
        <v>8</v>
      </c>
      <c r="T261" s="6" t="str">
        <f>IFERROR(_xlfn.LET(_xlpm.x,VLOOKUP($C261,[1]Summary!$A$2:$J$118,4,0),IF(_xlpm.x=0,"",_xlpm.x)),"")</f>
        <v/>
      </c>
      <c r="U261" s="6" t="str">
        <f>IFERROR(_xlfn.LET(_xlpm.x,VLOOKUP($C261,[1]Summary!$A$2:$J$118,5,0),IF(_xlpm.x=0,"",_xlpm.x)),"")</f>
        <v/>
      </c>
      <c r="V261" s="6" t="str">
        <f>IFERROR(_xlfn.LET(_xlpm.x,VLOOKUP($C261,[1]Summary!$A$2:$J$118,6,0),IF(_xlpm.x=0,"",_xlpm.x)),"")</f>
        <v/>
      </c>
      <c r="W261" s="6" t="str">
        <f>IFERROR(_xlfn.LET(_xlpm.x,VLOOKUP($C261,[1]Summary!$A$2:$J$118,7,0),IF(_xlpm.x=0,"",_xlpm.x)),"")</f>
        <v/>
      </c>
      <c r="X261" s="6" t="str">
        <f>IFERROR(_xlfn.LET(_xlpm.x,VLOOKUP($C261,[1]Summary!$A$2:$J$118,8,0),IF(_xlpm.x=0,"",_xlpm.x)),"")</f>
        <v/>
      </c>
      <c r="Y261" s="6" t="str">
        <f>IFERROR(_xlfn.LET(_xlpm.x,VLOOKUP($C261,[1]Summary!$A$2:$J$118,9,0),IF(_xlpm.x=0,"",_xlpm.x)),"")</f>
        <v/>
      </c>
      <c r="Z261" s="6" t="str">
        <f>IFERROR(_xlfn.LET(_xlpm.x,VLOOKUP($C261,[1]Summary!$A$2:$J$118,10,0),IF(_xlpm.x=0,"",_xlpm.x)),"")</f>
        <v/>
      </c>
    </row>
    <row r="262" spans="1:26" x14ac:dyDescent="0.25">
      <c r="A262" s="2">
        <v>1000000003165</v>
      </c>
      <c r="B262" s="5" t="s">
        <v>489</v>
      </c>
      <c r="C262" s="2">
        <v>3000000001842</v>
      </c>
      <c r="D262" s="5" t="s">
        <v>490</v>
      </c>
      <c r="E262" s="1">
        <v>4</v>
      </c>
      <c r="F262" s="1" t="s">
        <v>54</v>
      </c>
      <c r="G262" s="1">
        <v>4</v>
      </c>
      <c r="H262" s="1">
        <v>2</v>
      </c>
      <c r="I262" s="1">
        <v>2</v>
      </c>
      <c r="J262" s="1"/>
      <c r="K262" s="1">
        <v>50</v>
      </c>
      <c r="L262" s="1" t="str">
        <f>IFERROR(_xlfn.LET(_xlpm.x,VLOOKUP($A262,'[1]Markings Threadings'!$B$3:$L$245,3,0),IF(_xlpm.x=0,"",_xlpm.x)),"")</f>
        <v>Blue</v>
      </c>
      <c r="M262" s="2">
        <f>IFERROR(_xlfn.LET(_xlpm.x,VLOOKUP($A262,'[1]Markings Threadings'!$B$3:$L$245,7,0),IF(_xlpm.x=0,"",_xlpm.x)),"")</f>
        <v>5000000000038</v>
      </c>
      <c r="N262" s="5" t="str">
        <f>IFERROR(_xlfn.LET(_xlpm.x,VLOOKUP($A262,'[1]Markings Threadings'!$B$3:$L$245,8,0),IF(_xlpm.x=0,"",_xlpm.x)),"")</f>
        <v>Sack Plain White w/o Liner; 50kg 26 x42</v>
      </c>
      <c r="O262" s="2">
        <f>IFERROR(_xlfn.LET(_xlpm.x,VLOOKUP($A262,'[1]Markings Threadings'!$B$3:$L$245,10,0),IF(_xlpm.x=0,"",_xlpm.x)),"")</f>
        <v>5000000000117</v>
      </c>
      <c r="P262" s="5" t="str">
        <f>IFERROR(_xlfn.LET(_xlpm.x,VLOOKUP($A262,'[1]Markings Threadings'!$B$3:$L$245,11,0),IF(_xlpm.x=0,"",_xlpm.x)),"")</f>
        <v>Tag Poultry Solutions Chicken Layer 2</v>
      </c>
      <c r="Q262" s="1" t="str">
        <f>IFERROR(_xlfn.LET(_xlpm.x,VLOOKUP($A262,'[1]Markings Threadings'!$B$3:$L$245,4,0),IF(_xlpm.x=0,"",_xlpm.x)),"")</f>
        <v>3165 - Layer 2</v>
      </c>
      <c r="R262" s="1" t="str">
        <f>IFERROR(_xlfn.LET(_xlpm.x,VLOOKUP($A262,'[1]Markings Threadings'!$B$3:$L$245,5,0),IF(_xlpm.x=0,"",_xlpm.x)),"")</f>
        <v/>
      </c>
      <c r="S262" s="1">
        <f>IFERROR(_xlfn.LET(_xlpm.x,VLOOKUP($A262,'[1]Markings Threadings'!$B$3:$L$245,6,0),IF(_xlpm.x=0,"",_xlpm.x)),"")</f>
        <v>7</v>
      </c>
      <c r="T262" s="6" t="str">
        <f>IFERROR(_xlfn.LET(_xlpm.x,VLOOKUP($C262,[1]Summary!$A$2:$J$118,4,0),IF(_xlpm.x=0,"",_xlpm.x)),"")</f>
        <v/>
      </c>
      <c r="U262" s="6" t="str">
        <f>IFERROR(_xlfn.LET(_xlpm.x,VLOOKUP($C262,[1]Summary!$A$2:$J$118,5,0),IF(_xlpm.x=0,"",_xlpm.x)),"")</f>
        <v/>
      </c>
      <c r="V262" s="6" t="str">
        <f>IFERROR(_xlfn.LET(_xlpm.x,VLOOKUP($C262,[1]Summary!$A$2:$J$118,6,0),IF(_xlpm.x=0,"",_xlpm.x)),"")</f>
        <v/>
      </c>
      <c r="W262" s="6" t="str">
        <f>IFERROR(_xlfn.LET(_xlpm.x,VLOOKUP($C262,[1]Summary!$A$2:$J$118,7,0),IF(_xlpm.x=0,"",_xlpm.x)),"")</f>
        <v/>
      </c>
      <c r="X262" s="6" t="str">
        <f>IFERROR(_xlfn.LET(_xlpm.x,VLOOKUP($C262,[1]Summary!$A$2:$J$118,8,0),IF(_xlpm.x=0,"",_xlpm.x)),"")</f>
        <v/>
      </c>
      <c r="Y262" s="6" t="str">
        <f>IFERROR(_xlfn.LET(_xlpm.x,VLOOKUP($C262,[1]Summary!$A$2:$J$118,9,0),IF(_xlpm.x=0,"",_xlpm.x)),"")</f>
        <v/>
      </c>
      <c r="Z262" s="6" t="str">
        <f>IFERROR(_xlfn.LET(_xlpm.x,VLOOKUP($C262,[1]Summary!$A$2:$J$118,10,0),IF(_xlpm.x=0,"",_xlpm.x)),"")</f>
        <v/>
      </c>
    </row>
    <row r="263" spans="1:26" x14ac:dyDescent="0.25">
      <c r="A263" s="2">
        <v>1000000001016</v>
      </c>
      <c r="B263" s="5" t="s">
        <v>491</v>
      </c>
      <c r="C263" s="2">
        <v>3000000000278</v>
      </c>
      <c r="D263" s="5" t="s">
        <v>492</v>
      </c>
      <c r="E263" s="1"/>
      <c r="F263" s="1" t="s">
        <v>44</v>
      </c>
      <c r="G263" s="1"/>
      <c r="H263" s="1">
        <v>2</v>
      </c>
      <c r="I263" s="1">
        <v>2</v>
      </c>
      <c r="J263" s="1"/>
      <c r="K263" s="1">
        <v>50</v>
      </c>
      <c r="L263" s="1" t="str">
        <f>IFERROR(_xlfn.LET(_xlpm.x,VLOOKUP($A263,'[1]Markings Threadings'!$B$3:$L$245,3,0),IF(_xlpm.x=0,"",_xlpm.x)),"")</f>
        <v>Orange</v>
      </c>
      <c r="M263" s="2" t="str">
        <f>IFERROR(_xlfn.LET(_xlpm.x,VLOOKUP($A263,'[1]Markings Threadings'!$B$3:$L$245,7,0),IF(_xlpm.x=0,"",_xlpm.x)),"")</f>
        <v/>
      </c>
      <c r="N263" s="5" t="str">
        <f>IFERROR(_xlfn.LET(_xlpm.x,VLOOKUP($A263,'[1]Markings Threadings'!$B$3:$L$245,8,0),IF(_xlpm.x=0,"",_xlpm.x)),"")</f>
        <v/>
      </c>
      <c r="O263" s="2" t="str">
        <f>IFERROR(_xlfn.LET(_xlpm.x,VLOOKUP($A263,'[1]Markings Threadings'!$B$3:$L$245,10,0),IF(_xlpm.x=0,"",_xlpm.x)),"")</f>
        <v/>
      </c>
      <c r="P263" s="5" t="str">
        <f>IFERROR(_xlfn.LET(_xlpm.x,VLOOKUP($A263,'[1]Markings Threadings'!$B$3:$L$245,11,0),IF(_xlpm.x=0,"",_xlpm.x)),"")</f>
        <v/>
      </c>
      <c r="Q263" s="1" t="str">
        <f>IFERROR(_xlfn.LET(_xlpm.x,VLOOKUP($A263,'[1]Markings Threadings'!$B$3:$L$245,4,0),IF(_xlpm.x=0,"",_xlpm.x)),"")</f>
        <v>1016 - Brdr L Male</v>
      </c>
      <c r="R263" s="1" t="str">
        <f>IFERROR(_xlfn.LET(_xlpm.x,VLOOKUP($A263,'[1]Markings Threadings'!$B$3:$L$245,5,0),IF(_xlpm.x=0,"",_xlpm.x)),"")</f>
        <v/>
      </c>
      <c r="S263" s="1" t="str">
        <f>IFERROR(_xlfn.LET(_xlpm.x,VLOOKUP($A263,'[1]Markings Threadings'!$B$3:$L$245,6,0),IF(_xlpm.x=0,"",_xlpm.x)),"")</f>
        <v/>
      </c>
      <c r="T263" s="6" t="str">
        <f>IFERROR(_xlfn.LET(_xlpm.x,VLOOKUP($C263,[1]Summary!$A$2:$J$118,4,0),IF(_xlpm.x=0,"",_xlpm.x)),"")</f>
        <v/>
      </c>
      <c r="U263" s="6" t="str">
        <f>IFERROR(_xlfn.LET(_xlpm.x,VLOOKUP($C263,[1]Summary!$A$2:$J$118,5,0),IF(_xlpm.x=0,"",_xlpm.x)),"")</f>
        <v/>
      </c>
      <c r="V263" s="6" t="str">
        <f>IFERROR(_xlfn.LET(_xlpm.x,VLOOKUP($C263,[1]Summary!$A$2:$J$118,6,0),IF(_xlpm.x=0,"",_xlpm.x)),"")</f>
        <v/>
      </c>
      <c r="W263" s="6" t="str">
        <f>IFERROR(_xlfn.LET(_xlpm.x,VLOOKUP($C263,[1]Summary!$A$2:$J$118,7,0),IF(_xlpm.x=0,"",_xlpm.x)),"")</f>
        <v/>
      </c>
      <c r="X263" s="6" t="str">
        <f>IFERROR(_xlfn.LET(_xlpm.x,VLOOKUP($C263,[1]Summary!$A$2:$J$118,8,0),IF(_xlpm.x=0,"",_xlpm.x)),"")</f>
        <v/>
      </c>
      <c r="Y263" s="6" t="str">
        <f>IFERROR(_xlfn.LET(_xlpm.x,VLOOKUP($C263,[1]Summary!$A$2:$J$118,9,0),IF(_xlpm.x=0,"",_xlpm.x)),"")</f>
        <v/>
      </c>
      <c r="Z263" s="6" t="str">
        <f>IFERROR(_xlfn.LET(_xlpm.x,VLOOKUP($C263,[1]Summary!$A$2:$J$118,10,0),IF(_xlpm.x=0,"",_xlpm.x)),"")</f>
        <v/>
      </c>
    </row>
    <row r="264" spans="1:26" x14ac:dyDescent="0.25">
      <c r="A264" s="2">
        <v>1000000003466</v>
      </c>
      <c r="B264" s="5" t="s">
        <v>493</v>
      </c>
      <c r="C264" s="2">
        <v>3000000000072</v>
      </c>
      <c r="D264" s="5" t="s">
        <v>494</v>
      </c>
      <c r="E264" s="1">
        <v>3</v>
      </c>
      <c r="F264" s="1" t="s">
        <v>86</v>
      </c>
      <c r="G264" s="1">
        <v>4</v>
      </c>
      <c r="H264" s="1">
        <v>2</v>
      </c>
      <c r="I264" s="1">
        <v>2</v>
      </c>
      <c r="J264" s="1"/>
      <c r="K264" s="1">
        <v>16.8</v>
      </c>
      <c r="L264" s="1" t="str">
        <f>IFERROR(_xlfn.LET(_xlpm.x,VLOOKUP($A264,'[1]Markings Threadings'!$B$3:$L$245,3,0),IF(_xlpm.x=0,"",_xlpm.x)),"")</f>
        <v/>
      </c>
      <c r="M264" s="2" t="str">
        <f>IFERROR(_xlfn.LET(_xlpm.x,VLOOKUP($A264,'[1]Markings Threadings'!$B$3:$L$245,7,0),IF(_xlpm.x=0,"",_xlpm.x)),"")</f>
        <v/>
      </c>
      <c r="N264" s="5" t="str">
        <f>IFERROR(_xlfn.LET(_xlpm.x,VLOOKUP($A264,'[1]Markings Threadings'!$B$3:$L$245,8,0),IF(_xlpm.x=0,"",_xlpm.x)),"")</f>
        <v/>
      </c>
      <c r="O264" s="2" t="str">
        <f>IFERROR(_xlfn.LET(_xlpm.x,VLOOKUP($A264,'[1]Markings Threadings'!$B$3:$L$245,10,0),IF(_xlpm.x=0,"",_xlpm.x)),"")</f>
        <v/>
      </c>
      <c r="P264" s="5" t="str">
        <f>IFERROR(_xlfn.LET(_xlpm.x,VLOOKUP($A264,'[1]Markings Threadings'!$B$3:$L$245,11,0),IF(_xlpm.x=0,"",_xlpm.x)),"")</f>
        <v/>
      </c>
      <c r="Q264" s="1" t="str">
        <f>IFERROR(_xlfn.LET(_xlpm.x,VLOOKUP($A264,'[1]Markings Threadings'!$B$3:$L$245,4,0),IF(_xlpm.x=0,"",_xlpm.x)),"")</f>
        <v/>
      </c>
      <c r="R264" s="1" t="str">
        <f>IFERROR(_xlfn.LET(_xlpm.x,VLOOKUP($A264,'[1]Markings Threadings'!$B$3:$L$245,5,0),IF(_xlpm.x=0,"",_xlpm.x)),"")</f>
        <v/>
      </c>
      <c r="S264" s="1" t="str">
        <f>IFERROR(_xlfn.LET(_xlpm.x,VLOOKUP($A264,'[1]Markings Threadings'!$B$3:$L$245,6,0),IF(_xlpm.x=0,"",_xlpm.x)),"")</f>
        <v/>
      </c>
      <c r="T264" s="6">
        <f>IFERROR(_xlfn.LET(_xlpm.x,VLOOKUP($C264,[1]Summary!$A$2:$J$118,4,0),IF(_xlpm.x=0,"",_xlpm.x)),"")</f>
        <v>19.663669007990393</v>
      </c>
      <c r="U264" s="6" t="str">
        <f>IFERROR(_xlfn.LET(_xlpm.x,VLOOKUP($C264,[1]Summary!$A$2:$J$118,5,0),IF(_xlpm.x=0,"",_xlpm.x)),"")</f>
        <v/>
      </c>
      <c r="V264" s="6" t="str">
        <f>IFERROR(_xlfn.LET(_xlpm.x,VLOOKUP($C264,[1]Summary!$A$2:$J$118,6,0),IF(_xlpm.x=0,"",_xlpm.x)),"")</f>
        <v/>
      </c>
      <c r="W264" s="6" t="str">
        <f>IFERROR(_xlfn.LET(_xlpm.x,VLOOKUP($C264,[1]Summary!$A$2:$J$118,7,0),IF(_xlpm.x=0,"",_xlpm.x)),"")</f>
        <v/>
      </c>
      <c r="X264" s="6" t="str">
        <f>IFERROR(_xlfn.LET(_xlpm.x,VLOOKUP($C264,[1]Summary!$A$2:$J$118,8,0),IF(_xlpm.x=0,"",_xlpm.x)),"")</f>
        <v/>
      </c>
      <c r="Y264" s="6" t="str">
        <f>IFERROR(_xlfn.LET(_xlpm.x,VLOOKUP($C264,[1]Summary!$A$2:$J$118,9,0),IF(_xlpm.x=0,"",_xlpm.x)),"")</f>
        <v/>
      </c>
      <c r="Z264" s="6" t="str">
        <f>IFERROR(_xlfn.LET(_xlpm.x,VLOOKUP($C264,[1]Summary!$A$2:$J$118,10,0),IF(_xlpm.x=0,"",_xlpm.x)),"")</f>
        <v/>
      </c>
    </row>
    <row r="265" spans="1:26" x14ac:dyDescent="0.25">
      <c r="A265" s="2">
        <v>1000000001634</v>
      </c>
      <c r="B265" s="5" t="s">
        <v>495</v>
      </c>
      <c r="C265" s="2">
        <v>3000000001121</v>
      </c>
      <c r="D265" s="5" t="s">
        <v>496</v>
      </c>
      <c r="E265" s="1"/>
      <c r="F265" s="1" t="s">
        <v>44</v>
      </c>
      <c r="G265" s="1"/>
      <c r="H265" s="1">
        <v>2</v>
      </c>
      <c r="I265" s="1">
        <v>2</v>
      </c>
      <c r="J265" s="1"/>
      <c r="K265" s="1">
        <v>50</v>
      </c>
      <c r="L265" s="1" t="str">
        <f>IFERROR(_xlfn.LET(_xlpm.x,VLOOKUP($A265,'[1]Markings Threadings'!$B$3:$L$245,3,0),IF(_xlpm.x=0,"",_xlpm.x)),"")</f>
        <v>Orange</v>
      </c>
      <c r="M265" s="2">
        <f>IFERROR(_xlfn.LET(_xlpm.x,VLOOKUP($A265,'[1]Markings Threadings'!$B$3:$L$245,7,0),IF(_xlpm.x=0,"",_xlpm.x)),"")</f>
        <v>5000000000983</v>
      </c>
      <c r="N265" s="5" t="str">
        <f>IFERROR(_xlfn.LET(_xlpm.x,VLOOKUP($A265,'[1]Markings Threadings'!$B$3:$L$245,8,0),IF(_xlpm.x=0,"",_xlpm.x)),"")</f>
        <v>v2 - Poultry Solutions Breeder Layer 2, 50kg</v>
      </c>
      <c r="O265" s="2">
        <f>IFERROR(_xlfn.LET(_xlpm.x,VLOOKUP($A265,'[1]Markings Threadings'!$B$3:$L$245,10,0),IF(_xlpm.x=0,"",_xlpm.x)),"")</f>
        <v>5000000000117</v>
      </c>
      <c r="P265" s="5" t="str">
        <f>IFERROR(_xlfn.LET(_xlpm.x,VLOOKUP($A265,'[1]Markings Threadings'!$B$3:$L$245,11,0),IF(_xlpm.x=0,"",_xlpm.x)),"")</f>
        <v>Tag Poultry Solution Chicken Layer II (C)</v>
      </c>
      <c r="Q265" s="1">
        <f>IFERROR(_xlfn.LET(_xlpm.x,VLOOKUP($A265,'[1]Markings Threadings'!$B$3:$L$245,4,0),IF(_xlpm.x=0,"",_xlpm.x)),"")</f>
        <v>1634</v>
      </c>
      <c r="R265" s="1" t="str">
        <f>IFERROR(_xlfn.LET(_xlpm.x,VLOOKUP($A265,'[1]Markings Threadings'!$B$3:$L$245,5,0),IF(_xlpm.x=0,"",_xlpm.x)),"")</f>
        <v/>
      </c>
      <c r="S265" s="1">
        <f>IFERROR(_xlfn.LET(_xlpm.x,VLOOKUP($A265,'[1]Markings Threadings'!$B$3:$L$245,6,0),IF(_xlpm.x=0,"",_xlpm.x)),"")</f>
        <v>6</v>
      </c>
      <c r="T265" s="6" t="str">
        <f>IFERROR(_xlfn.LET(_xlpm.x,VLOOKUP($C265,[1]Summary!$A$2:$J$118,4,0),IF(_xlpm.x=0,"",_xlpm.x)),"")</f>
        <v/>
      </c>
      <c r="U265" s="6" t="str">
        <f>IFERROR(_xlfn.LET(_xlpm.x,VLOOKUP($C265,[1]Summary!$A$2:$J$118,5,0),IF(_xlpm.x=0,"",_xlpm.x)),"")</f>
        <v/>
      </c>
      <c r="V265" s="6" t="str">
        <f>IFERROR(_xlfn.LET(_xlpm.x,VLOOKUP($C265,[1]Summary!$A$2:$J$118,6,0),IF(_xlpm.x=0,"",_xlpm.x)),"")</f>
        <v/>
      </c>
      <c r="W265" s="6" t="str">
        <f>IFERROR(_xlfn.LET(_xlpm.x,VLOOKUP($C265,[1]Summary!$A$2:$J$118,7,0),IF(_xlpm.x=0,"",_xlpm.x)),"")</f>
        <v/>
      </c>
      <c r="X265" s="6" t="str">
        <f>IFERROR(_xlfn.LET(_xlpm.x,VLOOKUP($C265,[1]Summary!$A$2:$J$118,8,0),IF(_xlpm.x=0,"",_xlpm.x)),"")</f>
        <v/>
      </c>
      <c r="Y265" s="6" t="str">
        <f>IFERROR(_xlfn.LET(_xlpm.x,VLOOKUP($C265,[1]Summary!$A$2:$J$118,9,0),IF(_xlpm.x=0,"",_xlpm.x)),"")</f>
        <v/>
      </c>
      <c r="Z265" s="6" t="str">
        <f>IFERROR(_xlfn.LET(_xlpm.x,VLOOKUP($C265,[1]Summary!$A$2:$J$118,10,0),IF(_xlpm.x=0,"",_xlpm.x)),"")</f>
        <v/>
      </c>
    </row>
    <row r="266" spans="1:26" x14ac:dyDescent="0.25">
      <c r="A266" s="2">
        <v>1000000000477</v>
      </c>
      <c r="B266" s="5" t="s">
        <v>497</v>
      </c>
      <c r="C266" s="2">
        <v>3000000000655</v>
      </c>
      <c r="D266" s="5" t="s">
        <v>498</v>
      </c>
      <c r="E266" s="1">
        <v>3</v>
      </c>
      <c r="F266" s="1" t="s">
        <v>37</v>
      </c>
      <c r="G266" s="1">
        <v>4</v>
      </c>
      <c r="H266" s="1">
        <v>2</v>
      </c>
      <c r="I266" s="1">
        <v>2</v>
      </c>
      <c r="J266" s="1"/>
      <c r="K266" s="1">
        <v>10</v>
      </c>
      <c r="L266" s="1" t="str">
        <f>IFERROR(_xlfn.LET(_xlpm.x,VLOOKUP($A266,'[1]Markings Threadings'!$B$3:$L$245,3,0),IF(_xlpm.x=0,"",_xlpm.x)),"")</f>
        <v>Green</v>
      </c>
      <c r="M266" s="2" t="str">
        <f>IFERROR(_xlfn.LET(_xlpm.x,VLOOKUP($A266,'[1]Markings Threadings'!$B$3:$L$245,7,0),IF(_xlpm.x=0,"",_xlpm.x)),"")</f>
        <v/>
      </c>
      <c r="N266" s="5" t="str">
        <f>IFERROR(_xlfn.LET(_xlpm.x,VLOOKUP($A266,'[1]Markings Threadings'!$B$3:$L$245,8,0),IF(_xlpm.x=0,"",_xlpm.x)),"")</f>
        <v/>
      </c>
      <c r="O266" s="2" t="str">
        <f>IFERROR(_xlfn.LET(_xlpm.x,VLOOKUP($A266,'[1]Markings Threadings'!$B$3:$L$245,10,0),IF(_xlpm.x=0,"",_xlpm.x)),"")</f>
        <v/>
      </c>
      <c r="P266" s="5" t="str">
        <f>IFERROR(_xlfn.LET(_xlpm.x,VLOOKUP($A266,'[1]Markings Threadings'!$B$3:$L$245,11,0),IF(_xlpm.x=0,"",_xlpm.x)),"")</f>
        <v/>
      </c>
      <c r="Q266" s="1" t="str">
        <f>IFERROR(_xlfn.LET(_xlpm.x,VLOOKUP($A266,'[1]Markings Threadings'!$B$3:$L$245,4,0),IF(_xlpm.x=0,"",_xlpm.x)),"")</f>
        <v>BST T2</v>
      </c>
      <c r="R266" s="1" t="str">
        <f>IFERROR(_xlfn.LET(_xlpm.x,VLOOKUP($A266,'[1]Markings Threadings'!$B$3:$L$245,5,0),IF(_xlpm.x=0,"",_xlpm.x)),"")</f>
        <v/>
      </c>
      <c r="S266" s="1" t="str">
        <f>IFERROR(_xlfn.LET(_xlpm.x,VLOOKUP($A266,'[1]Markings Threadings'!$B$3:$L$245,6,0),IF(_xlpm.x=0,"",_xlpm.x)),"")</f>
        <v/>
      </c>
      <c r="T266" s="6" t="str">
        <f>IFERROR(_xlfn.LET(_xlpm.x,VLOOKUP($C266,[1]Summary!$A$2:$J$118,4,0),IF(_xlpm.x=0,"",_xlpm.x)),"")</f>
        <v/>
      </c>
      <c r="U266" s="6" t="str">
        <f>IFERROR(_xlfn.LET(_xlpm.x,VLOOKUP($C266,[1]Summary!$A$2:$J$118,5,0),IF(_xlpm.x=0,"",_xlpm.x)),"")</f>
        <v/>
      </c>
      <c r="V266" s="6" t="str">
        <f>IFERROR(_xlfn.LET(_xlpm.x,VLOOKUP($C266,[1]Summary!$A$2:$J$118,6,0),IF(_xlpm.x=0,"",_xlpm.x)),"")</f>
        <v/>
      </c>
      <c r="W266" s="6" t="str">
        <f>IFERROR(_xlfn.LET(_xlpm.x,VLOOKUP($C266,[1]Summary!$A$2:$J$118,7,0),IF(_xlpm.x=0,"",_xlpm.x)),"")</f>
        <v/>
      </c>
      <c r="X266" s="6" t="str">
        <f>IFERROR(_xlfn.LET(_xlpm.x,VLOOKUP($C266,[1]Summary!$A$2:$J$118,8,0),IF(_xlpm.x=0,"",_xlpm.x)),"")</f>
        <v/>
      </c>
      <c r="Y266" s="6" t="str">
        <f>IFERROR(_xlfn.LET(_xlpm.x,VLOOKUP($C266,[1]Summary!$A$2:$J$118,9,0),IF(_xlpm.x=0,"",_xlpm.x)),"")</f>
        <v/>
      </c>
      <c r="Z266" s="6">
        <f>IFERROR(_xlfn.LET(_xlpm.x,VLOOKUP($C266,[1]Summary!$A$2:$J$118,10,0),IF(_xlpm.x=0,"",_xlpm.x)),"")</f>
        <v>7.9994879999999844</v>
      </c>
    </row>
    <row r="267" spans="1:26" x14ac:dyDescent="0.25">
      <c r="A267" s="2">
        <v>1000000003575</v>
      </c>
      <c r="B267" s="5" t="s">
        <v>499</v>
      </c>
      <c r="C267" s="2">
        <v>3000000000858</v>
      </c>
      <c r="D267" s="5" t="s">
        <v>58</v>
      </c>
      <c r="E267" s="1">
        <v>4</v>
      </c>
      <c r="F267" s="1" t="s">
        <v>47</v>
      </c>
      <c r="G267" s="1">
        <v>4</v>
      </c>
      <c r="H267" s="1">
        <v>2</v>
      </c>
      <c r="I267" s="1">
        <v>2</v>
      </c>
      <c r="J267" s="1"/>
      <c r="K267" s="1">
        <v>25</v>
      </c>
      <c r="L267" s="1" t="str">
        <f>IFERROR(_xlfn.LET(_xlpm.x,VLOOKUP($A267,'[1]Markings Threadings'!$B$3:$L$245,3,0),IF(_xlpm.x=0,"",_xlpm.x)),"")</f>
        <v/>
      </c>
      <c r="M267" s="2" t="str">
        <f>IFERROR(_xlfn.LET(_xlpm.x,VLOOKUP($A267,'[1]Markings Threadings'!$B$3:$L$245,7,0),IF(_xlpm.x=0,"",_xlpm.x)),"")</f>
        <v/>
      </c>
      <c r="N267" s="5" t="str">
        <f>IFERROR(_xlfn.LET(_xlpm.x,VLOOKUP($A267,'[1]Markings Threadings'!$B$3:$L$245,8,0),IF(_xlpm.x=0,"",_xlpm.x)),"")</f>
        <v/>
      </c>
      <c r="O267" s="2" t="str">
        <f>IFERROR(_xlfn.LET(_xlpm.x,VLOOKUP($A267,'[1]Markings Threadings'!$B$3:$L$245,10,0),IF(_xlpm.x=0,"",_xlpm.x)),"")</f>
        <v/>
      </c>
      <c r="P267" s="5" t="str">
        <f>IFERROR(_xlfn.LET(_xlpm.x,VLOOKUP($A267,'[1]Markings Threadings'!$B$3:$L$245,11,0),IF(_xlpm.x=0,"",_xlpm.x)),"")</f>
        <v/>
      </c>
      <c r="Q267" s="1" t="str">
        <f>IFERROR(_xlfn.LET(_xlpm.x,VLOOKUP($A267,'[1]Markings Threadings'!$B$3:$L$245,4,0),IF(_xlpm.x=0,"",_xlpm.x)),"")</f>
        <v/>
      </c>
      <c r="R267" s="1" t="str">
        <f>IFERROR(_xlfn.LET(_xlpm.x,VLOOKUP($A267,'[1]Markings Threadings'!$B$3:$L$245,5,0),IF(_xlpm.x=0,"",_xlpm.x)),"")</f>
        <v/>
      </c>
      <c r="S267" s="1" t="str">
        <f>IFERROR(_xlfn.LET(_xlpm.x,VLOOKUP($A267,'[1]Markings Threadings'!$B$3:$L$245,6,0),IF(_xlpm.x=0,"",_xlpm.x)),"")</f>
        <v/>
      </c>
      <c r="T267" s="6">
        <f>IFERROR(_xlfn.LET(_xlpm.x,VLOOKUP($C267,[1]Summary!$A$2:$J$118,4,0),IF(_xlpm.x=0,"",_xlpm.x)),"")</f>
        <v>14.051959005373144</v>
      </c>
      <c r="U267" s="6">
        <f>IFERROR(_xlfn.LET(_xlpm.x,VLOOKUP($C267,[1]Summary!$A$2:$J$118,5,0),IF(_xlpm.x=0,"",_xlpm.x)),"")</f>
        <v>13.274660127386952</v>
      </c>
      <c r="V267" s="6" t="str">
        <f>IFERROR(_xlfn.LET(_xlpm.x,VLOOKUP($C267,[1]Summary!$A$2:$J$118,6,0),IF(_xlpm.x=0,"",_xlpm.x)),"")</f>
        <v/>
      </c>
      <c r="W267" s="6">
        <f>IFERROR(_xlfn.LET(_xlpm.x,VLOOKUP($C267,[1]Summary!$A$2:$J$118,7,0),IF(_xlpm.x=0,"",_xlpm.x)),"")</f>
        <v>7.4477991724137933</v>
      </c>
      <c r="X267" s="6" t="str">
        <f>IFERROR(_xlfn.LET(_xlpm.x,VLOOKUP($C267,[1]Summary!$A$2:$J$118,8,0),IF(_xlpm.x=0,"",_xlpm.x)),"")</f>
        <v/>
      </c>
      <c r="Y267" s="6" t="str">
        <f>IFERROR(_xlfn.LET(_xlpm.x,VLOOKUP($C267,[1]Summary!$A$2:$J$118,9,0),IF(_xlpm.x=0,"",_xlpm.x)),"")</f>
        <v/>
      </c>
      <c r="Z267" s="6" t="str">
        <f>IFERROR(_xlfn.LET(_xlpm.x,VLOOKUP($C267,[1]Summary!$A$2:$J$118,10,0),IF(_xlpm.x=0,"",_xlpm.x)),"")</f>
        <v/>
      </c>
    </row>
    <row r="268" spans="1:26" x14ac:dyDescent="0.25">
      <c r="A268" s="2">
        <v>1000000003576</v>
      </c>
      <c r="B268" s="5" t="s">
        <v>500</v>
      </c>
      <c r="C268" s="2">
        <v>3000000000076</v>
      </c>
      <c r="D268" s="5" t="s">
        <v>77</v>
      </c>
      <c r="E268" s="1">
        <v>4</v>
      </c>
      <c r="F268" s="1" t="s">
        <v>67</v>
      </c>
      <c r="G268" s="1">
        <v>4</v>
      </c>
      <c r="H268" s="1">
        <v>2</v>
      </c>
      <c r="I268" s="1">
        <v>2</v>
      </c>
      <c r="J268" s="1"/>
      <c r="K268" s="1">
        <v>25</v>
      </c>
      <c r="L268" s="1" t="str">
        <f>IFERROR(_xlfn.LET(_xlpm.x,VLOOKUP($A268,'[1]Markings Threadings'!$B$3:$L$245,3,0),IF(_xlpm.x=0,"",_xlpm.x)),"")</f>
        <v/>
      </c>
      <c r="M268" s="2" t="str">
        <f>IFERROR(_xlfn.LET(_xlpm.x,VLOOKUP($A268,'[1]Markings Threadings'!$B$3:$L$245,7,0),IF(_xlpm.x=0,"",_xlpm.x)),"")</f>
        <v/>
      </c>
      <c r="N268" s="5" t="str">
        <f>IFERROR(_xlfn.LET(_xlpm.x,VLOOKUP($A268,'[1]Markings Threadings'!$B$3:$L$245,8,0),IF(_xlpm.x=0,"",_xlpm.x)),"")</f>
        <v/>
      </c>
      <c r="O268" s="2" t="str">
        <f>IFERROR(_xlfn.LET(_xlpm.x,VLOOKUP($A268,'[1]Markings Threadings'!$B$3:$L$245,10,0),IF(_xlpm.x=0,"",_xlpm.x)),"")</f>
        <v/>
      </c>
      <c r="P268" s="5" t="str">
        <f>IFERROR(_xlfn.LET(_xlpm.x,VLOOKUP($A268,'[1]Markings Threadings'!$B$3:$L$245,11,0),IF(_xlpm.x=0,"",_xlpm.x)),"")</f>
        <v/>
      </c>
      <c r="Q268" s="1" t="str">
        <f>IFERROR(_xlfn.LET(_xlpm.x,VLOOKUP($A268,'[1]Markings Threadings'!$B$3:$L$245,4,0),IF(_xlpm.x=0,"",_xlpm.x)),"")</f>
        <v/>
      </c>
      <c r="R268" s="1" t="str">
        <f>IFERROR(_xlfn.LET(_xlpm.x,VLOOKUP($A268,'[1]Markings Threadings'!$B$3:$L$245,5,0),IF(_xlpm.x=0,"",_xlpm.x)),"")</f>
        <v/>
      </c>
      <c r="S268" s="1" t="str">
        <f>IFERROR(_xlfn.LET(_xlpm.x,VLOOKUP($A268,'[1]Markings Threadings'!$B$3:$L$245,6,0),IF(_xlpm.x=0,"",_xlpm.x)),"")</f>
        <v/>
      </c>
      <c r="T268" s="6" t="str">
        <f>IFERROR(_xlfn.LET(_xlpm.x,VLOOKUP($C268,[1]Summary!$A$2:$J$118,4,0),IF(_xlpm.x=0,"",_xlpm.x)),"")</f>
        <v/>
      </c>
      <c r="U268" s="6" t="str">
        <f>IFERROR(_xlfn.LET(_xlpm.x,VLOOKUP($C268,[1]Summary!$A$2:$J$118,5,0),IF(_xlpm.x=0,"",_xlpm.x)),"")</f>
        <v/>
      </c>
      <c r="V268" s="6">
        <f>IFERROR(_xlfn.LET(_xlpm.x,VLOOKUP($C268,[1]Summary!$A$2:$J$118,6,0),IF(_xlpm.x=0,"",_xlpm.x)),"")</f>
        <v>6.5492321808127008</v>
      </c>
      <c r="W268" s="6">
        <f>IFERROR(_xlfn.LET(_xlpm.x,VLOOKUP($C268,[1]Summary!$A$2:$J$118,7,0),IF(_xlpm.x=0,"",_xlpm.x)),"")</f>
        <v>7.5474284815724832</v>
      </c>
      <c r="X268" s="6" t="str">
        <f>IFERROR(_xlfn.LET(_xlpm.x,VLOOKUP($C268,[1]Summary!$A$2:$J$118,8,0),IF(_xlpm.x=0,"",_xlpm.x)),"")</f>
        <v/>
      </c>
      <c r="Y268" s="6">
        <f>IFERROR(_xlfn.LET(_xlpm.x,VLOOKUP($C268,[1]Summary!$A$2:$J$118,9,0),IF(_xlpm.x=0,"",_xlpm.x)),"")</f>
        <v>5.8662912000000009</v>
      </c>
      <c r="Z268" s="6" t="str">
        <f>IFERROR(_xlfn.LET(_xlpm.x,VLOOKUP($C268,[1]Summary!$A$2:$J$118,10,0),IF(_xlpm.x=0,"",_xlpm.x)),"")</f>
        <v/>
      </c>
    </row>
    <row r="269" spans="1:26" x14ac:dyDescent="0.25">
      <c r="A269" s="2">
        <v>1000000003577</v>
      </c>
      <c r="B269" s="5" t="s">
        <v>501</v>
      </c>
      <c r="C269" s="2">
        <v>3000000000078</v>
      </c>
      <c r="D269" s="5" t="s">
        <v>74</v>
      </c>
      <c r="E269" s="1">
        <v>3</v>
      </c>
      <c r="F269" s="1" t="s">
        <v>75</v>
      </c>
      <c r="G269" s="1">
        <v>4</v>
      </c>
      <c r="H269" s="1">
        <v>2</v>
      </c>
      <c r="I269" s="1">
        <v>2</v>
      </c>
      <c r="J269" s="1"/>
      <c r="K269" s="1">
        <v>50</v>
      </c>
      <c r="L269" s="1" t="str">
        <f>IFERROR(_xlfn.LET(_xlpm.x,VLOOKUP($A269,'[1]Markings Threadings'!$B$3:$L$245,3,0),IF(_xlpm.x=0,"",_xlpm.x)),"")</f>
        <v/>
      </c>
      <c r="M269" s="2" t="str">
        <f>IFERROR(_xlfn.LET(_xlpm.x,VLOOKUP($A269,'[1]Markings Threadings'!$B$3:$L$245,7,0),IF(_xlpm.x=0,"",_xlpm.x)),"")</f>
        <v/>
      </c>
      <c r="N269" s="5" t="str">
        <f>IFERROR(_xlfn.LET(_xlpm.x,VLOOKUP($A269,'[1]Markings Threadings'!$B$3:$L$245,8,0),IF(_xlpm.x=0,"",_xlpm.x)),"")</f>
        <v/>
      </c>
      <c r="O269" s="2" t="str">
        <f>IFERROR(_xlfn.LET(_xlpm.x,VLOOKUP($A269,'[1]Markings Threadings'!$B$3:$L$245,10,0),IF(_xlpm.x=0,"",_xlpm.x)),"")</f>
        <v/>
      </c>
      <c r="P269" s="5" t="str">
        <f>IFERROR(_xlfn.LET(_xlpm.x,VLOOKUP($A269,'[1]Markings Threadings'!$B$3:$L$245,11,0),IF(_xlpm.x=0,"",_xlpm.x)),"")</f>
        <v/>
      </c>
      <c r="Q269" s="1" t="str">
        <f>IFERROR(_xlfn.LET(_xlpm.x,VLOOKUP($A269,'[1]Markings Threadings'!$B$3:$L$245,4,0),IF(_xlpm.x=0,"",_xlpm.x)),"")</f>
        <v/>
      </c>
      <c r="R269" s="1" t="str">
        <f>IFERROR(_xlfn.LET(_xlpm.x,VLOOKUP($A269,'[1]Markings Threadings'!$B$3:$L$245,5,0),IF(_xlpm.x=0,"",_xlpm.x)),"")</f>
        <v/>
      </c>
      <c r="S269" s="1" t="str">
        <f>IFERROR(_xlfn.LET(_xlpm.x,VLOOKUP($A269,'[1]Markings Threadings'!$B$3:$L$245,6,0),IF(_xlpm.x=0,"",_xlpm.x)),"")</f>
        <v/>
      </c>
      <c r="T269" s="6" t="str">
        <f>IFERROR(_xlfn.LET(_xlpm.x,VLOOKUP($C269,[1]Summary!$A$2:$J$118,4,0),IF(_xlpm.x=0,"",_xlpm.x)),"")</f>
        <v/>
      </c>
      <c r="U269" s="6" t="str">
        <f>IFERROR(_xlfn.LET(_xlpm.x,VLOOKUP($C269,[1]Summary!$A$2:$J$118,5,0),IF(_xlpm.x=0,"",_xlpm.x)),"")</f>
        <v/>
      </c>
      <c r="V269" s="6" t="str">
        <f>IFERROR(_xlfn.LET(_xlpm.x,VLOOKUP($C269,[1]Summary!$A$2:$J$118,6,0),IF(_xlpm.x=0,"",_xlpm.x)),"")</f>
        <v/>
      </c>
      <c r="W269" s="6" t="str">
        <f>IFERROR(_xlfn.LET(_xlpm.x,VLOOKUP($C269,[1]Summary!$A$2:$J$118,7,0),IF(_xlpm.x=0,"",_xlpm.x)),"")</f>
        <v/>
      </c>
      <c r="X269" s="6">
        <f>IFERROR(_xlfn.LET(_xlpm.x,VLOOKUP($C269,[1]Summary!$A$2:$J$118,8,0),IF(_xlpm.x=0,"",_xlpm.x)),"")</f>
        <v>12.672035139092241</v>
      </c>
      <c r="Y269" s="6" t="str">
        <f>IFERROR(_xlfn.LET(_xlpm.x,VLOOKUP($C269,[1]Summary!$A$2:$J$118,9,0),IF(_xlpm.x=0,"",_xlpm.x)),"")</f>
        <v/>
      </c>
      <c r="Z269" s="6" t="str">
        <f>IFERROR(_xlfn.LET(_xlpm.x,VLOOKUP($C269,[1]Summary!$A$2:$J$118,10,0),IF(_xlpm.x=0,"",_xlpm.x)),"")</f>
        <v/>
      </c>
    </row>
    <row r="270" spans="1:26" x14ac:dyDescent="0.25">
      <c r="A270" s="2">
        <v>1000000003578</v>
      </c>
      <c r="B270" s="5" t="s">
        <v>502</v>
      </c>
      <c r="C270" s="2">
        <v>3000000000045</v>
      </c>
      <c r="D270" s="5" t="s">
        <v>285</v>
      </c>
      <c r="E270" s="1">
        <v>3</v>
      </c>
      <c r="F270" s="1" t="s">
        <v>37</v>
      </c>
      <c r="G270" s="1">
        <v>3</v>
      </c>
      <c r="H270" s="1">
        <v>2</v>
      </c>
      <c r="I270" s="1">
        <v>2</v>
      </c>
      <c r="J270" s="1"/>
      <c r="K270" s="1">
        <v>25</v>
      </c>
      <c r="L270" s="1" t="str">
        <f>IFERROR(_xlfn.LET(_xlpm.x,VLOOKUP($A270,'[1]Markings Threadings'!$B$3:$L$245,3,0),IF(_xlpm.x=0,"",_xlpm.x)),"")</f>
        <v/>
      </c>
      <c r="M270" s="2" t="str">
        <f>IFERROR(_xlfn.LET(_xlpm.x,VLOOKUP($A270,'[1]Markings Threadings'!$B$3:$L$245,7,0),IF(_xlpm.x=0,"",_xlpm.x)),"")</f>
        <v/>
      </c>
      <c r="N270" s="5" t="str">
        <f>IFERROR(_xlfn.LET(_xlpm.x,VLOOKUP($A270,'[1]Markings Threadings'!$B$3:$L$245,8,0),IF(_xlpm.x=0,"",_xlpm.x)),"")</f>
        <v/>
      </c>
      <c r="O270" s="2" t="str">
        <f>IFERROR(_xlfn.LET(_xlpm.x,VLOOKUP($A270,'[1]Markings Threadings'!$B$3:$L$245,10,0),IF(_xlpm.x=0,"",_xlpm.x)),"")</f>
        <v/>
      </c>
      <c r="P270" s="5" t="str">
        <f>IFERROR(_xlfn.LET(_xlpm.x,VLOOKUP($A270,'[1]Markings Threadings'!$B$3:$L$245,11,0),IF(_xlpm.x=0,"",_xlpm.x)),"")</f>
        <v/>
      </c>
      <c r="Q270" s="1" t="str">
        <f>IFERROR(_xlfn.LET(_xlpm.x,VLOOKUP($A270,'[1]Markings Threadings'!$B$3:$L$245,4,0),IF(_xlpm.x=0,"",_xlpm.x)),"")</f>
        <v/>
      </c>
      <c r="R270" s="1" t="str">
        <f>IFERROR(_xlfn.LET(_xlpm.x,VLOOKUP($A270,'[1]Markings Threadings'!$B$3:$L$245,5,0),IF(_xlpm.x=0,"",_xlpm.x)),"")</f>
        <v/>
      </c>
      <c r="S270" s="1" t="str">
        <f>IFERROR(_xlfn.LET(_xlpm.x,VLOOKUP($A270,'[1]Markings Threadings'!$B$3:$L$245,6,0),IF(_xlpm.x=0,"",_xlpm.x)),"")</f>
        <v/>
      </c>
      <c r="T270" s="6">
        <f>IFERROR(_xlfn.LET(_xlpm.x,VLOOKUP($C270,[1]Summary!$A$2:$J$118,4,0),IF(_xlpm.x=0,"",_xlpm.x)),"")</f>
        <v>19.31013951575834</v>
      </c>
      <c r="U270" s="6" t="str">
        <f>IFERROR(_xlfn.LET(_xlpm.x,VLOOKUP($C270,[1]Summary!$A$2:$J$118,5,0),IF(_xlpm.x=0,"",_xlpm.x)),"")</f>
        <v/>
      </c>
      <c r="V270" s="6" t="str">
        <f>IFERROR(_xlfn.LET(_xlpm.x,VLOOKUP($C270,[1]Summary!$A$2:$J$118,6,0),IF(_xlpm.x=0,"",_xlpm.x)),"")</f>
        <v/>
      </c>
      <c r="W270" s="6" t="str">
        <f>IFERROR(_xlfn.LET(_xlpm.x,VLOOKUP($C270,[1]Summary!$A$2:$J$118,7,0),IF(_xlpm.x=0,"",_xlpm.x)),"")</f>
        <v/>
      </c>
      <c r="X270" s="6" t="str">
        <f>IFERROR(_xlfn.LET(_xlpm.x,VLOOKUP($C270,[1]Summary!$A$2:$J$118,8,0),IF(_xlpm.x=0,"",_xlpm.x)),"")</f>
        <v/>
      </c>
      <c r="Y270" s="6" t="str">
        <f>IFERROR(_xlfn.LET(_xlpm.x,VLOOKUP($C270,[1]Summary!$A$2:$J$118,9,0),IF(_xlpm.x=0,"",_xlpm.x)),"")</f>
        <v/>
      </c>
      <c r="Z270" s="6" t="str">
        <f>IFERROR(_xlfn.LET(_xlpm.x,VLOOKUP($C270,[1]Summary!$A$2:$J$118,10,0),IF(_xlpm.x=0,"",_xlpm.x)),"")</f>
        <v/>
      </c>
    </row>
    <row r="271" spans="1:26" x14ac:dyDescent="0.25">
      <c r="A271" s="2">
        <v>1000000003580</v>
      </c>
      <c r="B271" s="5" t="s">
        <v>503</v>
      </c>
      <c r="C271" s="2">
        <v>3000000000065</v>
      </c>
      <c r="D271" s="5" t="s">
        <v>156</v>
      </c>
      <c r="E271" s="1">
        <v>3</v>
      </c>
      <c r="F271" s="1" t="s">
        <v>37</v>
      </c>
      <c r="G271" s="1">
        <v>3</v>
      </c>
      <c r="H271" s="1">
        <v>2</v>
      </c>
      <c r="I271" s="1">
        <v>2</v>
      </c>
      <c r="J271" s="1"/>
      <c r="K271" s="1">
        <v>25</v>
      </c>
      <c r="L271" s="1" t="str">
        <f>IFERROR(_xlfn.LET(_xlpm.x,VLOOKUP($A271,'[1]Markings Threadings'!$B$3:$L$245,3,0),IF(_xlpm.x=0,"",_xlpm.x)),"")</f>
        <v/>
      </c>
      <c r="M271" s="2" t="str">
        <f>IFERROR(_xlfn.LET(_xlpm.x,VLOOKUP($A271,'[1]Markings Threadings'!$B$3:$L$245,7,0),IF(_xlpm.x=0,"",_xlpm.x)),"")</f>
        <v/>
      </c>
      <c r="N271" s="5" t="str">
        <f>IFERROR(_xlfn.LET(_xlpm.x,VLOOKUP($A271,'[1]Markings Threadings'!$B$3:$L$245,8,0),IF(_xlpm.x=0,"",_xlpm.x)),"")</f>
        <v/>
      </c>
      <c r="O271" s="2" t="str">
        <f>IFERROR(_xlfn.LET(_xlpm.x,VLOOKUP($A271,'[1]Markings Threadings'!$B$3:$L$245,10,0),IF(_xlpm.x=0,"",_xlpm.x)),"")</f>
        <v/>
      </c>
      <c r="P271" s="5" t="str">
        <f>IFERROR(_xlfn.LET(_xlpm.x,VLOOKUP($A271,'[1]Markings Threadings'!$B$3:$L$245,11,0),IF(_xlpm.x=0,"",_xlpm.x)),"")</f>
        <v/>
      </c>
      <c r="Q271" s="1" t="str">
        <f>IFERROR(_xlfn.LET(_xlpm.x,VLOOKUP($A271,'[1]Markings Threadings'!$B$3:$L$245,4,0),IF(_xlpm.x=0,"",_xlpm.x)),"")</f>
        <v/>
      </c>
      <c r="R271" s="1" t="str">
        <f>IFERROR(_xlfn.LET(_xlpm.x,VLOOKUP($A271,'[1]Markings Threadings'!$B$3:$L$245,5,0),IF(_xlpm.x=0,"",_xlpm.x)),"")</f>
        <v/>
      </c>
      <c r="S271" s="1" t="str">
        <f>IFERROR(_xlfn.LET(_xlpm.x,VLOOKUP($A271,'[1]Markings Threadings'!$B$3:$L$245,6,0),IF(_xlpm.x=0,"",_xlpm.x)),"")</f>
        <v/>
      </c>
      <c r="T271" s="6">
        <f>IFERROR(_xlfn.LET(_xlpm.x,VLOOKUP($C271,[1]Summary!$A$2:$J$118,4,0),IF(_xlpm.x=0,"",_xlpm.x)),"")</f>
        <v>18.839799390629491</v>
      </c>
      <c r="U271" s="6" t="str">
        <f>IFERROR(_xlfn.LET(_xlpm.x,VLOOKUP($C271,[1]Summary!$A$2:$J$118,5,0),IF(_xlpm.x=0,"",_xlpm.x)),"")</f>
        <v/>
      </c>
      <c r="V271" s="6" t="str">
        <f>IFERROR(_xlfn.LET(_xlpm.x,VLOOKUP($C271,[1]Summary!$A$2:$J$118,6,0),IF(_xlpm.x=0,"",_xlpm.x)),"")</f>
        <v/>
      </c>
      <c r="W271" s="6" t="str">
        <f>IFERROR(_xlfn.LET(_xlpm.x,VLOOKUP($C271,[1]Summary!$A$2:$J$118,7,0),IF(_xlpm.x=0,"",_xlpm.x)),"")</f>
        <v/>
      </c>
      <c r="X271" s="6" t="str">
        <f>IFERROR(_xlfn.LET(_xlpm.x,VLOOKUP($C271,[1]Summary!$A$2:$J$118,8,0),IF(_xlpm.x=0,"",_xlpm.x)),"")</f>
        <v/>
      </c>
      <c r="Y271" s="6" t="str">
        <f>IFERROR(_xlfn.LET(_xlpm.x,VLOOKUP($C271,[1]Summary!$A$2:$J$118,9,0),IF(_xlpm.x=0,"",_xlpm.x)),"")</f>
        <v/>
      </c>
      <c r="Z271" s="6" t="str">
        <f>IFERROR(_xlfn.LET(_xlpm.x,VLOOKUP($C271,[1]Summary!$A$2:$J$118,10,0),IF(_xlpm.x=0,"",_xlpm.x)),"")</f>
        <v/>
      </c>
    </row>
    <row r="272" spans="1:26" x14ac:dyDescent="0.25">
      <c r="A272" s="2">
        <v>1000000003581</v>
      </c>
      <c r="B272" s="5" t="s">
        <v>504</v>
      </c>
      <c r="C272" s="2">
        <v>3000000000067</v>
      </c>
      <c r="D272" s="5" t="s">
        <v>159</v>
      </c>
      <c r="E272" s="1">
        <v>3</v>
      </c>
      <c r="F272" s="1" t="s">
        <v>37</v>
      </c>
      <c r="G272" s="1">
        <v>4</v>
      </c>
      <c r="H272" s="1">
        <v>2</v>
      </c>
      <c r="I272" s="1">
        <v>2</v>
      </c>
      <c r="J272" s="1"/>
      <c r="K272" s="1">
        <v>25</v>
      </c>
      <c r="L272" s="1" t="str">
        <f>IFERROR(_xlfn.LET(_xlpm.x,VLOOKUP($A272,'[1]Markings Threadings'!$B$3:$L$245,3,0),IF(_xlpm.x=0,"",_xlpm.x)),"")</f>
        <v/>
      </c>
      <c r="M272" s="2" t="str">
        <f>IFERROR(_xlfn.LET(_xlpm.x,VLOOKUP($A272,'[1]Markings Threadings'!$B$3:$L$245,7,0),IF(_xlpm.x=0,"",_xlpm.x)),"")</f>
        <v/>
      </c>
      <c r="N272" s="5" t="str">
        <f>IFERROR(_xlfn.LET(_xlpm.x,VLOOKUP($A272,'[1]Markings Threadings'!$B$3:$L$245,8,0),IF(_xlpm.x=0,"",_xlpm.x)),"")</f>
        <v/>
      </c>
      <c r="O272" s="2" t="str">
        <f>IFERROR(_xlfn.LET(_xlpm.x,VLOOKUP($A272,'[1]Markings Threadings'!$B$3:$L$245,10,0),IF(_xlpm.x=0,"",_xlpm.x)),"")</f>
        <v/>
      </c>
      <c r="P272" s="5" t="str">
        <f>IFERROR(_xlfn.LET(_xlpm.x,VLOOKUP($A272,'[1]Markings Threadings'!$B$3:$L$245,11,0),IF(_xlpm.x=0,"",_xlpm.x)),"")</f>
        <v/>
      </c>
      <c r="Q272" s="1" t="str">
        <f>IFERROR(_xlfn.LET(_xlpm.x,VLOOKUP($A272,'[1]Markings Threadings'!$B$3:$L$245,4,0),IF(_xlpm.x=0,"",_xlpm.x)),"")</f>
        <v/>
      </c>
      <c r="R272" s="1" t="str">
        <f>IFERROR(_xlfn.LET(_xlpm.x,VLOOKUP($A272,'[1]Markings Threadings'!$B$3:$L$245,5,0),IF(_xlpm.x=0,"",_xlpm.x)),"")</f>
        <v/>
      </c>
      <c r="S272" s="1" t="str">
        <f>IFERROR(_xlfn.LET(_xlpm.x,VLOOKUP($A272,'[1]Markings Threadings'!$B$3:$L$245,6,0),IF(_xlpm.x=0,"",_xlpm.x)),"")</f>
        <v/>
      </c>
      <c r="T272" s="6">
        <f>IFERROR(_xlfn.LET(_xlpm.x,VLOOKUP($C272,[1]Summary!$A$2:$J$118,4,0),IF(_xlpm.x=0,"",_xlpm.x)),"")</f>
        <v>18.195462301761221</v>
      </c>
      <c r="U272" s="6" t="str">
        <f>IFERROR(_xlfn.LET(_xlpm.x,VLOOKUP($C272,[1]Summary!$A$2:$J$118,5,0),IF(_xlpm.x=0,"",_xlpm.x)),"")</f>
        <v/>
      </c>
      <c r="V272" s="6" t="str">
        <f>IFERROR(_xlfn.LET(_xlpm.x,VLOOKUP($C272,[1]Summary!$A$2:$J$118,6,0),IF(_xlpm.x=0,"",_xlpm.x)),"")</f>
        <v/>
      </c>
      <c r="W272" s="6" t="str">
        <f>IFERROR(_xlfn.LET(_xlpm.x,VLOOKUP($C272,[1]Summary!$A$2:$J$118,7,0),IF(_xlpm.x=0,"",_xlpm.x)),"")</f>
        <v/>
      </c>
      <c r="X272" s="6" t="str">
        <f>IFERROR(_xlfn.LET(_xlpm.x,VLOOKUP($C272,[1]Summary!$A$2:$J$118,8,0),IF(_xlpm.x=0,"",_xlpm.x)),"")</f>
        <v/>
      </c>
      <c r="Y272" s="6" t="str">
        <f>IFERROR(_xlfn.LET(_xlpm.x,VLOOKUP($C272,[1]Summary!$A$2:$J$118,9,0),IF(_xlpm.x=0,"",_xlpm.x)),"")</f>
        <v/>
      </c>
      <c r="Z272" s="6" t="str">
        <f>IFERROR(_xlfn.LET(_xlpm.x,VLOOKUP($C272,[1]Summary!$A$2:$J$118,10,0),IF(_xlpm.x=0,"",_xlpm.x)),"")</f>
        <v/>
      </c>
    </row>
    <row r="273" spans="1:26" x14ac:dyDescent="0.25">
      <c r="A273" s="2">
        <v>1000000003582</v>
      </c>
      <c r="B273" s="5" t="s">
        <v>295</v>
      </c>
      <c r="C273" s="2">
        <v>3000000000053</v>
      </c>
      <c r="D273" s="5" t="s">
        <v>505</v>
      </c>
      <c r="E273" s="1">
        <v>3</v>
      </c>
      <c r="F273" s="1" t="s">
        <v>75</v>
      </c>
      <c r="G273" s="1">
        <v>0.8</v>
      </c>
      <c r="H273" s="1"/>
      <c r="I273" s="1"/>
      <c r="J273" s="1">
        <v>0.8</v>
      </c>
      <c r="K273" s="1">
        <v>25</v>
      </c>
      <c r="L273" s="1" t="str">
        <f>IFERROR(_xlfn.LET(_xlpm.x,VLOOKUP($A273,'[1]Markings Threadings'!$B$3:$L$245,3,0),IF(_xlpm.x=0,"",_xlpm.x)),"")</f>
        <v/>
      </c>
      <c r="M273" s="2" t="str">
        <f>IFERROR(_xlfn.LET(_xlpm.x,VLOOKUP($A273,'[1]Markings Threadings'!$B$3:$L$245,7,0),IF(_xlpm.x=0,"",_xlpm.x)),"")</f>
        <v/>
      </c>
      <c r="N273" s="5" t="str">
        <f>IFERROR(_xlfn.LET(_xlpm.x,VLOOKUP($A273,'[1]Markings Threadings'!$B$3:$L$245,8,0),IF(_xlpm.x=0,"",_xlpm.x)),"")</f>
        <v/>
      </c>
      <c r="O273" s="2" t="str">
        <f>IFERROR(_xlfn.LET(_xlpm.x,VLOOKUP($A273,'[1]Markings Threadings'!$B$3:$L$245,10,0),IF(_xlpm.x=0,"",_xlpm.x)),"")</f>
        <v/>
      </c>
      <c r="P273" s="5" t="str">
        <f>IFERROR(_xlfn.LET(_xlpm.x,VLOOKUP($A273,'[1]Markings Threadings'!$B$3:$L$245,11,0),IF(_xlpm.x=0,"",_xlpm.x)),"")</f>
        <v/>
      </c>
      <c r="Q273" s="1" t="str">
        <f>IFERROR(_xlfn.LET(_xlpm.x,VLOOKUP($A273,'[1]Markings Threadings'!$B$3:$L$245,4,0),IF(_xlpm.x=0,"",_xlpm.x)),"")</f>
        <v/>
      </c>
      <c r="R273" s="1" t="str">
        <f>IFERROR(_xlfn.LET(_xlpm.x,VLOOKUP($A273,'[1]Markings Threadings'!$B$3:$L$245,5,0),IF(_xlpm.x=0,"",_xlpm.x)),"")</f>
        <v/>
      </c>
      <c r="S273" s="1" t="str">
        <f>IFERROR(_xlfn.LET(_xlpm.x,VLOOKUP($A273,'[1]Markings Threadings'!$B$3:$L$245,6,0),IF(_xlpm.x=0,"",_xlpm.x)),"")</f>
        <v/>
      </c>
      <c r="T273" s="6" t="str">
        <f>IFERROR(_xlfn.LET(_xlpm.x,VLOOKUP($C273,[1]Summary!$A$2:$J$118,4,0),IF(_xlpm.x=0,"",_xlpm.x)),"")</f>
        <v/>
      </c>
      <c r="U273" s="6" t="str">
        <f>IFERROR(_xlfn.LET(_xlpm.x,VLOOKUP($C273,[1]Summary!$A$2:$J$118,5,0),IF(_xlpm.x=0,"",_xlpm.x)),"")</f>
        <v/>
      </c>
      <c r="V273" s="6" t="str">
        <f>IFERROR(_xlfn.LET(_xlpm.x,VLOOKUP($C273,[1]Summary!$A$2:$J$118,6,0),IF(_xlpm.x=0,"",_xlpm.x)),"")</f>
        <v/>
      </c>
      <c r="W273" s="6" t="str">
        <f>IFERROR(_xlfn.LET(_xlpm.x,VLOOKUP($C273,[1]Summary!$A$2:$J$118,7,0),IF(_xlpm.x=0,"",_xlpm.x)),"")</f>
        <v/>
      </c>
      <c r="X273" s="6">
        <f>IFERROR(_xlfn.LET(_xlpm.x,VLOOKUP($C273,[1]Summary!$A$2:$J$118,8,0),IF(_xlpm.x=0,"",_xlpm.x)),"")</f>
        <v>6.53675819309123</v>
      </c>
      <c r="Y273" s="6" t="str">
        <f>IFERROR(_xlfn.LET(_xlpm.x,VLOOKUP($C273,[1]Summary!$A$2:$J$118,9,0),IF(_xlpm.x=0,"",_xlpm.x)),"")</f>
        <v/>
      </c>
      <c r="Z273" s="6" t="str">
        <f>IFERROR(_xlfn.LET(_xlpm.x,VLOOKUP($C273,[1]Summary!$A$2:$J$118,10,0),IF(_xlpm.x=0,"",_xlpm.x)),"")</f>
        <v/>
      </c>
    </row>
    <row r="274" spans="1:26" x14ac:dyDescent="0.25">
      <c r="A274" s="2">
        <v>1000000003583</v>
      </c>
      <c r="B274" s="5" t="s">
        <v>297</v>
      </c>
      <c r="C274" s="2">
        <v>3000000000055</v>
      </c>
      <c r="D274" s="5" t="s">
        <v>506</v>
      </c>
      <c r="E274" s="1">
        <v>3</v>
      </c>
      <c r="F274" s="1" t="s">
        <v>75</v>
      </c>
      <c r="G274" s="1">
        <v>0.8</v>
      </c>
      <c r="H274" s="1"/>
      <c r="I274" s="1"/>
      <c r="J274" s="1">
        <v>0.8</v>
      </c>
      <c r="K274" s="1">
        <v>25</v>
      </c>
      <c r="L274" s="1" t="str">
        <f>IFERROR(_xlfn.LET(_xlpm.x,VLOOKUP($A274,'[1]Markings Threadings'!$B$3:$L$245,3,0),IF(_xlpm.x=0,"",_xlpm.x)),"")</f>
        <v/>
      </c>
      <c r="M274" s="2" t="str">
        <f>IFERROR(_xlfn.LET(_xlpm.x,VLOOKUP($A274,'[1]Markings Threadings'!$B$3:$L$245,7,0),IF(_xlpm.x=0,"",_xlpm.x)),"")</f>
        <v/>
      </c>
      <c r="N274" s="5" t="str">
        <f>IFERROR(_xlfn.LET(_xlpm.x,VLOOKUP($A274,'[1]Markings Threadings'!$B$3:$L$245,8,0),IF(_xlpm.x=0,"",_xlpm.x)),"")</f>
        <v/>
      </c>
      <c r="O274" s="2" t="str">
        <f>IFERROR(_xlfn.LET(_xlpm.x,VLOOKUP($A274,'[1]Markings Threadings'!$B$3:$L$245,10,0),IF(_xlpm.x=0,"",_xlpm.x)),"")</f>
        <v/>
      </c>
      <c r="P274" s="5" t="str">
        <f>IFERROR(_xlfn.LET(_xlpm.x,VLOOKUP($A274,'[1]Markings Threadings'!$B$3:$L$245,11,0),IF(_xlpm.x=0,"",_xlpm.x)),"")</f>
        <v/>
      </c>
      <c r="Q274" s="1" t="str">
        <f>IFERROR(_xlfn.LET(_xlpm.x,VLOOKUP($A274,'[1]Markings Threadings'!$B$3:$L$245,4,0),IF(_xlpm.x=0,"",_xlpm.x)),"")</f>
        <v/>
      </c>
      <c r="R274" s="1" t="str">
        <f>IFERROR(_xlfn.LET(_xlpm.x,VLOOKUP($A274,'[1]Markings Threadings'!$B$3:$L$245,5,0),IF(_xlpm.x=0,"",_xlpm.x)),"")</f>
        <v/>
      </c>
      <c r="S274" s="1" t="str">
        <f>IFERROR(_xlfn.LET(_xlpm.x,VLOOKUP($A274,'[1]Markings Threadings'!$B$3:$L$245,6,0),IF(_xlpm.x=0,"",_xlpm.x)),"")</f>
        <v/>
      </c>
      <c r="T274" s="6" t="str">
        <f>IFERROR(_xlfn.LET(_xlpm.x,VLOOKUP($C274,[1]Summary!$A$2:$J$118,4,0),IF(_xlpm.x=0,"",_xlpm.x)),"")</f>
        <v/>
      </c>
      <c r="U274" s="6" t="str">
        <f>IFERROR(_xlfn.LET(_xlpm.x,VLOOKUP($C274,[1]Summary!$A$2:$J$118,5,0),IF(_xlpm.x=0,"",_xlpm.x)),"")</f>
        <v/>
      </c>
      <c r="V274" s="6" t="str">
        <f>IFERROR(_xlfn.LET(_xlpm.x,VLOOKUP($C274,[1]Summary!$A$2:$J$118,6,0),IF(_xlpm.x=0,"",_xlpm.x)),"")</f>
        <v/>
      </c>
      <c r="W274" s="6" t="str">
        <f>IFERROR(_xlfn.LET(_xlpm.x,VLOOKUP($C274,[1]Summary!$A$2:$J$118,7,0),IF(_xlpm.x=0,"",_xlpm.x)),"")</f>
        <v/>
      </c>
      <c r="X274" s="6" t="str">
        <f>IFERROR(_xlfn.LET(_xlpm.x,VLOOKUP($C274,[1]Summary!$A$2:$J$118,8,0),IF(_xlpm.x=0,"",_xlpm.x)),"")</f>
        <v/>
      </c>
      <c r="Y274" s="6" t="str">
        <f>IFERROR(_xlfn.LET(_xlpm.x,VLOOKUP($C274,[1]Summary!$A$2:$J$118,9,0),IF(_xlpm.x=0,"",_xlpm.x)),"")</f>
        <v/>
      </c>
      <c r="Z274" s="6" t="str">
        <f>IFERROR(_xlfn.LET(_xlpm.x,VLOOKUP($C274,[1]Summary!$A$2:$J$118,10,0),IF(_xlpm.x=0,"",_xlpm.x)),"")</f>
        <v/>
      </c>
    </row>
    <row r="275" spans="1:26" x14ac:dyDescent="0.25">
      <c r="A275" s="2">
        <v>1000000003584</v>
      </c>
      <c r="B275" s="5" t="s">
        <v>299</v>
      </c>
      <c r="C275" s="2">
        <v>3000000000061</v>
      </c>
      <c r="D275" s="5" t="s">
        <v>507</v>
      </c>
      <c r="E275" s="1">
        <v>3</v>
      </c>
      <c r="F275" s="1" t="s">
        <v>75</v>
      </c>
      <c r="G275" s="1">
        <v>0.8</v>
      </c>
      <c r="H275" s="1"/>
      <c r="I275" s="1"/>
      <c r="J275" s="1">
        <v>0.8</v>
      </c>
      <c r="K275" s="1">
        <v>25</v>
      </c>
      <c r="L275" s="1" t="str">
        <f>IFERROR(_xlfn.LET(_xlpm.x,VLOOKUP($A275,'[1]Markings Threadings'!$B$3:$L$245,3,0),IF(_xlpm.x=0,"",_xlpm.x)),"")</f>
        <v/>
      </c>
      <c r="M275" s="2" t="str">
        <f>IFERROR(_xlfn.LET(_xlpm.x,VLOOKUP($A275,'[1]Markings Threadings'!$B$3:$L$245,7,0),IF(_xlpm.x=0,"",_xlpm.x)),"")</f>
        <v/>
      </c>
      <c r="N275" s="5" t="str">
        <f>IFERROR(_xlfn.LET(_xlpm.x,VLOOKUP($A275,'[1]Markings Threadings'!$B$3:$L$245,8,0),IF(_xlpm.x=0,"",_xlpm.x)),"")</f>
        <v/>
      </c>
      <c r="O275" s="2" t="str">
        <f>IFERROR(_xlfn.LET(_xlpm.x,VLOOKUP($A275,'[1]Markings Threadings'!$B$3:$L$245,10,0),IF(_xlpm.x=0,"",_xlpm.x)),"")</f>
        <v/>
      </c>
      <c r="P275" s="5" t="str">
        <f>IFERROR(_xlfn.LET(_xlpm.x,VLOOKUP($A275,'[1]Markings Threadings'!$B$3:$L$245,11,0),IF(_xlpm.x=0,"",_xlpm.x)),"")</f>
        <v/>
      </c>
      <c r="Q275" s="1" t="str">
        <f>IFERROR(_xlfn.LET(_xlpm.x,VLOOKUP($A275,'[1]Markings Threadings'!$B$3:$L$245,4,0),IF(_xlpm.x=0,"",_xlpm.x)),"")</f>
        <v/>
      </c>
      <c r="R275" s="1" t="str">
        <f>IFERROR(_xlfn.LET(_xlpm.x,VLOOKUP($A275,'[1]Markings Threadings'!$B$3:$L$245,5,0),IF(_xlpm.x=0,"",_xlpm.x)),"")</f>
        <v/>
      </c>
      <c r="S275" s="1" t="str">
        <f>IFERROR(_xlfn.LET(_xlpm.x,VLOOKUP($A275,'[1]Markings Threadings'!$B$3:$L$245,6,0),IF(_xlpm.x=0,"",_xlpm.x)),"")</f>
        <v/>
      </c>
      <c r="T275" s="6" t="str">
        <f>IFERROR(_xlfn.LET(_xlpm.x,VLOOKUP($C275,[1]Summary!$A$2:$J$118,4,0),IF(_xlpm.x=0,"",_xlpm.x)),"")</f>
        <v/>
      </c>
      <c r="U275" s="6" t="str">
        <f>IFERROR(_xlfn.LET(_xlpm.x,VLOOKUP($C275,[1]Summary!$A$2:$J$118,5,0),IF(_xlpm.x=0,"",_xlpm.x)),"")</f>
        <v/>
      </c>
      <c r="V275" s="6" t="str">
        <f>IFERROR(_xlfn.LET(_xlpm.x,VLOOKUP($C275,[1]Summary!$A$2:$J$118,6,0),IF(_xlpm.x=0,"",_xlpm.x)),"")</f>
        <v/>
      </c>
      <c r="W275" s="6" t="str">
        <f>IFERROR(_xlfn.LET(_xlpm.x,VLOOKUP($C275,[1]Summary!$A$2:$J$118,7,0),IF(_xlpm.x=0,"",_xlpm.x)),"")</f>
        <v/>
      </c>
      <c r="X275" s="6">
        <f>IFERROR(_xlfn.LET(_xlpm.x,VLOOKUP($C275,[1]Summary!$A$2:$J$118,8,0),IF(_xlpm.x=0,"",_xlpm.x)),"")</f>
        <v>4.1402337228714519</v>
      </c>
      <c r="Y275" s="6" t="str">
        <f>IFERROR(_xlfn.LET(_xlpm.x,VLOOKUP($C275,[1]Summary!$A$2:$J$118,9,0),IF(_xlpm.x=0,"",_xlpm.x)),"")</f>
        <v/>
      </c>
      <c r="Z275" s="6" t="str">
        <f>IFERROR(_xlfn.LET(_xlpm.x,VLOOKUP($C275,[1]Summary!$A$2:$J$118,10,0),IF(_xlpm.x=0,"",_xlpm.x)),"")</f>
        <v/>
      </c>
    </row>
    <row r="276" spans="1:26" x14ac:dyDescent="0.25">
      <c r="A276" s="2">
        <v>1000000003536</v>
      </c>
      <c r="B276" s="5" t="s">
        <v>508</v>
      </c>
      <c r="C276" s="2">
        <v>3000000000236</v>
      </c>
      <c r="D276" s="5" t="s">
        <v>88</v>
      </c>
      <c r="E276" s="1">
        <v>4</v>
      </c>
      <c r="F276" s="1" t="s">
        <v>47</v>
      </c>
      <c r="G276" s="1">
        <v>4</v>
      </c>
      <c r="H276" s="1">
        <v>2</v>
      </c>
      <c r="I276" s="1">
        <v>2</v>
      </c>
      <c r="J276" s="1"/>
      <c r="K276" s="1">
        <v>22.679600000000001</v>
      </c>
      <c r="L276" s="1" t="str">
        <f>IFERROR(_xlfn.LET(_xlpm.x,VLOOKUP($A276,'[1]Markings Threadings'!$B$3:$L$245,3,0),IF(_xlpm.x=0,"",_xlpm.x)),"")</f>
        <v/>
      </c>
      <c r="M276" s="2" t="str">
        <f>IFERROR(_xlfn.LET(_xlpm.x,VLOOKUP($A276,'[1]Markings Threadings'!$B$3:$L$245,7,0),IF(_xlpm.x=0,"",_xlpm.x)),"")</f>
        <v/>
      </c>
      <c r="N276" s="5" t="str">
        <f>IFERROR(_xlfn.LET(_xlpm.x,VLOOKUP($A276,'[1]Markings Threadings'!$B$3:$L$245,8,0),IF(_xlpm.x=0,"",_xlpm.x)),"")</f>
        <v/>
      </c>
      <c r="O276" s="2" t="str">
        <f>IFERROR(_xlfn.LET(_xlpm.x,VLOOKUP($A276,'[1]Markings Threadings'!$B$3:$L$245,10,0),IF(_xlpm.x=0,"",_xlpm.x)),"")</f>
        <v/>
      </c>
      <c r="P276" s="5" t="str">
        <f>IFERROR(_xlfn.LET(_xlpm.x,VLOOKUP($A276,'[1]Markings Threadings'!$B$3:$L$245,11,0),IF(_xlpm.x=0,"",_xlpm.x)),"")</f>
        <v/>
      </c>
      <c r="Q276" s="1" t="str">
        <f>IFERROR(_xlfn.LET(_xlpm.x,VLOOKUP($A276,'[1]Markings Threadings'!$B$3:$L$245,4,0),IF(_xlpm.x=0,"",_xlpm.x)),"")</f>
        <v/>
      </c>
      <c r="R276" s="1" t="str">
        <f>IFERROR(_xlfn.LET(_xlpm.x,VLOOKUP($A276,'[1]Markings Threadings'!$B$3:$L$245,5,0),IF(_xlpm.x=0,"",_xlpm.x)),"")</f>
        <v/>
      </c>
      <c r="S276" s="1" t="str">
        <f>IFERROR(_xlfn.LET(_xlpm.x,VLOOKUP($A276,'[1]Markings Threadings'!$B$3:$L$245,6,0),IF(_xlpm.x=0,"",_xlpm.x)),"")</f>
        <v/>
      </c>
      <c r="T276" s="6">
        <f>IFERROR(_xlfn.LET(_xlpm.x,VLOOKUP($C276,[1]Summary!$A$2:$J$118,4,0),IF(_xlpm.x=0,"",_xlpm.x)),"")</f>
        <v>13.782505342588466</v>
      </c>
      <c r="U276" s="6">
        <f>IFERROR(_xlfn.LET(_xlpm.x,VLOOKUP($C276,[1]Summary!$A$2:$J$118,5,0),IF(_xlpm.x=0,"",_xlpm.x)),"")</f>
        <v>12.870283185487422</v>
      </c>
      <c r="V276" s="6" t="str">
        <f>IFERROR(_xlfn.LET(_xlpm.x,VLOOKUP($C276,[1]Summary!$A$2:$J$118,6,0),IF(_xlpm.x=0,"",_xlpm.x)),"")</f>
        <v/>
      </c>
      <c r="W276" s="6">
        <f>IFERROR(_xlfn.LET(_xlpm.x,VLOOKUP($C276,[1]Summary!$A$2:$J$118,7,0),IF(_xlpm.x=0,"",_xlpm.x)),"")</f>
        <v>7.8093784242730075</v>
      </c>
      <c r="X276" s="6" t="str">
        <f>IFERROR(_xlfn.LET(_xlpm.x,VLOOKUP($C276,[1]Summary!$A$2:$J$118,8,0),IF(_xlpm.x=0,"",_xlpm.x)),"")</f>
        <v/>
      </c>
      <c r="Y276" s="6" t="str">
        <f>IFERROR(_xlfn.LET(_xlpm.x,VLOOKUP($C276,[1]Summary!$A$2:$J$118,9,0),IF(_xlpm.x=0,"",_xlpm.x)),"")</f>
        <v/>
      </c>
      <c r="Z276" s="6" t="str">
        <f>IFERROR(_xlfn.LET(_xlpm.x,VLOOKUP($C276,[1]Summary!$A$2:$J$118,10,0),IF(_xlpm.x=0,"",_xlpm.x)),"")</f>
        <v/>
      </c>
    </row>
    <row r="277" spans="1:26" x14ac:dyDescent="0.25">
      <c r="A277" s="2">
        <v>1000000003537</v>
      </c>
      <c r="B277" s="5" t="s">
        <v>509</v>
      </c>
      <c r="C277" s="2">
        <v>3000000000238</v>
      </c>
      <c r="D277" s="5" t="s">
        <v>83</v>
      </c>
      <c r="E277" s="1">
        <v>4</v>
      </c>
      <c r="F277" s="1" t="s">
        <v>67</v>
      </c>
      <c r="G277" s="1">
        <v>4</v>
      </c>
      <c r="H277" s="1">
        <v>2</v>
      </c>
      <c r="I277" s="1">
        <v>2</v>
      </c>
      <c r="J277" s="1"/>
      <c r="K277" s="1">
        <v>22.679600000000001</v>
      </c>
      <c r="L277" s="1" t="str">
        <f>IFERROR(_xlfn.LET(_xlpm.x,VLOOKUP($A277,'[1]Markings Threadings'!$B$3:$L$245,3,0),IF(_xlpm.x=0,"",_xlpm.x)),"")</f>
        <v/>
      </c>
      <c r="M277" s="2" t="str">
        <f>IFERROR(_xlfn.LET(_xlpm.x,VLOOKUP($A277,'[1]Markings Threadings'!$B$3:$L$245,7,0),IF(_xlpm.x=0,"",_xlpm.x)),"")</f>
        <v/>
      </c>
      <c r="N277" s="5" t="str">
        <f>IFERROR(_xlfn.LET(_xlpm.x,VLOOKUP($A277,'[1]Markings Threadings'!$B$3:$L$245,8,0),IF(_xlpm.x=0,"",_xlpm.x)),"")</f>
        <v/>
      </c>
      <c r="O277" s="2" t="str">
        <f>IFERROR(_xlfn.LET(_xlpm.x,VLOOKUP($A277,'[1]Markings Threadings'!$B$3:$L$245,10,0),IF(_xlpm.x=0,"",_xlpm.x)),"")</f>
        <v/>
      </c>
      <c r="P277" s="5" t="str">
        <f>IFERROR(_xlfn.LET(_xlpm.x,VLOOKUP($A277,'[1]Markings Threadings'!$B$3:$L$245,11,0),IF(_xlpm.x=0,"",_xlpm.x)),"")</f>
        <v/>
      </c>
      <c r="Q277" s="1" t="str">
        <f>IFERROR(_xlfn.LET(_xlpm.x,VLOOKUP($A277,'[1]Markings Threadings'!$B$3:$L$245,4,0),IF(_xlpm.x=0,"",_xlpm.x)),"")</f>
        <v/>
      </c>
      <c r="R277" s="1" t="str">
        <f>IFERROR(_xlfn.LET(_xlpm.x,VLOOKUP($A277,'[1]Markings Threadings'!$B$3:$L$245,5,0),IF(_xlpm.x=0,"",_xlpm.x)),"")</f>
        <v/>
      </c>
      <c r="S277" s="1" t="str">
        <f>IFERROR(_xlfn.LET(_xlpm.x,VLOOKUP($A277,'[1]Markings Threadings'!$B$3:$L$245,6,0),IF(_xlpm.x=0,"",_xlpm.x)),"")</f>
        <v/>
      </c>
      <c r="T277" s="6" t="str">
        <f>IFERROR(_xlfn.LET(_xlpm.x,VLOOKUP($C277,[1]Summary!$A$2:$J$118,4,0),IF(_xlpm.x=0,"",_xlpm.x)),"")</f>
        <v/>
      </c>
      <c r="U277" s="6">
        <f>IFERROR(_xlfn.LET(_xlpm.x,VLOOKUP($C277,[1]Summary!$A$2:$J$118,5,0),IF(_xlpm.x=0,"",_xlpm.x)),"")</f>
        <v>13.257850616884644</v>
      </c>
      <c r="V277" s="6">
        <f>IFERROR(_xlfn.LET(_xlpm.x,VLOOKUP($C277,[1]Summary!$A$2:$J$118,6,0),IF(_xlpm.x=0,"",_xlpm.x)),"")</f>
        <v>7.2707210847457642</v>
      </c>
      <c r="W277" s="6" t="str">
        <f>IFERROR(_xlfn.LET(_xlpm.x,VLOOKUP($C277,[1]Summary!$A$2:$J$118,7,0),IF(_xlpm.x=0,"",_xlpm.x)),"")</f>
        <v/>
      </c>
      <c r="X277" s="6" t="str">
        <f>IFERROR(_xlfn.LET(_xlpm.x,VLOOKUP($C277,[1]Summary!$A$2:$J$118,8,0),IF(_xlpm.x=0,"",_xlpm.x)),"")</f>
        <v/>
      </c>
      <c r="Y277" s="6">
        <f>IFERROR(_xlfn.LET(_xlpm.x,VLOOKUP($C277,[1]Summary!$A$2:$J$118,9,0),IF(_xlpm.x=0,"",_xlpm.x)),"")</f>
        <v>7.0324996736962637</v>
      </c>
      <c r="Z277" s="6" t="str">
        <f>IFERROR(_xlfn.LET(_xlpm.x,VLOOKUP($C277,[1]Summary!$A$2:$J$118,10,0),IF(_xlpm.x=0,"",_xlpm.x)),"")</f>
        <v/>
      </c>
    </row>
    <row r="278" spans="1:26" x14ac:dyDescent="0.25">
      <c r="A278" s="2">
        <v>1000000003538</v>
      </c>
      <c r="B278" s="5" t="s">
        <v>510</v>
      </c>
      <c r="C278" s="2">
        <v>3000000000246</v>
      </c>
      <c r="D278" s="5" t="s">
        <v>234</v>
      </c>
      <c r="E278" s="1">
        <v>3</v>
      </c>
      <c r="F278" s="1" t="s">
        <v>75</v>
      </c>
      <c r="G278" s="1">
        <v>0.8</v>
      </c>
      <c r="H278" s="1"/>
      <c r="I278" s="1"/>
      <c r="J278" s="1">
        <v>0.8</v>
      </c>
      <c r="K278" s="1">
        <v>22.679600000000001</v>
      </c>
      <c r="L278" s="1" t="str">
        <f>IFERROR(_xlfn.LET(_xlpm.x,VLOOKUP($A278,'[1]Markings Threadings'!$B$3:$L$245,3,0),IF(_xlpm.x=0,"",_xlpm.x)),"")</f>
        <v/>
      </c>
      <c r="M278" s="2" t="str">
        <f>IFERROR(_xlfn.LET(_xlpm.x,VLOOKUP($A278,'[1]Markings Threadings'!$B$3:$L$245,7,0),IF(_xlpm.x=0,"",_xlpm.x)),"")</f>
        <v/>
      </c>
      <c r="N278" s="5" t="str">
        <f>IFERROR(_xlfn.LET(_xlpm.x,VLOOKUP($A278,'[1]Markings Threadings'!$B$3:$L$245,8,0),IF(_xlpm.x=0,"",_xlpm.x)),"")</f>
        <v/>
      </c>
      <c r="O278" s="2" t="str">
        <f>IFERROR(_xlfn.LET(_xlpm.x,VLOOKUP($A278,'[1]Markings Threadings'!$B$3:$L$245,10,0),IF(_xlpm.x=0,"",_xlpm.x)),"")</f>
        <v/>
      </c>
      <c r="P278" s="5" t="str">
        <f>IFERROR(_xlfn.LET(_xlpm.x,VLOOKUP($A278,'[1]Markings Threadings'!$B$3:$L$245,11,0),IF(_xlpm.x=0,"",_xlpm.x)),"")</f>
        <v/>
      </c>
      <c r="Q278" s="1" t="str">
        <f>IFERROR(_xlfn.LET(_xlpm.x,VLOOKUP($A278,'[1]Markings Threadings'!$B$3:$L$245,4,0),IF(_xlpm.x=0,"",_xlpm.x)),"")</f>
        <v/>
      </c>
      <c r="R278" s="1" t="str">
        <f>IFERROR(_xlfn.LET(_xlpm.x,VLOOKUP($A278,'[1]Markings Threadings'!$B$3:$L$245,5,0),IF(_xlpm.x=0,"",_xlpm.x)),"")</f>
        <v/>
      </c>
      <c r="S278" s="1" t="str">
        <f>IFERROR(_xlfn.LET(_xlpm.x,VLOOKUP($A278,'[1]Markings Threadings'!$B$3:$L$245,6,0),IF(_xlpm.x=0,"",_xlpm.x)),"")</f>
        <v/>
      </c>
      <c r="T278" s="6" t="str">
        <f>IFERROR(_xlfn.LET(_xlpm.x,VLOOKUP($C278,[1]Summary!$A$2:$J$118,4,0),IF(_xlpm.x=0,"",_xlpm.x)),"")</f>
        <v/>
      </c>
      <c r="U278" s="6" t="str">
        <f>IFERROR(_xlfn.LET(_xlpm.x,VLOOKUP($C278,[1]Summary!$A$2:$J$118,5,0),IF(_xlpm.x=0,"",_xlpm.x)),"")</f>
        <v/>
      </c>
      <c r="V278" s="6" t="str">
        <f>IFERROR(_xlfn.LET(_xlpm.x,VLOOKUP($C278,[1]Summary!$A$2:$J$118,6,0),IF(_xlpm.x=0,"",_xlpm.x)),"")</f>
        <v/>
      </c>
      <c r="W278" s="6" t="str">
        <f>IFERROR(_xlfn.LET(_xlpm.x,VLOOKUP($C278,[1]Summary!$A$2:$J$118,7,0),IF(_xlpm.x=0,"",_xlpm.x)),"")</f>
        <v/>
      </c>
      <c r="X278" s="6">
        <f>IFERROR(_xlfn.LET(_xlpm.x,VLOOKUP($C278,[1]Summary!$A$2:$J$118,8,0),IF(_xlpm.x=0,"",_xlpm.x)),"")</f>
        <v>20.116558976308134</v>
      </c>
      <c r="Y278" s="6" t="str">
        <f>IFERROR(_xlfn.LET(_xlpm.x,VLOOKUP($C278,[1]Summary!$A$2:$J$118,9,0),IF(_xlpm.x=0,"",_xlpm.x)),"")</f>
        <v/>
      </c>
      <c r="Z278" s="6" t="str">
        <f>IFERROR(_xlfn.LET(_xlpm.x,VLOOKUP($C278,[1]Summary!$A$2:$J$118,10,0),IF(_xlpm.x=0,"",_xlpm.x)),"")</f>
        <v/>
      </c>
    </row>
    <row r="279" spans="1:26" x14ac:dyDescent="0.25">
      <c r="A279" s="2">
        <v>1000000003539</v>
      </c>
      <c r="B279" s="5" t="s">
        <v>511</v>
      </c>
      <c r="C279" s="2">
        <v>3000000000234</v>
      </c>
      <c r="D279" s="5" t="s">
        <v>85</v>
      </c>
      <c r="E279" s="1">
        <v>3</v>
      </c>
      <c r="F279" s="1" t="s">
        <v>86</v>
      </c>
      <c r="G279" s="1">
        <v>4</v>
      </c>
      <c r="H279" s="1">
        <v>2</v>
      </c>
      <c r="I279" s="1">
        <v>2</v>
      </c>
      <c r="J279" s="1"/>
      <c r="K279" s="1">
        <v>22.679600000000001</v>
      </c>
      <c r="L279" s="1" t="str">
        <f>IFERROR(_xlfn.LET(_xlpm.x,VLOOKUP($A279,'[1]Markings Threadings'!$B$3:$L$245,3,0),IF(_xlpm.x=0,"",_xlpm.x)),"")</f>
        <v/>
      </c>
      <c r="M279" s="2" t="str">
        <f>IFERROR(_xlfn.LET(_xlpm.x,VLOOKUP($A279,'[1]Markings Threadings'!$B$3:$L$245,7,0),IF(_xlpm.x=0,"",_xlpm.x)),"")</f>
        <v/>
      </c>
      <c r="N279" s="5" t="str">
        <f>IFERROR(_xlfn.LET(_xlpm.x,VLOOKUP($A279,'[1]Markings Threadings'!$B$3:$L$245,8,0),IF(_xlpm.x=0,"",_xlpm.x)),"")</f>
        <v/>
      </c>
      <c r="O279" s="2" t="str">
        <f>IFERROR(_xlfn.LET(_xlpm.x,VLOOKUP($A279,'[1]Markings Threadings'!$B$3:$L$245,10,0),IF(_xlpm.x=0,"",_xlpm.x)),"")</f>
        <v/>
      </c>
      <c r="P279" s="5" t="str">
        <f>IFERROR(_xlfn.LET(_xlpm.x,VLOOKUP($A279,'[1]Markings Threadings'!$B$3:$L$245,11,0),IF(_xlpm.x=0,"",_xlpm.x)),"")</f>
        <v/>
      </c>
      <c r="Q279" s="1" t="str">
        <f>IFERROR(_xlfn.LET(_xlpm.x,VLOOKUP($A279,'[1]Markings Threadings'!$B$3:$L$245,4,0),IF(_xlpm.x=0,"",_xlpm.x)),"")</f>
        <v/>
      </c>
      <c r="R279" s="1" t="str">
        <f>IFERROR(_xlfn.LET(_xlpm.x,VLOOKUP($A279,'[1]Markings Threadings'!$B$3:$L$245,5,0),IF(_xlpm.x=0,"",_xlpm.x)),"")</f>
        <v/>
      </c>
      <c r="S279" s="1" t="str">
        <f>IFERROR(_xlfn.LET(_xlpm.x,VLOOKUP($A279,'[1]Markings Threadings'!$B$3:$L$245,6,0),IF(_xlpm.x=0,"",_xlpm.x)),"")</f>
        <v/>
      </c>
      <c r="T279" s="6">
        <f>IFERROR(_xlfn.LET(_xlpm.x,VLOOKUP($C279,[1]Summary!$A$2:$J$118,4,0),IF(_xlpm.x=0,"",_xlpm.x)),"")</f>
        <v>18.959690047375933</v>
      </c>
      <c r="U279" s="6" t="str">
        <f>IFERROR(_xlfn.LET(_xlpm.x,VLOOKUP($C279,[1]Summary!$A$2:$J$118,5,0),IF(_xlpm.x=0,"",_xlpm.x)),"")</f>
        <v/>
      </c>
      <c r="V279" s="6" t="str">
        <f>IFERROR(_xlfn.LET(_xlpm.x,VLOOKUP($C279,[1]Summary!$A$2:$J$118,6,0),IF(_xlpm.x=0,"",_xlpm.x)),"")</f>
        <v/>
      </c>
      <c r="W279" s="6" t="str">
        <f>IFERROR(_xlfn.LET(_xlpm.x,VLOOKUP($C279,[1]Summary!$A$2:$J$118,7,0),IF(_xlpm.x=0,"",_xlpm.x)),"")</f>
        <v/>
      </c>
      <c r="X279" s="6" t="str">
        <f>IFERROR(_xlfn.LET(_xlpm.x,VLOOKUP($C279,[1]Summary!$A$2:$J$118,8,0),IF(_xlpm.x=0,"",_xlpm.x)),"")</f>
        <v/>
      </c>
      <c r="Y279" s="6" t="str">
        <f>IFERROR(_xlfn.LET(_xlpm.x,VLOOKUP($C279,[1]Summary!$A$2:$J$118,9,0),IF(_xlpm.x=0,"",_xlpm.x)),"")</f>
        <v/>
      </c>
      <c r="Z279" s="6" t="str">
        <f>IFERROR(_xlfn.LET(_xlpm.x,VLOOKUP($C279,[1]Summary!$A$2:$J$118,10,0),IF(_xlpm.x=0,"",_xlpm.x)),"")</f>
        <v/>
      </c>
    </row>
    <row r="280" spans="1:26" x14ac:dyDescent="0.25">
      <c r="A280" s="2">
        <v>1000000003540</v>
      </c>
      <c r="B280" s="5" t="s">
        <v>512</v>
      </c>
      <c r="C280" s="2">
        <v>3000000000242</v>
      </c>
      <c r="D280" s="5" t="s">
        <v>92</v>
      </c>
      <c r="E280" s="1">
        <v>3</v>
      </c>
      <c r="F280" s="1" t="s">
        <v>86</v>
      </c>
      <c r="G280" s="1">
        <v>3</v>
      </c>
      <c r="H280" s="1">
        <v>2</v>
      </c>
      <c r="I280" s="1">
        <v>2</v>
      </c>
      <c r="J280" s="1"/>
      <c r="K280" s="1">
        <v>22.679600000000001</v>
      </c>
      <c r="L280" s="1" t="str">
        <f>IFERROR(_xlfn.LET(_xlpm.x,VLOOKUP($A280,'[1]Markings Threadings'!$B$3:$L$245,3,0),IF(_xlpm.x=0,"",_xlpm.x)),"")</f>
        <v/>
      </c>
      <c r="M280" s="2" t="str">
        <f>IFERROR(_xlfn.LET(_xlpm.x,VLOOKUP($A280,'[1]Markings Threadings'!$B$3:$L$245,7,0),IF(_xlpm.x=0,"",_xlpm.x)),"")</f>
        <v/>
      </c>
      <c r="N280" s="5" t="str">
        <f>IFERROR(_xlfn.LET(_xlpm.x,VLOOKUP($A280,'[1]Markings Threadings'!$B$3:$L$245,8,0),IF(_xlpm.x=0,"",_xlpm.x)),"")</f>
        <v/>
      </c>
      <c r="O280" s="2" t="str">
        <f>IFERROR(_xlfn.LET(_xlpm.x,VLOOKUP($A280,'[1]Markings Threadings'!$B$3:$L$245,10,0),IF(_xlpm.x=0,"",_xlpm.x)),"")</f>
        <v/>
      </c>
      <c r="P280" s="5" t="str">
        <f>IFERROR(_xlfn.LET(_xlpm.x,VLOOKUP($A280,'[1]Markings Threadings'!$B$3:$L$245,11,0),IF(_xlpm.x=0,"",_xlpm.x)),"")</f>
        <v/>
      </c>
      <c r="Q280" s="1" t="str">
        <f>IFERROR(_xlfn.LET(_xlpm.x,VLOOKUP($A280,'[1]Markings Threadings'!$B$3:$L$245,4,0),IF(_xlpm.x=0,"",_xlpm.x)),"")</f>
        <v/>
      </c>
      <c r="R280" s="1" t="str">
        <f>IFERROR(_xlfn.LET(_xlpm.x,VLOOKUP($A280,'[1]Markings Threadings'!$B$3:$L$245,5,0),IF(_xlpm.x=0,"",_xlpm.x)),"")</f>
        <v/>
      </c>
      <c r="S280" s="1" t="str">
        <f>IFERROR(_xlfn.LET(_xlpm.x,VLOOKUP($A280,'[1]Markings Threadings'!$B$3:$L$245,6,0),IF(_xlpm.x=0,"",_xlpm.x)),"")</f>
        <v/>
      </c>
      <c r="T280" s="6">
        <f>IFERROR(_xlfn.LET(_xlpm.x,VLOOKUP($C280,[1]Summary!$A$2:$J$118,4,0),IF(_xlpm.x=0,"",_xlpm.x)),"")</f>
        <v>19.513631257519059</v>
      </c>
      <c r="U280" s="6" t="str">
        <f>IFERROR(_xlfn.LET(_xlpm.x,VLOOKUP($C280,[1]Summary!$A$2:$J$118,5,0),IF(_xlpm.x=0,"",_xlpm.x)),"")</f>
        <v/>
      </c>
      <c r="V280" s="6" t="str">
        <f>IFERROR(_xlfn.LET(_xlpm.x,VLOOKUP($C280,[1]Summary!$A$2:$J$118,6,0),IF(_xlpm.x=0,"",_xlpm.x)),"")</f>
        <v/>
      </c>
      <c r="W280" s="6" t="str">
        <f>IFERROR(_xlfn.LET(_xlpm.x,VLOOKUP($C280,[1]Summary!$A$2:$J$118,7,0),IF(_xlpm.x=0,"",_xlpm.x)),"")</f>
        <v/>
      </c>
      <c r="X280" s="6" t="str">
        <f>IFERROR(_xlfn.LET(_xlpm.x,VLOOKUP($C280,[1]Summary!$A$2:$J$118,8,0),IF(_xlpm.x=0,"",_xlpm.x)),"")</f>
        <v/>
      </c>
      <c r="Y280" s="6" t="str">
        <f>IFERROR(_xlfn.LET(_xlpm.x,VLOOKUP($C280,[1]Summary!$A$2:$J$118,9,0),IF(_xlpm.x=0,"",_xlpm.x)),"")</f>
        <v/>
      </c>
      <c r="Z280" s="6" t="str">
        <f>IFERROR(_xlfn.LET(_xlpm.x,VLOOKUP($C280,[1]Summary!$A$2:$J$118,10,0),IF(_xlpm.x=0,"",_xlpm.x)),"")</f>
        <v/>
      </c>
    </row>
    <row r="281" spans="1:26" x14ac:dyDescent="0.25">
      <c r="A281" s="2">
        <v>1000000003551</v>
      </c>
      <c r="B281" s="5" t="s">
        <v>513</v>
      </c>
      <c r="C281" s="2">
        <v>3000000000573</v>
      </c>
      <c r="D281" s="5" t="s">
        <v>206</v>
      </c>
      <c r="E281" s="1">
        <v>4</v>
      </c>
      <c r="F281" s="1" t="s">
        <v>28</v>
      </c>
      <c r="G281" s="1">
        <v>4</v>
      </c>
      <c r="H281" s="1">
        <v>2</v>
      </c>
      <c r="I281" s="1">
        <v>2</v>
      </c>
      <c r="J281" s="1"/>
      <c r="K281" s="1">
        <v>22.679600000000001</v>
      </c>
      <c r="L281" s="1" t="str">
        <f>IFERROR(_xlfn.LET(_xlpm.x,VLOOKUP($A281,'[1]Markings Threadings'!$B$3:$L$245,3,0),IF(_xlpm.x=0,"",_xlpm.x)),"")</f>
        <v/>
      </c>
      <c r="M281" s="2" t="str">
        <f>IFERROR(_xlfn.LET(_xlpm.x,VLOOKUP($A281,'[1]Markings Threadings'!$B$3:$L$245,7,0),IF(_xlpm.x=0,"",_xlpm.x)),"")</f>
        <v/>
      </c>
      <c r="N281" s="5" t="str">
        <f>IFERROR(_xlfn.LET(_xlpm.x,VLOOKUP($A281,'[1]Markings Threadings'!$B$3:$L$245,8,0),IF(_xlpm.x=0,"",_xlpm.x)),"")</f>
        <v/>
      </c>
      <c r="O281" s="2" t="str">
        <f>IFERROR(_xlfn.LET(_xlpm.x,VLOOKUP($A281,'[1]Markings Threadings'!$B$3:$L$245,10,0),IF(_xlpm.x=0,"",_xlpm.x)),"")</f>
        <v/>
      </c>
      <c r="P281" s="5" t="str">
        <f>IFERROR(_xlfn.LET(_xlpm.x,VLOOKUP($A281,'[1]Markings Threadings'!$B$3:$L$245,11,0),IF(_xlpm.x=0,"",_xlpm.x)),"")</f>
        <v/>
      </c>
      <c r="Q281" s="1" t="str">
        <f>IFERROR(_xlfn.LET(_xlpm.x,VLOOKUP($A281,'[1]Markings Threadings'!$B$3:$L$245,4,0),IF(_xlpm.x=0,"",_xlpm.x)),"")</f>
        <v/>
      </c>
      <c r="R281" s="1" t="str">
        <f>IFERROR(_xlfn.LET(_xlpm.x,VLOOKUP($A281,'[1]Markings Threadings'!$B$3:$L$245,5,0),IF(_xlpm.x=0,"",_xlpm.x)),"")</f>
        <v/>
      </c>
      <c r="S281" s="1" t="str">
        <f>IFERROR(_xlfn.LET(_xlpm.x,VLOOKUP($A281,'[1]Markings Threadings'!$B$3:$L$245,6,0),IF(_xlpm.x=0,"",_xlpm.x)),"")</f>
        <v/>
      </c>
      <c r="T281" s="6" t="str">
        <f>IFERROR(_xlfn.LET(_xlpm.x,VLOOKUP($C281,[1]Summary!$A$2:$J$118,4,0),IF(_xlpm.x=0,"",_xlpm.x)),"")</f>
        <v/>
      </c>
      <c r="U281" s="6">
        <f>IFERROR(_xlfn.LET(_xlpm.x,VLOOKUP($C281,[1]Summary!$A$2:$J$118,5,0),IF(_xlpm.x=0,"",_xlpm.x)),"")</f>
        <v>20.158269557932371</v>
      </c>
      <c r="V281" s="6" t="str">
        <f>IFERROR(_xlfn.LET(_xlpm.x,VLOOKUP($C281,[1]Summary!$A$2:$J$118,6,0),IF(_xlpm.x=0,"",_xlpm.x)),"")</f>
        <v/>
      </c>
      <c r="W281" s="6" t="str">
        <f>IFERROR(_xlfn.LET(_xlpm.x,VLOOKUP($C281,[1]Summary!$A$2:$J$118,7,0),IF(_xlpm.x=0,"",_xlpm.x)),"")</f>
        <v/>
      </c>
      <c r="X281" s="6" t="str">
        <f>IFERROR(_xlfn.LET(_xlpm.x,VLOOKUP($C281,[1]Summary!$A$2:$J$118,8,0),IF(_xlpm.x=0,"",_xlpm.x)),"")</f>
        <v/>
      </c>
      <c r="Y281" s="6" t="str">
        <f>IFERROR(_xlfn.LET(_xlpm.x,VLOOKUP($C281,[1]Summary!$A$2:$J$118,9,0),IF(_xlpm.x=0,"",_xlpm.x)),"")</f>
        <v/>
      </c>
      <c r="Z281" s="6" t="str">
        <f>IFERROR(_xlfn.LET(_xlpm.x,VLOOKUP($C281,[1]Summary!$A$2:$J$118,10,0),IF(_xlpm.x=0,"",_xlpm.x)),"")</f>
        <v/>
      </c>
    </row>
    <row r="282" spans="1:26" x14ac:dyDescent="0.25">
      <c r="A282" s="2">
        <v>1000000003552</v>
      </c>
      <c r="B282" s="5" t="s">
        <v>514</v>
      </c>
      <c r="C282" s="2">
        <v>3000000000611</v>
      </c>
      <c r="D282" s="5" t="s">
        <v>34</v>
      </c>
      <c r="E282" s="1">
        <v>4</v>
      </c>
      <c r="F282" s="1" t="s">
        <v>28</v>
      </c>
      <c r="G282" s="1">
        <v>4</v>
      </c>
      <c r="H282" s="1">
        <v>2</v>
      </c>
      <c r="I282" s="1">
        <v>2</v>
      </c>
      <c r="J282" s="1"/>
      <c r="K282" s="1">
        <v>22.679600000000001</v>
      </c>
      <c r="L282" s="1" t="str">
        <f>IFERROR(_xlfn.LET(_xlpm.x,VLOOKUP($A282,'[1]Markings Threadings'!$B$3:$L$245,3,0),IF(_xlpm.x=0,"",_xlpm.x)),"")</f>
        <v/>
      </c>
      <c r="M282" s="2" t="str">
        <f>IFERROR(_xlfn.LET(_xlpm.x,VLOOKUP($A282,'[1]Markings Threadings'!$B$3:$L$245,7,0),IF(_xlpm.x=0,"",_xlpm.x)),"")</f>
        <v/>
      </c>
      <c r="N282" s="5" t="str">
        <f>IFERROR(_xlfn.LET(_xlpm.x,VLOOKUP($A282,'[1]Markings Threadings'!$B$3:$L$245,8,0),IF(_xlpm.x=0,"",_xlpm.x)),"")</f>
        <v/>
      </c>
      <c r="O282" s="2" t="str">
        <f>IFERROR(_xlfn.LET(_xlpm.x,VLOOKUP($A282,'[1]Markings Threadings'!$B$3:$L$245,10,0),IF(_xlpm.x=0,"",_xlpm.x)),"")</f>
        <v/>
      </c>
      <c r="P282" s="5" t="str">
        <f>IFERROR(_xlfn.LET(_xlpm.x,VLOOKUP($A282,'[1]Markings Threadings'!$B$3:$L$245,11,0),IF(_xlpm.x=0,"",_xlpm.x)),"")</f>
        <v/>
      </c>
      <c r="Q282" s="1" t="str">
        <f>IFERROR(_xlfn.LET(_xlpm.x,VLOOKUP($A282,'[1]Markings Threadings'!$B$3:$L$245,4,0),IF(_xlpm.x=0,"",_xlpm.x)),"")</f>
        <v/>
      </c>
      <c r="R282" s="1" t="str">
        <f>IFERROR(_xlfn.LET(_xlpm.x,VLOOKUP($A282,'[1]Markings Threadings'!$B$3:$L$245,5,0),IF(_xlpm.x=0,"",_xlpm.x)),"")</f>
        <v/>
      </c>
      <c r="S282" s="1" t="str">
        <f>IFERROR(_xlfn.LET(_xlpm.x,VLOOKUP($A282,'[1]Markings Threadings'!$B$3:$L$245,6,0),IF(_xlpm.x=0,"",_xlpm.x)),"")</f>
        <v/>
      </c>
      <c r="T282" s="6">
        <f>IFERROR(_xlfn.LET(_xlpm.x,VLOOKUP($C282,[1]Summary!$A$2:$J$118,4,0),IF(_xlpm.x=0,"",_xlpm.x)),"")</f>
        <v>20.223424719101121</v>
      </c>
      <c r="U282" s="6">
        <f>IFERROR(_xlfn.LET(_xlpm.x,VLOOKUP($C282,[1]Summary!$A$2:$J$118,5,0),IF(_xlpm.x=0,"",_xlpm.x)),"")</f>
        <v>20.152829595667814</v>
      </c>
      <c r="V282" s="6" t="str">
        <f>IFERROR(_xlfn.LET(_xlpm.x,VLOOKUP($C282,[1]Summary!$A$2:$J$118,6,0),IF(_xlpm.x=0,"",_xlpm.x)),"")</f>
        <v/>
      </c>
      <c r="W282" s="6" t="str">
        <f>IFERROR(_xlfn.LET(_xlpm.x,VLOOKUP($C282,[1]Summary!$A$2:$J$118,7,0),IF(_xlpm.x=0,"",_xlpm.x)),"")</f>
        <v/>
      </c>
      <c r="X282" s="6" t="str">
        <f>IFERROR(_xlfn.LET(_xlpm.x,VLOOKUP($C282,[1]Summary!$A$2:$J$118,8,0),IF(_xlpm.x=0,"",_xlpm.x)),"")</f>
        <v/>
      </c>
      <c r="Y282" s="6" t="str">
        <f>IFERROR(_xlfn.LET(_xlpm.x,VLOOKUP($C282,[1]Summary!$A$2:$J$118,9,0),IF(_xlpm.x=0,"",_xlpm.x)),"")</f>
        <v/>
      </c>
      <c r="Z282" s="6" t="str">
        <f>IFERROR(_xlfn.LET(_xlpm.x,VLOOKUP($C282,[1]Summary!$A$2:$J$118,10,0),IF(_xlpm.x=0,"",_xlpm.x)),"")</f>
        <v/>
      </c>
    </row>
    <row r="283" spans="1:26" x14ac:dyDescent="0.25">
      <c r="A283" s="2">
        <v>1000000003554</v>
      </c>
      <c r="B283" s="5" t="s">
        <v>515</v>
      </c>
      <c r="C283" s="2">
        <v>3000000000607</v>
      </c>
      <c r="D283" s="5" t="s">
        <v>516</v>
      </c>
      <c r="E283" s="1">
        <v>4</v>
      </c>
      <c r="F283" s="1" t="s">
        <v>28</v>
      </c>
      <c r="G283" s="1">
        <v>4</v>
      </c>
      <c r="H283" s="1">
        <v>1.5</v>
      </c>
      <c r="I283" s="1">
        <v>1.5</v>
      </c>
      <c r="J283" s="1"/>
      <c r="K283" s="1">
        <v>22.679600000000001</v>
      </c>
      <c r="L283" s="1" t="str">
        <f>IFERROR(_xlfn.LET(_xlpm.x,VLOOKUP($A283,'[1]Markings Threadings'!$B$3:$L$245,3,0),IF(_xlpm.x=0,"",_xlpm.x)),"")</f>
        <v/>
      </c>
      <c r="M283" s="2" t="str">
        <f>IFERROR(_xlfn.LET(_xlpm.x,VLOOKUP($A283,'[1]Markings Threadings'!$B$3:$L$245,7,0),IF(_xlpm.x=0,"",_xlpm.x)),"")</f>
        <v/>
      </c>
      <c r="N283" s="5" t="str">
        <f>IFERROR(_xlfn.LET(_xlpm.x,VLOOKUP($A283,'[1]Markings Threadings'!$B$3:$L$245,8,0),IF(_xlpm.x=0,"",_xlpm.x)),"")</f>
        <v/>
      </c>
      <c r="O283" s="2" t="str">
        <f>IFERROR(_xlfn.LET(_xlpm.x,VLOOKUP($A283,'[1]Markings Threadings'!$B$3:$L$245,10,0),IF(_xlpm.x=0,"",_xlpm.x)),"")</f>
        <v/>
      </c>
      <c r="P283" s="5" t="str">
        <f>IFERROR(_xlfn.LET(_xlpm.x,VLOOKUP($A283,'[1]Markings Threadings'!$B$3:$L$245,11,0),IF(_xlpm.x=0,"",_xlpm.x)),"")</f>
        <v/>
      </c>
      <c r="Q283" s="1" t="str">
        <f>IFERROR(_xlfn.LET(_xlpm.x,VLOOKUP($A283,'[1]Markings Threadings'!$B$3:$L$245,4,0),IF(_xlpm.x=0,"",_xlpm.x)),"")</f>
        <v/>
      </c>
      <c r="R283" s="1" t="str">
        <f>IFERROR(_xlfn.LET(_xlpm.x,VLOOKUP($A283,'[1]Markings Threadings'!$B$3:$L$245,5,0),IF(_xlpm.x=0,"",_xlpm.x)),"")</f>
        <v/>
      </c>
      <c r="S283" s="1" t="str">
        <f>IFERROR(_xlfn.LET(_xlpm.x,VLOOKUP($A283,'[1]Markings Threadings'!$B$3:$L$245,6,0),IF(_xlpm.x=0,"",_xlpm.x)),"")</f>
        <v/>
      </c>
      <c r="T283" s="6" t="str">
        <f>IFERROR(_xlfn.LET(_xlpm.x,VLOOKUP($C283,[1]Summary!$A$2:$J$118,4,0),IF(_xlpm.x=0,"",_xlpm.x)),"")</f>
        <v/>
      </c>
      <c r="U283" s="6" t="str">
        <f>IFERROR(_xlfn.LET(_xlpm.x,VLOOKUP($C283,[1]Summary!$A$2:$J$118,5,0),IF(_xlpm.x=0,"",_xlpm.x)),"")</f>
        <v/>
      </c>
      <c r="V283" s="6">
        <f>IFERROR(_xlfn.LET(_xlpm.x,VLOOKUP($C283,[1]Summary!$A$2:$J$118,6,0),IF(_xlpm.x=0,"",_xlpm.x)),"")</f>
        <v>6.4433175048231517</v>
      </c>
      <c r="W283" s="6" t="str">
        <f>IFERROR(_xlfn.LET(_xlpm.x,VLOOKUP($C283,[1]Summary!$A$2:$J$118,7,0),IF(_xlpm.x=0,"",_xlpm.x)),"")</f>
        <v/>
      </c>
      <c r="X283" s="6" t="str">
        <f>IFERROR(_xlfn.LET(_xlpm.x,VLOOKUP($C283,[1]Summary!$A$2:$J$118,8,0),IF(_xlpm.x=0,"",_xlpm.x)),"")</f>
        <v/>
      </c>
      <c r="Y283" s="6">
        <f>IFERROR(_xlfn.LET(_xlpm.x,VLOOKUP($C283,[1]Summary!$A$2:$J$118,9,0),IF(_xlpm.x=0,"",_xlpm.x)),"")</f>
        <v>6.1153110743801644</v>
      </c>
      <c r="Z283" s="6" t="str">
        <f>IFERROR(_xlfn.LET(_xlpm.x,VLOOKUP($C283,[1]Summary!$A$2:$J$118,10,0),IF(_xlpm.x=0,"",_xlpm.x)),"")</f>
        <v/>
      </c>
    </row>
    <row r="284" spans="1:26" x14ac:dyDescent="0.25">
      <c r="A284" s="2">
        <v>1000000003555</v>
      </c>
      <c r="B284" s="5" t="s">
        <v>517</v>
      </c>
      <c r="C284" s="2">
        <v>3000000000609</v>
      </c>
      <c r="D284" s="5" t="s">
        <v>518</v>
      </c>
      <c r="E284" s="1">
        <v>4</v>
      </c>
      <c r="F284" s="1" t="s">
        <v>28</v>
      </c>
      <c r="G284" s="1">
        <v>4</v>
      </c>
      <c r="H284" s="1">
        <v>1.5</v>
      </c>
      <c r="I284" s="1">
        <v>1.5</v>
      </c>
      <c r="J284" s="1"/>
      <c r="K284" s="1">
        <v>22.679600000000001</v>
      </c>
      <c r="L284" s="1" t="str">
        <f>IFERROR(_xlfn.LET(_xlpm.x,VLOOKUP($A284,'[1]Markings Threadings'!$B$3:$L$245,3,0),IF(_xlpm.x=0,"",_xlpm.x)),"")</f>
        <v/>
      </c>
      <c r="M284" s="2" t="str">
        <f>IFERROR(_xlfn.LET(_xlpm.x,VLOOKUP($A284,'[1]Markings Threadings'!$B$3:$L$245,7,0),IF(_xlpm.x=0,"",_xlpm.x)),"")</f>
        <v/>
      </c>
      <c r="N284" s="5" t="str">
        <f>IFERROR(_xlfn.LET(_xlpm.x,VLOOKUP($A284,'[1]Markings Threadings'!$B$3:$L$245,8,0),IF(_xlpm.x=0,"",_xlpm.x)),"")</f>
        <v/>
      </c>
      <c r="O284" s="2" t="str">
        <f>IFERROR(_xlfn.LET(_xlpm.x,VLOOKUP($A284,'[1]Markings Threadings'!$B$3:$L$245,10,0),IF(_xlpm.x=0,"",_xlpm.x)),"")</f>
        <v/>
      </c>
      <c r="P284" s="5" t="str">
        <f>IFERROR(_xlfn.LET(_xlpm.x,VLOOKUP($A284,'[1]Markings Threadings'!$B$3:$L$245,11,0),IF(_xlpm.x=0,"",_xlpm.x)),"")</f>
        <v/>
      </c>
      <c r="Q284" s="1" t="str">
        <f>IFERROR(_xlfn.LET(_xlpm.x,VLOOKUP($A284,'[1]Markings Threadings'!$B$3:$L$245,4,0),IF(_xlpm.x=0,"",_xlpm.x)),"")</f>
        <v/>
      </c>
      <c r="R284" s="1" t="str">
        <f>IFERROR(_xlfn.LET(_xlpm.x,VLOOKUP($A284,'[1]Markings Threadings'!$B$3:$L$245,5,0),IF(_xlpm.x=0,"",_xlpm.x)),"")</f>
        <v/>
      </c>
      <c r="S284" s="1" t="str">
        <f>IFERROR(_xlfn.LET(_xlpm.x,VLOOKUP($A284,'[1]Markings Threadings'!$B$3:$L$245,6,0),IF(_xlpm.x=0,"",_xlpm.x)),"")</f>
        <v/>
      </c>
      <c r="T284" s="6" t="str">
        <f>IFERROR(_xlfn.LET(_xlpm.x,VLOOKUP($C284,[1]Summary!$A$2:$J$118,4,0),IF(_xlpm.x=0,"",_xlpm.x)),"")</f>
        <v/>
      </c>
      <c r="U284" s="6" t="str">
        <f>IFERROR(_xlfn.LET(_xlpm.x,VLOOKUP($C284,[1]Summary!$A$2:$J$118,5,0),IF(_xlpm.x=0,"",_xlpm.x)),"")</f>
        <v/>
      </c>
      <c r="V284" s="6">
        <f>IFERROR(_xlfn.LET(_xlpm.x,VLOOKUP($C284,[1]Summary!$A$2:$J$118,6,0),IF(_xlpm.x=0,"",_xlpm.x)),"")</f>
        <v>6.2064993103448174</v>
      </c>
      <c r="W284" s="6" t="str">
        <f>IFERROR(_xlfn.LET(_xlpm.x,VLOOKUP($C284,[1]Summary!$A$2:$J$118,7,0),IF(_xlpm.x=0,"",_xlpm.x)),"")</f>
        <v/>
      </c>
      <c r="X284" s="6" t="str">
        <f>IFERROR(_xlfn.LET(_xlpm.x,VLOOKUP($C284,[1]Summary!$A$2:$J$118,8,0),IF(_xlpm.x=0,"",_xlpm.x)),"")</f>
        <v/>
      </c>
      <c r="Y284" s="6">
        <f>IFERROR(_xlfn.LET(_xlpm.x,VLOOKUP($C284,[1]Summary!$A$2:$J$118,9,0),IF(_xlpm.x=0,"",_xlpm.x)),"")</f>
        <v>6.0919177846153874</v>
      </c>
      <c r="Z284" s="6" t="str">
        <f>IFERROR(_xlfn.LET(_xlpm.x,VLOOKUP($C284,[1]Summary!$A$2:$J$118,10,0),IF(_xlpm.x=0,"",_xlpm.x)),"")</f>
        <v/>
      </c>
    </row>
    <row r="285" spans="1:26" x14ac:dyDescent="0.25">
      <c r="A285" s="2">
        <v>1000000003556</v>
      </c>
      <c r="B285" s="5" t="s">
        <v>519</v>
      </c>
      <c r="C285" s="2">
        <v>3000000000393</v>
      </c>
      <c r="D285" s="5" t="s">
        <v>46</v>
      </c>
      <c r="E285" s="1">
        <v>4</v>
      </c>
      <c r="F285" s="1" t="s">
        <v>47</v>
      </c>
      <c r="G285" s="1">
        <v>4</v>
      </c>
      <c r="H285" s="1">
        <v>2</v>
      </c>
      <c r="I285" s="1">
        <v>2</v>
      </c>
      <c r="J285" s="1"/>
      <c r="K285" s="1">
        <v>22.679600000000001</v>
      </c>
      <c r="L285" s="1" t="str">
        <f>IFERROR(_xlfn.LET(_xlpm.x,VLOOKUP($A285,'[1]Markings Threadings'!$B$3:$L$245,3,0),IF(_xlpm.x=0,"",_xlpm.x)),"")</f>
        <v/>
      </c>
      <c r="M285" s="2" t="str">
        <f>IFERROR(_xlfn.LET(_xlpm.x,VLOOKUP($A285,'[1]Markings Threadings'!$B$3:$L$245,7,0),IF(_xlpm.x=0,"",_xlpm.x)),"")</f>
        <v/>
      </c>
      <c r="N285" s="5" t="str">
        <f>IFERROR(_xlfn.LET(_xlpm.x,VLOOKUP($A285,'[1]Markings Threadings'!$B$3:$L$245,8,0),IF(_xlpm.x=0,"",_xlpm.x)),"")</f>
        <v/>
      </c>
      <c r="O285" s="2" t="str">
        <f>IFERROR(_xlfn.LET(_xlpm.x,VLOOKUP($A285,'[1]Markings Threadings'!$B$3:$L$245,10,0),IF(_xlpm.x=0,"",_xlpm.x)),"")</f>
        <v/>
      </c>
      <c r="P285" s="5" t="str">
        <f>IFERROR(_xlfn.LET(_xlpm.x,VLOOKUP($A285,'[1]Markings Threadings'!$B$3:$L$245,11,0),IF(_xlpm.x=0,"",_xlpm.x)),"")</f>
        <v/>
      </c>
      <c r="Q285" s="1" t="str">
        <f>IFERROR(_xlfn.LET(_xlpm.x,VLOOKUP($A285,'[1]Markings Threadings'!$B$3:$L$245,4,0),IF(_xlpm.x=0,"",_xlpm.x)),"")</f>
        <v/>
      </c>
      <c r="R285" s="1" t="str">
        <f>IFERROR(_xlfn.LET(_xlpm.x,VLOOKUP($A285,'[1]Markings Threadings'!$B$3:$L$245,5,0),IF(_xlpm.x=0,"",_xlpm.x)),"")</f>
        <v/>
      </c>
      <c r="S285" s="1" t="str">
        <f>IFERROR(_xlfn.LET(_xlpm.x,VLOOKUP($A285,'[1]Markings Threadings'!$B$3:$L$245,6,0),IF(_xlpm.x=0,"",_xlpm.x)),"")</f>
        <v/>
      </c>
      <c r="T285" s="6" t="str">
        <f>IFERROR(_xlfn.LET(_xlpm.x,VLOOKUP($C285,[1]Summary!$A$2:$J$118,4,0),IF(_xlpm.x=0,"",_xlpm.x)),"")</f>
        <v/>
      </c>
      <c r="U285" s="6" t="str">
        <f>IFERROR(_xlfn.LET(_xlpm.x,VLOOKUP($C285,[1]Summary!$A$2:$J$118,5,0),IF(_xlpm.x=0,"",_xlpm.x)),"")</f>
        <v/>
      </c>
      <c r="V285" s="6" t="str">
        <f>IFERROR(_xlfn.LET(_xlpm.x,VLOOKUP($C285,[1]Summary!$A$2:$J$118,6,0),IF(_xlpm.x=0,"",_xlpm.x)),"")</f>
        <v/>
      </c>
      <c r="W285" s="6">
        <f>IFERROR(_xlfn.LET(_xlpm.x,VLOOKUP($C285,[1]Summary!$A$2:$J$118,7,0),IF(_xlpm.x=0,"",_xlpm.x)),"")</f>
        <v>8.3128253458483758</v>
      </c>
      <c r="X285" s="6" t="str">
        <f>IFERROR(_xlfn.LET(_xlpm.x,VLOOKUP($C285,[1]Summary!$A$2:$J$118,8,0),IF(_xlpm.x=0,"",_xlpm.x)),"")</f>
        <v/>
      </c>
      <c r="Y285" s="6" t="str">
        <f>IFERROR(_xlfn.LET(_xlpm.x,VLOOKUP($C285,[1]Summary!$A$2:$J$118,9,0),IF(_xlpm.x=0,"",_xlpm.x)),"")</f>
        <v/>
      </c>
      <c r="Z285" s="6" t="str">
        <f>IFERROR(_xlfn.LET(_xlpm.x,VLOOKUP($C285,[1]Summary!$A$2:$J$118,10,0),IF(_xlpm.x=0,"",_xlpm.x)),"")</f>
        <v/>
      </c>
    </row>
    <row r="286" spans="1:26" x14ac:dyDescent="0.25">
      <c r="A286" s="2">
        <v>1000000003557</v>
      </c>
      <c r="B286" s="5" t="s">
        <v>520</v>
      </c>
      <c r="C286" s="2">
        <v>3000000000824</v>
      </c>
      <c r="D286" s="5" t="s">
        <v>49</v>
      </c>
      <c r="E286" s="1">
        <v>4</v>
      </c>
      <c r="F286" s="1" t="s">
        <v>47</v>
      </c>
      <c r="G286" s="1">
        <v>4</v>
      </c>
      <c r="H286" s="1">
        <v>2</v>
      </c>
      <c r="I286" s="1">
        <v>2</v>
      </c>
      <c r="J286" s="1"/>
      <c r="K286" s="1">
        <v>22.679600000000001</v>
      </c>
      <c r="L286" s="1" t="str">
        <f>IFERROR(_xlfn.LET(_xlpm.x,VLOOKUP($A286,'[1]Markings Threadings'!$B$3:$L$245,3,0),IF(_xlpm.x=0,"",_xlpm.x)),"")</f>
        <v/>
      </c>
      <c r="M286" s="2" t="str">
        <f>IFERROR(_xlfn.LET(_xlpm.x,VLOOKUP($A286,'[1]Markings Threadings'!$B$3:$L$245,7,0),IF(_xlpm.x=0,"",_xlpm.x)),"")</f>
        <v/>
      </c>
      <c r="N286" s="5" t="str">
        <f>IFERROR(_xlfn.LET(_xlpm.x,VLOOKUP($A286,'[1]Markings Threadings'!$B$3:$L$245,8,0),IF(_xlpm.x=0,"",_xlpm.x)),"")</f>
        <v/>
      </c>
      <c r="O286" s="2" t="str">
        <f>IFERROR(_xlfn.LET(_xlpm.x,VLOOKUP($A286,'[1]Markings Threadings'!$B$3:$L$245,10,0),IF(_xlpm.x=0,"",_xlpm.x)),"")</f>
        <v/>
      </c>
      <c r="P286" s="5" t="str">
        <f>IFERROR(_xlfn.LET(_xlpm.x,VLOOKUP($A286,'[1]Markings Threadings'!$B$3:$L$245,11,0),IF(_xlpm.x=0,"",_xlpm.x)),"")</f>
        <v/>
      </c>
      <c r="Q286" s="1" t="str">
        <f>IFERROR(_xlfn.LET(_xlpm.x,VLOOKUP($A286,'[1]Markings Threadings'!$B$3:$L$245,4,0),IF(_xlpm.x=0,"",_xlpm.x)),"")</f>
        <v/>
      </c>
      <c r="R286" s="1" t="str">
        <f>IFERROR(_xlfn.LET(_xlpm.x,VLOOKUP($A286,'[1]Markings Threadings'!$B$3:$L$245,5,0),IF(_xlpm.x=0,"",_xlpm.x)),"")</f>
        <v/>
      </c>
      <c r="S286" s="1" t="str">
        <f>IFERROR(_xlfn.LET(_xlpm.x,VLOOKUP($A286,'[1]Markings Threadings'!$B$3:$L$245,6,0),IF(_xlpm.x=0,"",_xlpm.x)),"")</f>
        <v/>
      </c>
      <c r="T286" s="6" t="str">
        <f>IFERROR(_xlfn.LET(_xlpm.x,VLOOKUP($C286,[1]Summary!$A$2:$J$118,4,0),IF(_xlpm.x=0,"",_xlpm.x)),"")</f>
        <v/>
      </c>
      <c r="U286" s="6" t="str">
        <f>IFERROR(_xlfn.LET(_xlpm.x,VLOOKUP($C286,[1]Summary!$A$2:$J$118,5,0),IF(_xlpm.x=0,"",_xlpm.x)),"")</f>
        <v/>
      </c>
      <c r="V286" s="6" t="str">
        <f>IFERROR(_xlfn.LET(_xlpm.x,VLOOKUP($C286,[1]Summary!$A$2:$J$118,6,0),IF(_xlpm.x=0,"",_xlpm.x)),"")</f>
        <v/>
      </c>
      <c r="W286" s="6">
        <f>IFERROR(_xlfn.LET(_xlpm.x,VLOOKUP($C286,[1]Summary!$A$2:$J$118,7,0),IF(_xlpm.x=0,"",_xlpm.x)),"")</f>
        <v>7.7475821833234795</v>
      </c>
      <c r="X286" s="6" t="str">
        <f>IFERROR(_xlfn.LET(_xlpm.x,VLOOKUP($C286,[1]Summary!$A$2:$J$118,8,0),IF(_xlpm.x=0,"",_xlpm.x)),"")</f>
        <v/>
      </c>
      <c r="Y286" s="6" t="str">
        <f>IFERROR(_xlfn.LET(_xlpm.x,VLOOKUP($C286,[1]Summary!$A$2:$J$118,9,0),IF(_xlpm.x=0,"",_xlpm.x)),"")</f>
        <v/>
      </c>
      <c r="Z286" s="6" t="str">
        <f>IFERROR(_xlfn.LET(_xlpm.x,VLOOKUP($C286,[1]Summary!$A$2:$J$118,10,0),IF(_xlpm.x=0,"",_xlpm.x)),"")</f>
        <v/>
      </c>
    </row>
    <row r="287" spans="1:26" x14ac:dyDescent="0.25">
      <c r="A287" s="2">
        <v>1000000003558</v>
      </c>
      <c r="B287" s="5" t="s">
        <v>519</v>
      </c>
      <c r="C287" s="2">
        <v>3000000000393</v>
      </c>
      <c r="D287" s="5" t="s">
        <v>46</v>
      </c>
      <c r="E287" s="1">
        <v>4</v>
      </c>
      <c r="F287" s="1" t="s">
        <v>47</v>
      </c>
      <c r="G287" s="1">
        <v>4</v>
      </c>
      <c r="H287" s="1">
        <v>2</v>
      </c>
      <c r="I287" s="1">
        <v>2</v>
      </c>
      <c r="J287" s="1"/>
      <c r="K287" s="1">
        <v>22.679600000000001</v>
      </c>
      <c r="L287" s="1" t="str">
        <f>IFERROR(_xlfn.LET(_xlpm.x,VLOOKUP($A287,'[1]Markings Threadings'!$B$3:$L$245,3,0),IF(_xlpm.x=0,"",_xlpm.x)),"")</f>
        <v/>
      </c>
      <c r="M287" s="2" t="str">
        <f>IFERROR(_xlfn.LET(_xlpm.x,VLOOKUP($A287,'[1]Markings Threadings'!$B$3:$L$245,7,0),IF(_xlpm.x=0,"",_xlpm.x)),"")</f>
        <v/>
      </c>
      <c r="N287" s="5" t="str">
        <f>IFERROR(_xlfn.LET(_xlpm.x,VLOOKUP($A287,'[1]Markings Threadings'!$B$3:$L$245,8,0),IF(_xlpm.x=0,"",_xlpm.x)),"")</f>
        <v/>
      </c>
      <c r="O287" s="2" t="str">
        <f>IFERROR(_xlfn.LET(_xlpm.x,VLOOKUP($A287,'[1]Markings Threadings'!$B$3:$L$245,10,0),IF(_xlpm.x=0,"",_xlpm.x)),"")</f>
        <v/>
      </c>
      <c r="P287" s="5" t="str">
        <f>IFERROR(_xlfn.LET(_xlpm.x,VLOOKUP($A287,'[1]Markings Threadings'!$B$3:$L$245,11,0),IF(_xlpm.x=0,"",_xlpm.x)),"")</f>
        <v/>
      </c>
      <c r="Q287" s="1" t="str">
        <f>IFERROR(_xlfn.LET(_xlpm.x,VLOOKUP($A287,'[1]Markings Threadings'!$B$3:$L$245,4,0),IF(_xlpm.x=0,"",_xlpm.x)),"")</f>
        <v/>
      </c>
      <c r="R287" s="1" t="str">
        <f>IFERROR(_xlfn.LET(_xlpm.x,VLOOKUP($A287,'[1]Markings Threadings'!$B$3:$L$245,5,0),IF(_xlpm.x=0,"",_xlpm.x)),"")</f>
        <v/>
      </c>
      <c r="S287" s="1" t="str">
        <f>IFERROR(_xlfn.LET(_xlpm.x,VLOOKUP($A287,'[1]Markings Threadings'!$B$3:$L$245,6,0),IF(_xlpm.x=0,"",_xlpm.x)),"")</f>
        <v/>
      </c>
      <c r="T287" s="6" t="str">
        <f>IFERROR(_xlfn.LET(_xlpm.x,VLOOKUP($C287,[1]Summary!$A$2:$J$118,4,0),IF(_xlpm.x=0,"",_xlpm.x)),"")</f>
        <v/>
      </c>
      <c r="U287" s="6" t="str">
        <f>IFERROR(_xlfn.LET(_xlpm.x,VLOOKUP($C287,[1]Summary!$A$2:$J$118,5,0),IF(_xlpm.x=0,"",_xlpm.x)),"")</f>
        <v/>
      </c>
      <c r="V287" s="6" t="str">
        <f>IFERROR(_xlfn.LET(_xlpm.x,VLOOKUP($C287,[1]Summary!$A$2:$J$118,6,0),IF(_xlpm.x=0,"",_xlpm.x)),"")</f>
        <v/>
      </c>
      <c r="W287" s="6">
        <f>IFERROR(_xlfn.LET(_xlpm.x,VLOOKUP($C287,[1]Summary!$A$2:$J$118,7,0),IF(_xlpm.x=0,"",_xlpm.x)),"")</f>
        <v>8.3128253458483758</v>
      </c>
      <c r="X287" s="6" t="str">
        <f>IFERROR(_xlfn.LET(_xlpm.x,VLOOKUP($C287,[1]Summary!$A$2:$J$118,8,0),IF(_xlpm.x=0,"",_xlpm.x)),"")</f>
        <v/>
      </c>
      <c r="Y287" s="6" t="str">
        <f>IFERROR(_xlfn.LET(_xlpm.x,VLOOKUP($C287,[1]Summary!$A$2:$J$118,9,0),IF(_xlpm.x=0,"",_xlpm.x)),"")</f>
        <v/>
      </c>
      <c r="Z287" s="6" t="str">
        <f>IFERROR(_xlfn.LET(_xlpm.x,VLOOKUP($C287,[1]Summary!$A$2:$J$118,10,0),IF(_xlpm.x=0,"",_xlpm.x)),"")</f>
        <v/>
      </c>
    </row>
    <row r="288" spans="1:26" x14ac:dyDescent="0.25">
      <c r="A288" s="2">
        <v>1000000003559</v>
      </c>
      <c r="B288" s="5" t="s">
        <v>521</v>
      </c>
      <c r="C288" s="2">
        <v>3000000000826</v>
      </c>
      <c r="D288" s="5" t="s">
        <v>53</v>
      </c>
      <c r="E288" s="1">
        <v>4</v>
      </c>
      <c r="F288" s="1" t="s">
        <v>54</v>
      </c>
      <c r="G288" s="1">
        <v>4</v>
      </c>
      <c r="H288" s="1">
        <v>2</v>
      </c>
      <c r="I288" s="1">
        <v>2</v>
      </c>
      <c r="J288" s="1"/>
      <c r="K288" s="1">
        <v>22.679600000000001</v>
      </c>
      <c r="L288" s="1" t="str">
        <f>IFERROR(_xlfn.LET(_xlpm.x,VLOOKUP($A288,'[1]Markings Threadings'!$B$3:$L$245,3,0),IF(_xlpm.x=0,"",_xlpm.x)),"")</f>
        <v/>
      </c>
      <c r="M288" s="2" t="str">
        <f>IFERROR(_xlfn.LET(_xlpm.x,VLOOKUP($A288,'[1]Markings Threadings'!$B$3:$L$245,7,0),IF(_xlpm.x=0,"",_xlpm.x)),"")</f>
        <v/>
      </c>
      <c r="N288" s="5" t="str">
        <f>IFERROR(_xlfn.LET(_xlpm.x,VLOOKUP($A288,'[1]Markings Threadings'!$B$3:$L$245,8,0),IF(_xlpm.x=0,"",_xlpm.x)),"")</f>
        <v/>
      </c>
      <c r="O288" s="2" t="str">
        <f>IFERROR(_xlfn.LET(_xlpm.x,VLOOKUP($A288,'[1]Markings Threadings'!$B$3:$L$245,10,0),IF(_xlpm.x=0,"",_xlpm.x)),"")</f>
        <v/>
      </c>
      <c r="P288" s="5" t="str">
        <f>IFERROR(_xlfn.LET(_xlpm.x,VLOOKUP($A288,'[1]Markings Threadings'!$B$3:$L$245,11,0),IF(_xlpm.x=0,"",_xlpm.x)),"")</f>
        <v/>
      </c>
      <c r="Q288" s="1" t="str">
        <f>IFERROR(_xlfn.LET(_xlpm.x,VLOOKUP($A288,'[1]Markings Threadings'!$B$3:$L$245,4,0),IF(_xlpm.x=0,"",_xlpm.x)),"")</f>
        <v/>
      </c>
      <c r="R288" s="1" t="str">
        <f>IFERROR(_xlfn.LET(_xlpm.x,VLOOKUP($A288,'[1]Markings Threadings'!$B$3:$L$245,5,0),IF(_xlpm.x=0,"",_xlpm.x)),"")</f>
        <v/>
      </c>
      <c r="S288" s="1" t="str">
        <f>IFERROR(_xlfn.LET(_xlpm.x,VLOOKUP($A288,'[1]Markings Threadings'!$B$3:$L$245,6,0),IF(_xlpm.x=0,"",_xlpm.x)),"")</f>
        <v/>
      </c>
      <c r="T288" s="6" t="str">
        <f>IFERROR(_xlfn.LET(_xlpm.x,VLOOKUP($C288,[1]Summary!$A$2:$J$118,4,0),IF(_xlpm.x=0,"",_xlpm.x)),"")</f>
        <v/>
      </c>
      <c r="U288" s="6" t="str">
        <f>IFERROR(_xlfn.LET(_xlpm.x,VLOOKUP($C288,[1]Summary!$A$2:$J$118,5,0),IF(_xlpm.x=0,"",_xlpm.x)),"")</f>
        <v/>
      </c>
      <c r="V288" s="6" t="str">
        <f>IFERROR(_xlfn.LET(_xlpm.x,VLOOKUP($C288,[1]Summary!$A$2:$J$118,6,0),IF(_xlpm.x=0,"",_xlpm.x)),"")</f>
        <v/>
      </c>
      <c r="W288" s="6" t="str">
        <f>IFERROR(_xlfn.LET(_xlpm.x,VLOOKUP($C288,[1]Summary!$A$2:$J$118,7,0),IF(_xlpm.x=0,"",_xlpm.x)),"")</f>
        <v/>
      </c>
      <c r="X288" s="6" t="str">
        <f>IFERROR(_xlfn.LET(_xlpm.x,VLOOKUP($C288,[1]Summary!$A$2:$J$118,8,0),IF(_xlpm.x=0,"",_xlpm.x)),"")</f>
        <v/>
      </c>
      <c r="Y288" s="6" t="str">
        <f>IFERROR(_xlfn.LET(_xlpm.x,VLOOKUP($C288,[1]Summary!$A$2:$J$118,9,0),IF(_xlpm.x=0,"",_xlpm.x)),"")</f>
        <v/>
      </c>
      <c r="Z288" s="6" t="str">
        <f>IFERROR(_xlfn.LET(_xlpm.x,VLOOKUP($C288,[1]Summary!$A$2:$J$118,10,0),IF(_xlpm.x=0,"",_xlpm.x)),"")</f>
        <v/>
      </c>
    </row>
    <row r="289" spans="1:26" x14ac:dyDescent="0.25">
      <c r="A289" s="2">
        <v>1000000003560</v>
      </c>
      <c r="B289" s="5" t="s">
        <v>522</v>
      </c>
      <c r="C289" s="2">
        <v>3000000000397</v>
      </c>
      <c r="D289" s="5" t="s">
        <v>169</v>
      </c>
      <c r="E289" s="1">
        <v>4</v>
      </c>
      <c r="F289" s="1" t="s">
        <v>67</v>
      </c>
      <c r="G289" s="1">
        <v>4</v>
      </c>
      <c r="H289" s="1">
        <v>2</v>
      </c>
      <c r="I289" s="1">
        <v>2</v>
      </c>
      <c r="J289" s="1"/>
      <c r="K289" s="1">
        <v>22.679600000000001</v>
      </c>
      <c r="L289" s="1" t="str">
        <f>IFERROR(_xlfn.LET(_xlpm.x,VLOOKUP($A289,'[1]Markings Threadings'!$B$3:$L$245,3,0),IF(_xlpm.x=0,"",_xlpm.x)),"")</f>
        <v/>
      </c>
      <c r="M289" s="2" t="str">
        <f>IFERROR(_xlfn.LET(_xlpm.x,VLOOKUP($A289,'[1]Markings Threadings'!$B$3:$L$245,7,0),IF(_xlpm.x=0,"",_xlpm.x)),"")</f>
        <v/>
      </c>
      <c r="N289" s="5" t="str">
        <f>IFERROR(_xlfn.LET(_xlpm.x,VLOOKUP($A289,'[1]Markings Threadings'!$B$3:$L$245,8,0),IF(_xlpm.x=0,"",_xlpm.x)),"")</f>
        <v/>
      </c>
      <c r="O289" s="2" t="str">
        <f>IFERROR(_xlfn.LET(_xlpm.x,VLOOKUP($A289,'[1]Markings Threadings'!$B$3:$L$245,10,0),IF(_xlpm.x=0,"",_xlpm.x)),"")</f>
        <v/>
      </c>
      <c r="P289" s="5" t="str">
        <f>IFERROR(_xlfn.LET(_xlpm.x,VLOOKUP($A289,'[1]Markings Threadings'!$B$3:$L$245,11,0),IF(_xlpm.x=0,"",_xlpm.x)),"")</f>
        <v/>
      </c>
      <c r="Q289" s="1" t="str">
        <f>IFERROR(_xlfn.LET(_xlpm.x,VLOOKUP($A289,'[1]Markings Threadings'!$B$3:$L$245,4,0),IF(_xlpm.x=0,"",_xlpm.x)),"")</f>
        <v/>
      </c>
      <c r="R289" s="1" t="str">
        <f>IFERROR(_xlfn.LET(_xlpm.x,VLOOKUP($A289,'[1]Markings Threadings'!$B$3:$L$245,5,0),IF(_xlpm.x=0,"",_xlpm.x)),"")</f>
        <v/>
      </c>
      <c r="S289" s="1" t="str">
        <f>IFERROR(_xlfn.LET(_xlpm.x,VLOOKUP($A289,'[1]Markings Threadings'!$B$3:$L$245,6,0),IF(_xlpm.x=0,"",_xlpm.x)),"")</f>
        <v/>
      </c>
      <c r="T289" s="6" t="str">
        <f>IFERROR(_xlfn.LET(_xlpm.x,VLOOKUP($C289,[1]Summary!$A$2:$J$118,4,0),IF(_xlpm.x=0,"",_xlpm.x)),"")</f>
        <v/>
      </c>
      <c r="U289" s="6" t="str">
        <f>IFERROR(_xlfn.LET(_xlpm.x,VLOOKUP($C289,[1]Summary!$A$2:$J$118,5,0),IF(_xlpm.x=0,"",_xlpm.x)),"")</f>
        <v/>
      </c>
      <c r="V289" s="6">
        <f>IFERROR(_xlfn.LET(_xlpm.x,VLOOKUP($C289,[1]Summary!$A$2:$J$118,6,0),IF(_xlpm.x=0,"",_xlpm.x)),"")</f>
        <v>7.1647390389536545</v>
      </c>
      <c r="W289" s="6">
        <f>IFERROR(_xlfn.LET(_xlpm.x,VLOOKUP($C289,[1]Summary!$A$2:$J$118,7,0),IF(_xlpm.x=0,"",_xlpm.x)),"")</f>
        <v>7.8445342372881344</v>
      </c>
      <c r="X289" s="6" t="str">
        <f>IFERROR(_xlfn.LET(_xlpm.x,VLOOKUP($C289,[1]Summary!$A$2:$J$118,8,0),IF(_xlpm.x=0,"",_xlpm.x)),"")</f>
        <v/>
      </c>
      <c r="Y289" s="6">
        <f>IFERROR(_xlfn.LET(_xlpm.x,VLOOKUP($C289,[1]Summary!$A$2:$J$118,9,0),IF(_xlpm.x=0,"",_xlpm.x)),"")</f>
        <v>6.9909565616045821</v>
      </c>
      <c r="Z289" s="6" t="str">
        <f>IFERROR(_xlfn.LET(_xlpm.x,VLOOKUP($C289,[1]Summary!$A$2:$J$118,10,0),IF(_xlpm.x=0,"",_xlpm.x)),"")</f>
        <v/>
      </c>
    </row>
    <row r="290" spans="1:26" x14ac:dyDescent="0.25">
      <c r="A290" s="2">
        <v>1000000003561</v>
      </c>
      <c r="B290" s="5" t="s">
        <v>523</v>
      </c>
      <c r="C290" s="2">
        <v>3000000000391</v>
      </c>
      <c r="D290" s="5" t="s">
        <v>124</v>
      </c>
      <c r="E290" s="1">
        <v>4</v>
      </c>
      <c r="F290" s="1" t="s">
        <v>54</v>
      </c>
      <c r="G290" s="1">
        <v>4</v>
      </c>
      <c r="H290" s="1">
        <v>2</v>
      </c>
      <c r="I290" s="1">
        <v>2</v>
      </c>
      <c r="J290" s="1"/>
      <c r="K290" s="1">
        <v>22.679600000000001</v>
      </c>
      <c r="L290" s="1" t="str">
        <f>IFERROR(_xlfn.LET(_xlpm.x,VLOOKUP($A290,'[1]Markings Threadings'!$B$3:$L$245,3,0),IF(_xlpm.x=0,"",_xlpm.x)),"")</f>
        <v/>
      </c>
      <c r="M290" s="2" t="str">
        <f>IFERROR(_xlfn.LET(_xlpm.x,VLOOKUP($A290,'[1]Markings Threadings'!$B$3:$L$245,7,0),IF(_xlpm.x=0,"",_xlpm.x)),"")</f>
        <v/>
      </c>
      <c r="N290" s="5" t="str">
        <f>IFERROR(_xlfn.LET(_xlpm.x,VLOOKUP($A290,'[1]Markings Threadings'!$B$3:$L$245,8,0),IF(_xlpm.x=0,"",_xlpm.x)),"")</f>
        <v/>
      </c>
      <c r="O290" s="2" t="str">
        <f>IFERROR(_xlfn.LET(_xlpm.x,VLOOKUP($A290,'[1]Markings Threadings'!$B$3:$L$245,10,0),IF(_xlpm.x=0,"",_xlpm.x)),"")</f>
        <v/>
      </c>
      <c r="P290" s="5" t="str">
        <f>IFERROR(_xlfn.LET(_xlpm.x,VLOOKUP($A290,'[1]Markings Threadings'!$B$3:$L$245,11,0),IF(_xlpm.x=0,"",_xlpm.x)),"")</f>
        <v/>
      </c>
      <c r="Q290" s="1" t="str">
        <f>IFERROR(_xlfn.LET(_xlpm.x,VLOOKUP($A290,'[1]Markings Threadings'!$B$3:$L$245,4,0),IF(_xlpm.x=0,"",_xlpm.x)),"")</f>
        <v/>
      </c>
      <c r="R290" s="1" t="str">
        <f>IFERROR(_xlfn.LET(_xlpm.x,VLOOKUP($A290,'[1]Markings Threadings'!$B$3:$L$245,5,0),IF(_xlpm.x=0,"",_xlpm.x)),"")</f>
        <v/>
      </c>
      <c r="S290" s="1" t="str">
        <f>IFERROR(_xlfn.LET(_xlpm.x,VLOOKUP($A290,'[1]Markings Threadings'!$B$3:$L$245,6,0),IF(_xlpm.x=0,"",_xlpm.x)),"")</f>
        <v/>
      </c>
      <c r="T290" s="6" t="str">
        <f>IFERROR(_xlfn.LET(_xlpm.x,VLOOKUP($C290,[1]Summary!$A$2:$J$118,4,0),IF(_xlpm.x=0,"",_xlpm.x)),"")</f>
        <v/>
      </c>
      <c r="U290" s="6" t="str">
        <f>IFERROR(_xlfn.LET(_xlpm.x,VLOOKUP($C290,[1]Summary!$A$2:$J$118,5,0),IF(_xlpm.x=0,"",_xlpm.x)),"")</f>
        <v/>
      </c>
      <c r="V290" s="6" t="str">
        <f>IFERROR(_xlfn.LET(_xlpm.x,VLOOKUP($C290,[1]Summary!$A$2:$J$118,6,0),IF(_xlpm.x=0,"",_xlpm.x)),"")</f>
        <v/>
      </c>
      <c r="W290" s="6">
        <f>IFERROR(_xlfn.LET(_xlpm.x,VLOOKUP($C290,[1]Summary!$A$2:$J$118,7,0),IF(_xlpm.x=0,"",_xlpm.x)),"")</f>
        <v>7.9994880000000101</v>
      </c>
      <c r="X290" s="6" t="str">
        <f>IFERROR(_xlfn.LET(_xlpm.x,VLOOKUP($C290,[1]Summary!$A$2:$J$118,8,0),IF(_xlpm.x=0,"",_xlpm.x)),"")</f>
        <v/>
      </c>
      <c r="Y290" s="6" t="str">
        <f>IFERROR(_xlfn.LET(_xlpm.x,VLOOKUP($C290,[1]Summary!$A$2:$J$118,9,0),IF(_xlpm.x=0,"",_xlpm.x)),"")</f>
        <v/>
      </c>
      <c r="Z290" s="6" t="str">
        <f>IFERROR(_xlfn.LET(_xlpm.x,VLOOKUP($C290,[1]Summary!$A$2:$J$118,10,0),IF(_xlpm.x=0,"",_xlpm.x)),"")</f>
        <v/>
      </c>
    </row>
    <row r="291" spans="1:26" x14ac:dyDescent="0.25">
      <c r="A291" s="2">
        <v>1000000003562</v>
      </c>
      <c r="B291" s="5" t="s">
        <v>524</v>
      </c>
      <c r="C291" s="2">
        <v>3000000000399</v>
      </c>
      <c r="D291" s="5" t="s">
        <v>161</v>
      </c>
      <c r="E291" s="1">
        <v>4</v>
      </c>
      <c r="F291" s="1" t="s">
        <v>54</v>
      </c>
      <c r="G291" s="1">
        <v>4</v>
      </c>
      <c r="H291" s="1">
        <v>2</v>
      </c>
      <c r="I291" s="1">
        <v>2</v>
      </c>
      <c r="J291" s="1"/>
      <c r="K291" s="1">
        <v>22.679600000000001</v>
      </c>
      <c r="L291" s="1" t="str">
        <f>IFERROR(_xlfn.LET(_xlpm.x,VLOOKUP($A291,'[1]Markings Threadings'!$B$3:$L$245,3,0),IF(_xlpm.x=0,"",_xlpm.x)),"")</f>
        <v/>
      </c>
      <c r="M291" s="2" t="str">
        <f>IFERROR(_xlfn.LET(_xlpm.x,VLOOKUP($A291,'[1]Markings Threadings'!$B$3:$L$245,7,0),IF(_xlpm.x=0,"",_xlpm.x)),"")</f>
        <v/>
      </c>
      <c r="N291" s="5" t="str">
        <f>IFERROR(_xlfn.LET(_xlpm.x,VLOOKUP($A291,'[1]Markings Threadings'!$B$3:$L$245,8,0),IF(_xlpm.x=0,"",_xlpm.x)),"")</f>
        <v/>
      </c>
      <c r="O291" s="2" t="str">
        <f>IFERROR(_xlfn.LET(_xlpm.x,VLOOKUP($A291,'[1]Markings Threadings'!$B$3:$L$245,10,0),IF(_xlpm.x=0,"",_xlpm.x)),"")</f>
        <v/>
      </c>
      <c r="P291" s="5" t="str">
        <f>IFERROR(_xlfn.LET(_xlpm.x,VLOOKUP($A291,'[1]Markings Threadings'!$B$3:$L$245,11,0),IF(_xlpm.x=0,"",_xlpm.x)),"")</f>
        <v/>
      </c>
      <c r="Q291" s="1" t="str">
        <f>IFERROR(_xlfn.LET(_xlpm.x,VLOOKUP($A291,'[1]Markings Threadings'!$B$3:$L$245,4,0),IF(_xlpm.x=0,"",_xlpm.x)),"")</f>
        <v/>
      </c>
      <c r="R291" s="1" t="str">
        <f>IFERROR(_xlfn.LET(_xlpm.x,VLOOKUP($A291,'[1]Markings Threadings'!$B$3:$L$245,5,0),IF(_xlpm.x=0,"",_xlpm.x)),"")</f>
        <v/>
      </c>
      <c r="S291" s="1" t="str">
        <f>IFERROR(_xlfn.LET(_xlpm.x,VLOOKUP($A291,'[1]Markings Threadings'!$B$3:$L$245,6,0),IF(_xlpm.x=0,"",_xlpm.x)),"")</f>
        <v/>
      </c>
      <c r="T291" s="6" t="str">
        <f>IFERROR(_xlfn.LET(_xlpm.x,VLOOKUP($C291,[1]Summary!$A$2:$J$118,4,0),IF(_xlpm.x=0,"",_xlpm.x)),"")</f>
        <v/>
      </c>
      <c r="U291" s="6" t="str">
        <f>IFERROR(_xlfn.LET(_xlpm.x,VLOOKUP($C291,[1]Summary!$A$2:$J$118,5,0),IF(_xlpm.x=0,"",_xlpm.x)),"")</f>
        <v/>
      </c>
      <c r="V291" s="6">
        <f>IFERROR(_xlfn.LET(_xlpm.x,VLOOKUP($C291,[1]Summary!$A$2:$J$118,6,0),IF(_xlpm.x=0,"",_xlpm.x)),"")</f>
        <v>7.7236435862068973</v>
      </c>
      <c r="W291" s="6">
        <f>IFERROR(_xlfn.LET(_xlpm.x,VLOOKUP($C291,[1]Summary!$A$2:$J$118,7,0),IF(_xlpm.x=0,"",_xlpm.x)),"")</f>
        <v>8.6042009157667394</v>
      </c>
      <c r="X291" s="6" t="str">
        <f>IFERROR(_xlfn.LET(_xlpm.x,VLOOKUP($C291,[1]Summary!$A$2:$J$118,8,0),IF(_xlpm.x=0,"",_xlpm.x)),"")</f>
        <v/>
      </c>
      <c r="Y291" s="6">
        <f>IFERROR(_xlfn.LET(_xlpm.x,VLOOKUP($C291,[1]Summary!$A$2:$J$118,9,0),IF(_xlpm.x=0,"",_xlpm.x)),"")</f>
        <v>8.0800880784242182</v>
      </c>
      <c r="Z291" s="6" t="str">
        <f>IFERROR(_xlfn.LET(_xlpm.x,VLOOKUP($C291,[1]Summary!$A$2:$J$118,10,0),IF(_xlpm.x=0,"",_xlpm.x)),"")</f>
        <v/>
      </c>
    </row>
    <row r="292" spans="1:26" x14ac:dyDescent="0.25">
      <c r="A292" s="2">
        <v>1000000003563</v>
      </c>
      <c r="B292" s="5" t="s">
        <v>525</v>
      </c>
      <c r="C292" s="2">
        <v>3000000000262</v>
      </c>
      <c r="D292" s="5" t="s">
        <v>526</v>
      </c>
      <c r="E292" s="1">
        <v>4</v>
      </c>
      <c r="F292" s="1" t="s">
        <v>54</v>
      </c>
      <c r="G292" s="1">
        <v>4</v>
      </c>
      <c r="H292" s="1">
        <v>2</v>
      </c>
      <c r="I292" s="1">
        <v>2</v>
      </c>
      <c r="J292" s="1"/>
      <c r="K292" s="1">
        <v>22.679600000000001</v>
      </c>
      <c r="L292" s="1" t="str">
        <f>IFERROR(_xlfn.LET(_xlpm.x,VLOOKUP($A292,'[1]Markings Threadings'!$B$3:$L$245,3,0),IF(_xlpm.x=0,"",_xlpm.x)),"")</f>
        <v/>
      </c>
      <c r="M292" s="2" t="str">
        <f>IFERROR(_xlfn.LET(_xlpm.x,VLOOKUP($A292,'[1]Markings Threadings'!$B$3:$L$245,7,0),IF(_xlpm.x=0,"",_xlpm.x)),"")</f>
        <v/>
      </c>
      <c r="N292" s="5" t="str">
        <f>IFERROR(_xlfn.LET(_xlpm.x,VLOOKUP($A292,'[1]Markings Threadings'!$B$3:$L$245,8,0),IF(_xlpm.x=0,"",_xlpm.x)),"")</f>
        <v/>
      </c>
      <c r="O292" s="2" t="str">
        <f>IFERROR(_xlfn.LET(_xlpm.x,VLOOKUP($A292,'[1]Markings Threadings'!$B$3:$L$245,10,0),IF(_xlpm.x=0,"",_xlpm.x)),"")</f>
        <v/>
      </c>
      <c r="P292" s="5" t="str">
        <f>IFERROR(_xlfn.LET(_xlpm.x,VLOOKUP($A292,'[1]Markings Threadings'!$B$3:$L$245,11,0),IF(_xlpm.x=0,"",_xlpm.x)),"")</f>
        <v/>
      </c>
      <c r="Q292" s="1" t="str">
        <f>IFERROR(_xlfn.LET(_xlpm.x,VLOOKUP($A292,'[1]Markings Threadings'!$B$3:$L$245,4,0),IF(_xlpm.x=0,"",_xlpm.x)),"")</f>
        <v/>
      </c>
      <c r="R292" s="1" t="str">
        <f>IFERROR(_xlfn.LET(_xlpm.x,VLOOKUP($A292,'[1]Markings Threadings'!$B$3:$L$245,5,0),IF(_xlpm.x=0,"",_xlpm.x)),"")</f>
        <v/>
      </c>
      <c r="S292" s="1" t="str">
        <f>IFERROR(_xlfn.LET(_xlpm.x,VLOOKUP($A292,'[1]Markings Threadings'!$B$3:$L$245,6,0),IF(_xlpm.x=0,"",_xlpm.x)),"")</f>
        <v/>
      </c>
      <c r="T292" s="6" t="str">
        <f>IFERROR(_xlfn.LET(_xlpm.x,VLOOKUP($C292,[1]Summary!$A$2:$J$118,4,0),IF(_xlpm.x=0,"",_xlpm.x)),"")</f>
        <v/>
      </c>
      <c r="U292" s="6" t="str">
        <f>IFERROR(_xlfn.LET(_xlpm.x,VLOOKUP($C292,[1]Summary!$A$2:$J$118,5,0),IF(_xlpm.x=0,"",_xlpm.x)),"")</f>
        <v/>
      </c>
      <c r="V292" s="6">
        <f>IFERROR(_xlfn.LET(_xlpm.x,VLOOKUP($C292,[1]Summary!$A$2:$J$118,6,0),IF(_xlpm.x=0,"",_xlpm.x)),"")</f>
        <v>7.4361437746478876</v>
      </c>
      <c r="W292" s="6">
        <f>IFERROR(_xlfn.LET(_xlpm.x,VLOOKUP($C292,[1]Summary!$A$2:$J$118,7,0),IF(_xlpm.x=0,"",_xlpm.x)),"")</f>
        <v>8.2459177251184865</v>
      </c>
      <c r="X292" s="6" t="str">
        <f>IFERROR(_xlfn.LET(_xlpm.x,VLOOKUP($C292,[1]Summary!$A$2:$J$118,8,0),IF(_xlpm.x=0,"",_xlpm.x)),"")</f>
        <v/>
      </c>
      <c r="Y292" s="6">
        <f>IFERROR(_xlfn.LET(_xlpm.x,VLOOKUP($C292,[1]Summary!$A$2:$J$118,9,0),IF(_xlpm.x=0,"",_xlpm.x)),"")</f>
        <v>8.0336009552238803</v>
      </c>
      <c r="Z292" s="6" t="str">
        <f>IFERROR(_xlfn.LET(_xlpm.x,VLOOKUP($C292,[1]Summary!$A$2:$J$118,10,0),IF(_xlpm.x=0,"",_xlpm.x)),"")</f>
        <v/>
      </c>
    </row>
    <row r="293" spans="1:26" x14ac:dyDescent="0.25">
      <c r="A293" s="2">
        <v>1000000003628</v>
      </c>
      <c r="B293" s="5" t="s">
        <v>527</v>
      </c>
      <c r="C293" s="2">
        <v>3000000001942</v>
      </c>
      <c r="D293" s="5" t="s">
        <v>528</v>
      </c>
      <c r="E293" s="1">
        <v>4</v>
      </c>
      <c r="F293" s="1" t="s">
        <v>54</v>
      </c>
      <c r="G293" s="1">
        <v>4</v>
      </c>
      <c r="H293" s="1">
        <v>2</v>
      </c>
      <c r="I293" s="1">
        <v>2</v>
      </c>
      <c r="J293" s="1"/>
      <c r="K293" s="1">
        <v>50</v>
      </c>
      <c r="L293" s="1" t="str">
        <f>IFERROR(_xlfn.LET(_xlpm.x,VLOOKUP($A293,'[1]Markings Threadings'!$B$3:$L$245,3,0),IF(_xlpm.x=0,"",_xlpm.x)),"")</f>
        <v/>
      </c>
      <c r="M293" s="2" t="str">
        <f>IFERROR(_xlfn.LET(_xlpm.x,VLOOKUP($A293,'[1]Markings Threadings'!$B$3:$L$245,7,0),IF(_xlpm.x=0,"",_xlpm.x)),"")</f>
        <v/>
      </c>
      <c r="N293" s="5" t="str">
        <f>IFERROR(_xlfn.LET(_xlpm.x,VLOOKUP($A293,'[1]Markings Threadings'!$B$3:$L$245,8,0),IF(_xlpm.x=0,"",_xlpm.x)),"")</f>
        <v/>
      </c>
      <c r="O293" s="2" t="str">
        <f>IFERROR(_xlfn.LET(_xlpm.x,VLOOKUP($A293,'[1]Markings Threadings'!$B$3:$L$245,10,0),IF(_xlpm.x=0,"",_xlpm.x)),"")</f>
        <v/>
      </c>
      <c r="P293" s="5" t="str">
        <f>IFERROR(_xlfn.LET(_xlpm.x,VLOOKUP($A293,'[1]Markings Threadings'!$B$3:$L$245,11,0),IF(_xlpm.x=0,"",_xlpm.x)),"")</f>
        <v/>
      </c>
      <c r="Q293" s="1" t="str">
        <f>IFERROR(_xlfn.LET(_xlpm.x,VLOOKUP($A293,'[1]Markings Threadings'!$B$3:$L$245,4,0),IF(_xlpm.x=0,"",_xlpm.x)),"")</f>
        <v/>
      </c>
      <c r="R293" s="1" t="str">
        <f>IFERROR(_xlfn.LET(_xlpm.x,VLOOKUP($A293,'[1]Markings Threadings'!$B$3:$L$245,5,0),IF(_xlpm.x=0,"",_xlpm.x)),"")</f>
        <v/>
      </c>
      <c r="S293" s="1" t="str">
        <f>IFERROR(_xlfn.LET(_xlpm.x,VLOOKUP($A293,'[1]Markings Threadings'!$B$3:$L$245,6,0),IF(_xlpm.x=0,"",_xlpm.x)),"")</f>
        <v/>
      </c>
      <c r="T293" s="6" t="str">
        <f>IFERROR(_xlfn.LET(_xlpm.x,VLOOKUP($C293,[1]Summary!$A$2:$J$118,4,0),IF(_xlpm.x=0,"",_xlpm.x)),"")</f>
        <v/>
      </c>
      <c r="U293" s="6" t="str">
        <f>IFERROR(_xlfn.LET(_xlpm.x,VLOOKUP($C293,[1]Summary!$A$2:$J$118,5,0),IF(_xlpm.x=0,"",_xlpm.x)),"")</f>
        <v/>
      </c>
      <c r="V293" s="6" t="str">
        <f>IFERROR(_xlfn.LET(_xlpm.x,VLOOKUP($C293,[1]Summary!$A$2:$J$118,6,0),IF(_xlpm.x=0,"",_xlpm.x)),"")</f>
        <v/>
      </c>
      <c r="W293" s="6" t="str">
        <f>IFERROR(_xlfn.LET(_xlpm.x,VLOOKUP($C293,[1]Summary!$A$2:$J$118,7,0),IF(_xlpm.x=0,"",_xlpm.x)),"")</f>
        <v/>
      </c>
      <c r="X293" s="6" t="str">
        <f>IFERROR(_xlfn.LET(_xlpm.x,VLOOKUP($C293,[1]Summary!$A$2:$J$118,8,0),IF(_xlpm.x=0,"",_xlpm.x)),"")</f>
        <v/>
      </c>
      <c r="Y293" s="6" t="str">
        <f>IFERROR(_xlfn.LET(_xlpm.x,VLOOKUP($C293,[1]Summary!$A$2:$J$118,9,0),IF(_xlpm.x=0,"",_xlpm.x)),"")</f>
        <v/>
      </c>
      <c r="Z293" s="6" t="str">
        <f>IFERROR(_xlfn.LET(_xlpm.x,VLOOKUP($C293,[1]Summary!$A$2:$J$118,10,0),IF(_xlpm.x=0,"",_xlpm.x)),"")</f>
        <v/>
      </c>
    </row>
    <row r="294" spans="1:26" x14ac:dyDescent="0.25">
      <c r="A294" s="2"/>
      <c r="B294" s="5"/>
      <c r="C294" s="2">
        <v>3000000000015</v>
      </c>
      <c r="D294" s="5" t="s">
        <v>529</v>
      </c>
      <c r="E294" s="1"/>
      <c r="F294" s="1" t="s">
        <v>44</v>
      </c>
      <c r="G294" s="1"/>
      <c r="H294" s="1"/>
      <c r="I294" s="1"/>
      <c r="J294" s="1"/>
      <c r="K294" s="1"/>
      <c r="L294" s="1" t="str">
        <f>IFERROR(_xlfn.LET(_xlpm.x,VLOOKUP($A294,'[1]Markings Threadings'!$B$3:$L$245,3,0),IF(_xlpm.x=0,"",_xlpm.x)),"")</f>
        <v/>
      </c>
      <c r="M294" s="2" t="str">
        <f>IFERROR(_xlfn.LET(_xlpm.x,VLOOKUP($A294,'[1]Markings Threadings'!$B$3:$L$245,7,0),IF(_xlpm.x=0,"",_xlpm.x)),"")</f>
        <v/>
      </c>
      <c r="N294" s="5" t="str">
        <f>IFERROR(_xlfn.LET(_xlpm.x,VLOOKUP($A294,'[1]Markings Threadings'!$B$3:$L$245,8,0),IF(_xlpm.x=0,"",_xlpm.x)),"")</f>
        <v/>
      </c>
      <c r="O294" s="2" t="str">
        <f>IFERROR(_xlfn.LET(_xlpm.x,VLOOKUP($A294,'[1]Markings Threadings'!$B$3:$L$245,10,0),IF(_xlpm.x=0,"",_xlpm.x)),"")</f>
        <v/>
      </c>
      <c r="P294" s="5" t="str">
        <f>IFERROR(_xlfn.LET(_xlpm.x,VLOOKUP($A294,'[1]Markings Threadings'!$B$3:$L$245,11,0),IF(_xlpm.x=0,"",_xlpm.x)),"")</f>
        <v/>
      </c>
      <c r="Q294" s="1" t="str">
        <f>IFERROR(_xlfn.LET(_xlpm.x,VLOOKUP($A294,'[1]Markings Threadings'!$B$3:$L$245,4,0),IF(_xlpm.x=0,"",_xlpm.x)),"")</f>
        <v/>
      </c>
      <c r="R294" s="1" t="str">
        <f>IFERROR(_xlfn.LET(_xlpm.x,VLOOKUP($A294,'[1]Markings Threadings'!$B$3:$L$245,5,0),IF(_xlpm.x=0,"",_xlpm.x)),"")</f>
        <v/>
      </c>
      <c r="S294" s="1" t="str">
        <f>IFERROR(_xlfn.LET(_xlpm.x,VLOOKUP($A294,'[1]Markings Threadings'!$B$3:$L$245,6,0),IF(_xlpm.x=0,"",_xlpm.x)),"")</f>
        <v/>
      </c>
      <c r="T294" s="6" t="str">
        <f>IFERROR(_xlfn.LET(_xlpm.x,VLOOKUP($C294,[1]Summary!$A$2:$J$118,4,0),IF(_xlpm.x=0,"",_xlpm.x)),"")</f>
        <v/>
      </c>
      <c r="U294" s="6" t="str">
        <f>IFERROR(_xlfn.LET(_xlpm.x,VLOOKUP($C294,[1]Summary!$A$2:$J$118,5,0),IF(_xlpm.x=0,"",_xlpm.x)),"")</f>
        <v/>
      </c>
      <c r="V294" s="6" t="str">
        <f>IFERROR(_xlfn.LET(_xlpm.x,VLOOKUP($C294,[1]Summary!$A$2:$J$118,6,0),IF(_xlpm.x=0,"",_xlpm.x)),"")</f>
        <v/>
      </c>
      <c r="W294" s="6" t="str">
        <f>IFERROR(_xlfn.LET(_xlpm.x,VLOOKUP($C294,[1]Summary!$A$2:$J$118,7,0),IF(_xlpm.x=0,"",_xlpm.x)),"")</f>
        <v/>
      </c>
      <c r="X294" s="6" t="str">
        <f>IFERROR(_xlfn.LET(_xlpm.x,VLOOKUP($C294,[1]Summary!$A$2:$J$118,8,0),IF(_xlpm.x=0,"",_xlpm.x)),"")</f>
        <v/>
      </c>
      <c r="Y294" s="6" t="str">
        <f>IFERROR(_xlfn.LET(_xlpm.x,VLOOKUP($C294,[1]Summary!$A$2:$J$118,9,0),IF(_xlpm.x=0,"",_xlpm.x)),"")</f>
        <v/>
      </c>
      <c r="Z294" s="6" t="str">
        <f>IFERROR(_xlfn.LET(_xlpm.x,VLOOKUP($C294,[1]Summary!$A$2:$J$118,10,0),IF(_xlpm.x=0,"",_xlpm.x)),"")</f>
        <v/>
      </c>
    </row>
    <row r="295" spans="1:26" x14ac:dyDescent="0.25">
      <c r="A295" s="2"/>
      <c r="B295" s="5"/>
      <c r="C295" s="2">
        <v>3000000000014</v>
      </c>
      <c r="D295" s="5" t="s">
        <v>530</v>
      </c>
      <c r="E295" s="1"/>
      <c r="F295" s="1" t="s">
        <v>44</v>
      </c>
      <c r="G295" s="1"/>
      <c r="H295" s="1"/>
      <c r="I295" s="1"/>
      <c r="J295" s="1"/>
      <c r="K295" s="1"/>
      <c r="L295" s="1" t="str">
        <f>IFERROR(_xlfn.LET(_xlpm.x,VLOOKUP($A295,'[1]Markings Threadings'!$B$3:$L$245,3,0),IF(_xlpm.x=0,"",_xlpm.x)),"")</f>
        <v/>
      </c>
      <c r="M295" s="2" t="str">
        <f>IFERROR(_xlfn.LET(_xlpm.x,VLOOKUP($A295,'[1]Markings Threadings'!$B$3:$L$245,7,0),IF(_xlpm.x=0,"",_xlpm.x)),"")</f>
        <v/>
      </c>
      <c r="N295" s="5" t="str">
        <f>IFERROR(_xlfn.LET(_xlpm.x,VLOOKUP($A295,'[1]Markings Threadings'!$B$3:$L$245,8,0),IF(_xlpm.x=0,"",_xlpm.x)),"")</f>
        <v/>
      </c>
      <c r="O295" s="2" t="str">
        <f>IFERROR(_xlfn.LET(_xlpm.x,VLOOKUP($A295,'[1]Markings Threadings'!$B$3:$L$245,10,0),IF(_xlpm.x=0,"",_xlpm.x)),"")</f>
        <v/>
      </c>
      <c r="P295" s="5" t="str">
        <f>IFERROR(_xlfn.LET(_xlpm.x,VLOOKUP($A295,'[1]Markings Threadings'!$B$3:$L$245,11,0),IF(_xlpm.x=0,"",_xlpm.x)),"")</f>
        <v/>
      </c>
      <c r="Q295" s="1" t="str">
        <f>IFERROR(_xlfn.LET(_xlpm.x,VLOOKUP($A295,'[1]Markings Threadings'!$B$3:$L$245,4,0),IF(_xlpm.x=0,"",_xlpm.x)),"")</f>
        <v/>
      </c>
      <c r="R295" s="1" t="str">
        <f>IFERROR(_xlfn.LET(_xlpm.x,VLOOKUP($A295,'[1]Markings Threadings'!$B$3:$L$245,5,0),IF(_xlpm.x=0,"",_xlpm.x)),"")</f>
        <v/>
      </c>
      <c r="S295" s="1" t="str">
        <f>IFERROR(_xlfn.LET(_xlpm.x,VLOOKUP($A295,'[1]Markings Threadings'!$B$3:$L$245,6,0),IF(_xlpm.x=0,"",_xlpm.x)),"")</f>
        <v/>
      </c>
      <c r="T295" s="6" t="str">
        <f>IFERROR(_xlfn.LET(_xlpm.x,VLOOKUP($C295,[1]Summary!$A$2:$J$118,4,0),IF(_xlpm.x=0,"",_xlpm.x)),"")</f>
        <v/>
      </c>
      <c r="U295" s="6" t="str">
        <f>IFERROR(_xlfn.LET(_xlpm.x,VLOOKUP($C295,[1]Summary!$A$2:$J$118,5,0),IF(_xlpm.x=0,"",_xlpm.x)),"")</f>
        <v/>
      </c>
      <c r="V295" s="6" t="str">
        <f>IFERROR(_xlfn.LET(_xlpm.x,VLOOKUP($C295,[1]Summary!$A$2:$J$118,6,0),IF(_xlpm.x=0,"",_xlpm.x)),"")</f>
        <v/>
      </c>
      <c r="W295" s="6" t="str">
        <f>IFERROR(_xlfn.LET(_xlpm.x,VLOOKUP($C295,[1]Summary!$A$2:$J$118,7,0),IF(_xlpm.x=0,"",_xlpm.x)),"")</f>
        <v/>
      </c>
      <c r="X295" s="6">
        <f>IFERROR(_xlfn.LET(_xlpm.x,VLOOKUP($C295,[1]Summary!$A$2:$J$118,8,0),IF(_xlpm.x=0,"",_xlpm.x)),"")</f>
        <v>7.500000000000008</v>
      </c>
      <c r="Y295" s="6" t="str">
        <f>IFERROR(_xlfn.LET(_xlpm.x,VLOOKUP($C295,[1]Summary!$A$2:$J$118,9,0),IF(_xlpm.x=0,"",_xlpm.x)),"")</f>
        <v/>
      </c>
      <c r="Z295" s="6" t="str">
        <f>IFERROR(_xlfn.LET(_xlpm.x,VLOOKUP($C295,[1]Summary!$A$2:$J$118,10,0),IF(_xlpm.x=0,"",_xlpm.x)),"")</f>
        <v/>
      </c>
    </row>
    <row r="296" spans="1:26" x14ac:dyDescent="0.25">
      <c r="A296" s="2">
        <v>1000000003702</v>
      </c>
      <c r="B296" s="5" t="s">
        <v>531</v>
      </c>
      <c r="C296" s="2">
        <v>3000000001972</v>
      </c>
      <c r="D296" s="5" t="s">
        <v>532</v>
      </c>
      <c r="E296" s="1">
        <v>4</v>
      </c>
      <c r="F296" s="1" t="s">
        <v>54</v>
      </c>
      <c r="G296" s="1">
        <v>4</v>
      </c>
      <c r="H296" s="1">
        <v>2</v>
      </c>
      <c r="I296" s="1">
        <v>2</v>
      </c>
      <c r="J296" s="1"/>
      <c r="K296" s="1">
        <v>50</v>
      </c>
      <c r="L296" s="1" t="str">
        <f>IFERROR(_xlfn.LET(_xlpm.x,VLOOKUP($A296,'[1]Markings Threadings'!$B$3:$L$245,3,0),IF(_xlpm.x=0,"",_xlpm.x)),"")</f>
        <v>White</v>
      </c>
      <c r="M296" s="2">
        <f>IFERROR(_xlfn.LET(_xlpm.x,VLOOKUP($A296,'[1]Markings Threadings'!$B$3:$L$245,7,0),IF(_xlpm.x=0,"",_xlpm.x)),"")</f>
        <v>5000000000561</v>
      </c>
      <c r="N296" s="5" t="str">
        <f>IFERROR(_xlfn.LET(_xlpm.x,VLOOKUP($A296,'[1]Markings Threadings'!$B$3:$L$245,8,0),IF(_xlpm.x=0,"",_xlpm.x)),"")</f>
        <v>v2 - Poultry Solutions Chick Starter, 50</v>
      </c>
      <c r="O296" s="2">
        <f>IFERROR(_xlfn.LET(_xlpm.x,VLOOKUP($A296,'[1]Markings Threadings'!$B$3:$L$245,10,0),IF(_xlpm.x=0,"",_xlpm.x)),"")</f>
        <v>5000000000125</v>
      </c>
      <c r="P296" s="5" t="str">
        <f>IFERROR(_xlfn.LET(_xlpm.x,VLOOKUP($A296,'[1]Markings Threadings'!$B$3:$L$245,11,0),IF(_xlpm.x=0,"",_xlpm.x)),"")</f>
        <v>Tag Poultry Solutions Chick Starter</v>
      </c>
      <c r="Q296" s="1">
        <f>IFERROR(_xlfn.LET(_xlpm.x,VLOOKUP($A296,'[1]Markings Threadings'!$B$3:$L$245,4,0),IF(_xlpm.x=0,"",_xlpm.x)),"")</f>
        <v>3702</v>
      </c>
      <c r="R296" s="1" t="str">
        <f>IFERROR(_xlfn.LET(_xlpm.x,VLOOKUP($A296,'[1]Markings Threadings'!$B$3:$L$245,5,0),IF(_xlpm.x=0,"",_xlpm.x)),"")</f>
        <v/>
      </c>
      <c r="S296" s="1">
        <f>IFERROR(_xlfn.LET(_xlpm.x,VLOOKUP($A296,'[1]Markings Threadings'!$B$3:$L$245,6,0),IF(_xlpm.x=0,"",_xlpm.x)),"")</f>
        <v>15</v>
      </c>
      <c r="T296" s="6" t="str">
        <f>IFERROR(_xlfn.LET(_xlpm.x,VLOOKUP($C296,[1]Summary!$A$2:$J$118,4,0),IF(_xlpm.x=0,"",_xlpm.x)),"")</f>
        <v/>
      </c>
      <c r="U296" s="6" t="str">
        <f>IFERROR(_xlfn.LET(_xlpm.x,VLOOKUP($C296,[1]Summary!$A$2:$J$118,5,0),IF(_xlpm.x=0,"",_xlpm.x)),"")</f>
        <v/>
      </c>
      <c r="V296" s="6" t="str">
        <f>IFERROR(_xlfn.LET(_xlpm.x,VLOOKUP($C296,[1]Summary!$A$2:$J$118,6,0),IF(_xlpm.x=0,"",_xlpm.x)),"")</f>
        <v/>
      </c>
      <c r="W296" s="6">
        <f>IFERROR(_xlfn.LET(_xlpm.x,VLOOKUP($C296,[1]Summary!$A$2:$J$118,7,0),IF(_xlpm.x=0,"",_xlpm.x)),"")</f>
        <v>8.4700461176470636</v>
      </c>
      <c r="X296" s="6" t="str">
        <f>IFERROR(_xlfn.LET(_xlpm.x,VLOOKUP($C296,[1]Summary!$A$2:$J$118,8,0),IF(_xlpm.x=0,"",_xlpm.x)),"")</f>
        <v/>
      </c>
      <c r="Y296" s="6" t="str">
        <f>IFERROR(_xlfn.LET(_xlpm.x,VLOOKUP($C296,[1]Summary!$A$2:$J$118,9,0),IF(_xlpm.x=0,"",_xlpm.x)),"")</f>
        <v/>
      </c>
      <c r="Z296" s="6" t="str">
        <f>IFERROR(_xlfn.LET(_xlpm.x,VLOOKUP($C296,[1]Summary!$A$2:$J$118,10,0),IF(_xlpm.x=0,"",_xlpm.x)),"")</f>
        <v/>
      </c>
    </row>
    <row r="297" spans="1:26" x14ac:dyDescent="0.25">
      <c r="A297" s="2">
        <v>1000000003706</v>
      </c>
      <c r="B297" s="5" t="s">
        <v>533</v>
      </c>
      <c r="C297" s="2">
        <v>3000000001973</v>
      </c>
      <c r="D297" s="5" t="s">
        <v>534</v>
      </c>
      <c r="E297" s="1">
        <v>4</v>
      </c>
      <c r="F297" s="1" t="s">
        <v>54</v>
      </c>
      <c r="G297" s="1">
        <v>4</v>
      </c>
      <c r="H297" s="1">
        <v>2</v>
      </c>
      <c r="I297" s="1">
        <v>2</v>
      </c>
      <c r="J297" s="1"/>
      <c r="K297" s="1">
        <v>50</v>
      </c>
      <c r="L297" s="1" t="str">
        <f>IFERROR(_xlfn.LET(_xlpm.x,VLOOKUP($A297,'[1]Markings Threadings'!$B$3:$L$245,3,0),IF(_xlpm.x=0,"",_xlpm.x)),"")</f>
        <v>Yellow Green</v>
      </c>
      <c r="M297" s="2">
        <f>IFERROR(_xlfn.LET(_xlpm.x,VLOOKUP($A297,'[1]Markings Threadings'!$B$3:$L$245,7,0),IF(_xlpm.x=0,"",_xlpm.x)),"")</f>
        <v>5000000000562</v>
      </c>
      <c r="N297" s="5" t="str">
        <f>IFERROR(_xlfn.LET(_xlpm.x,VLOOKUP($A297,'[1]Markings Threadings'!$B$3:$L$245,8,0),IF(_xlpm.x=0,"",_xlpm.x)),"")</f>
        <v>Sack Poultry Sol Chick Growex 1, 50kg</v>
      </c>
      <c r="O297" s="2">
        <f>IFERROR(_xlfn.LET(_xlpm.x,VLOOKUP($A297,'[1]Markings Threadings'!$B$3:$L$245,10,0),IF(_xlpm.x=0,"",_xlpm.x)),"")</f>
        <v>5000000000122</v>
      </c>
      <c r="P297" s="5" t="str">
        <f>IFERROR(_xlfn.LET(_xlpm.x,VLOOKUP($A297,'[1]Markings Threadings'!$B$3:$L$245,11,0),IF(_xlpm.x=0,"",_xlpm.x)),"")</f>
        <v>Tag Poultry Solutions Chick Grower</v>
      </c>
      <c r="Q297" s="1" t="str">
        <f>IFERROR(_xlfn.LET(_xlpm.x,VLOOKUP($A297,'[1]Markings Threadings'!$B$3:$L$245,4,0),IF(_xlpm.x=0,"",_xlpm.x)),"")</f>
        <v>3706 - IR WC</v>
      </c>
      <c r="R297" s="1" t="str">
        <f>IFERROR(_xlfn.LET(_xlpm.x,VLOOKUP($A297,'[1]Markings Threadings'!$B$3:$L$245,5,0),IF(_xlpm.x=0,"",_xlpm.x)),"")</f>
        <v/>
      </c>
      <c r="S297" s="1">
        <f>IFERROR(_xlfn.LET(_xlpm.x,VLOOKUP($A297,'[1]Markings Threadings'!$B$3:$L$245,6,0),IF(_xlpm.x=0,"",_xlpm.x)),"")</f>
        <v>14</v>
      </c>
      <c r="T297" s="6" t="str">
        <f>IFERROR(_xlfn.LET(_xlpm.x,VLOOKUP($C297,[1]Summary!$A$2:$J$118,4,0),IF(_xlpm.x=0,"",_xlpm.x)),"")</f>
        <v/>
      </c>
      <c r="U297" s="6" t="str">
        <f>IFERROR(_xlfn.LET(_xlpm.x,VLOOKUP($C297,[1]Summary!$A$2:$J$118,5,0),IF(_xlpm.x=0,"",_xlpm.x)),"")</f>
        <v/>
      </c>
      <c r="V297" s="6" t="str">
        <f>IFERROR(_xlfn.LET(_xlpm.x,VLOOKUP($C297,[1]Summary!$A$2:$J$118,6,0),IF(_xlpm.x=0,"",_xlpm.x)),"")</f>
        <v/>
      </c>
      <c r="W297" s="6">
        <f>IFERROR(_xlfn.LET(_xlpm.x,VLOOKUP($C297,[1]Summary!$A$2:$J$118,7,0),IF(_xlpm.x=0,"",_xlpm.x)),"")</f>
        <v>7.872512000000004</v>
      </c>
      <c r="X297" s="6" t="str">
        <f>IFERROR(_xlfn.LET(_xlpm.x,VLOOKUP($C297,[1]Summary!$A$2:$J$118,8,0),IF(_xlpm.x=0,"",_xlpm.x)),"")</f>
        <v/>
      </c>
      <c r="Y297" s="6" t="str">
        <f>IFERROR(_xlfn.LET(_xlpm.x,VLOOKUP($C297,[1]Summary!$A$2:$J$118,9,0),IF(_xlpm.x=0,"",_xlpm.x)),"")</f>
        <v/>
      </c>
      <c r="Z297" s="6" t="str">
        <f>IFERROR(_xlfn.LET(_xlpm.x,VLOOKUP($C297,[1]Summary!$A$2:$J$118,10,0),IF(_xlpm.x=0,"",_xlpm.x)),"")</f>
        <v/>
      </c>
    </row>
    <row r="298" spans="1:26" x14ac:dyDescent="0.25">
      <c r="A298" s="2">
        <v>1000000003703</v>
      </c>
      <c r="B298" s="5" t="s">
        <v>535</v>
      </c>
      <c r="C298" s="2">
        <v>3000000001974</v>
      </c>
      <c r="D298" s="5" t="s">
        <v>536</v>
      </c>
      <c r="E298" s="1">
        <v>4</v>
      </c>
      <c r="F298" s="1" t="s">
        <v>54</v>
      </c>
      <c r="G298" s="1">
        <v>4</v>
      </c>
      <c r="H298" s="1">
        <v>2</v>
      </c>
      <c r="I298" s="1">
        <v>2</v>
      </c>
      <c r="J298" s="1"/>
      <c r="K298" s="1">
        <v>50</v>
      </c>
      <c r="L298" s="1" t="str">
        <f>IFERROR(_xlfn.LET(_xlpm.x,VLOOKUP($A298,'[1]Markings Threadings'!$B$3:$L$245,3,0),IF(_xlpm.x=0,"",_xlpm.x)),"")</f>
        <v>White</v>
      </c>
      <c r="M298" s="2">
        <f>IFERROR(_xlfn.LET(_xlpm.x,VLOOKUP($A298,'[1]Markings Threadings'!$B$3:$L$245,7,0),IF(_xlpm.x=0,"",_xlpm.x)),"")</f>
        <v>5000000000563</v>
      </c>
      <c r="N298" s="5" t="str">
        <f>IFERROR(_xlfn.LET(_xlpm.x,VLOOKUP($A298,'[1]Markings Threadings'!$B$3:$L$245,8,0),IF(_xlpm.x=0,"",_xlpm.x)),"")</f>
        <v>Sack Poultry Solutions Pre-Lay 50kg</v>
      </c>
      <c r="O298" s="2">
        <f>IFERROR(_xlfn.LET(_xlpm.x,VLOOKUP($A298,'[1]Markings Threadings'!$B$3:$L$245,10,0),IF(_xlpm.x=0,"",_xlpm.x)),"")</f>
        <v>5000000000615</v>
      </c>
      <c r="P298" s="5" t="str">
        <f>IFERROR(_xlfn.LET(_xlpm.x,VLOOKUP($A298,'[1]Markings Threadings'!$B$3:$L$245,11,0),IF(_xlpm.x=0,"",_xlpm.x)),"")</f>
        <v>Tag Poultry Solutions Pre-Lay Crumble</v>
      </c>
      <c r="Q298" s="1" t="str">
        <f>IFERROR(_xlfn.LET(_xlpm.x,VLOOKUP($A298,'[1]Markings Threadings'!$B$3:$L$245,4,0),IF(_xlpm.x=0,"",_xlpm.x)),"")</f>
        <v>3703 - IR</v>
      </c>
      <c r="R298" s="1" t="str">
        <f>IFERROR(_xlfn.LET(_xlpm.x,VLOOKUP($A298,'[1]Markings Threadings'!$B$3:$L$245,5,0),IF(_xlpm.x=0,"",_xlpm.x)),"")</f>
        <v/>
      </c>
      <c r="S298" s="1">
        <f>IFERROR(_xlfn.LET(_xlpm.x,VLOOKUP($A298,'[1]Markings Threadings'!$B$3:$L$245,6,0),IF(_xlpm.x=0,"",_xlpm.x)),"")</f>
        <v>6</v>
      </c>
      <c r="T298" s="6" t="str">
        <f>IFERROR(_xlfn.LET(_xlpm.x,VLOOKUP($C298,[1]Summary!$A$2:$J$118,4,0),IF(_xlpm.x=0,"",_xlpm.x)),"")</f>
        <v/>
      </c>
      <c r="U298" s="6" t="str">
        <f>IFERROR(_xlfn.LET(_xlpm.x,VLOOKUP($C298,[1]Summary!$A$2:$J$118,5,0),IF(_xlpm.x=0,"",_xlpm.x)),"")</f>
        <v/>
      </c>
      <c r="V298" s="6" t="str">
        <f>IFERROR(_xlfn.LET(_xlpm.x,VLOOKUP($C298,[1]Summary!$A$2:$J$118,6,0),IF(_xlpm.x=0,"",_xlpm.x)),"")</f>
        <v/>
      </c>
      <c r="W298" s="6">
        <f>IFERROR(_xlfn.LET(_xlpm.x,VLOOKUP($C298,[1]Summary!$A$2:$J$118,7,0),IF(_xlpm.x=0,"",_xlpm.x)),"")</f>
        <v>7.3658651881188151</v>
      </c>
      <c r="X298" s="6" t="str">
        <f>IFERROR(_xlfn.LET(_xlpm.x,VLOOKUP($C298,[1]Summary!$A$2:$J$118,8,0),IF(_xlpm.x=0,"",_xlpm.x)),"")</f>
        <v/>
      </c>
      <c r="Y298" s="6" t="str">
        <f>IFERROR(_xlfn.LET(_xlpm.x,VLOOKUP($C298,[1]Summary!$A$2:$J$118,9,0),IF(_xlpm.x=0,"",_xlpm.x)),"")</f>
        <v/>
      </c>
      <c r="Z298" s="6" t="str">
        <f>IFERROR(_xlfn.LET(_xlpm.x,VLOOKUP($C298,[1]Summary!$A$2:$J$118,10,0),IF(_xlpm.x=0,"",_xlpm.x)),"")</f>
        <v/>
      </c>
    </row>
    <row r="299" spans="1:26" x14ac:dyDescent="0.25">
      <c r="A299" s="2">
        <v>1000000003707</v>
      </c>
      <c r="B299" s="5" t="s">
        <v>537</v>
      </c>
      <c r="C299" s="2">
        <v>3000000001975</v>
      </c>
      <c r="D299" s="5" t="s">
        <v>538</v>
      </c>
      <c r="E299" s="1">
        <v>4</v>
      </c>
      <c r="F299" s="1" t="s">
        <v>54</v>
      </c>
      <c r="G299" s="1">
        <v>4</v>
      </c>
      <c r="H299" s="1">
        <v>2</v>
      </c>
      <c r="I299" s="1">
        <v>2</v>
      </c>
      <c r="J299" s="1"/>
      <c r="K299" s="1">
        <v>50</v>
      </c>
      <c r="L299" s="1" t="str">
        <f>IFERROR(_xlfn.LET(_xlpm.x,VLOOKUP($A299,'[1]Markings Threadings'!$B$3:$L$245,3,0),IF(_xlpm.x=0,"",_xlpm.x)),"")</f>
        <v>White</v>
      </c>
      <c r="M299" s="2">
        <f>IFERROR(_xlfn.LET(_xlpm.x,VLOOKUP($A299,'[1]Markings Threadings'!$B$3:$L$245,7,0),IF(_xlpm.x=0,"",_xlpm.x)),"")</f>
        <v>5000000000555</v>
      </c>
      <c r="N299" s="5" t="str">
        <f>IFERROR(_xlfn.LET(_xlpm.x,VLOOKUP($A299,'[1]Markings Threadings'!$B$3:$L$245,8,0),IF(_xlpm.x=0,"",_xlpm.x)),"")</f>
        <v>Sack Poultry Solutions Breeder Layer 1</v>
      </c>
      <c r="O299" s="2">
        <f>IFERROR(_xlfn.LET(_xlpm.x,VLOOKUP($A299,'[1]Markings Threadings'!$B$3:$L$245,10,0),IF(_xlpm.x=0,"",_xlpm.x)),"")</f>
        <v>5000000000614</v>
      </c>
      <c r="P299" s="5" t="str">
        <f>IFERROR(_xlfn.LET(_xlpm.x,VLOOKUP($A299,'[1]Markings Threadings'!$B$3:$L$245,11,0),IF(_xlpm.x=0,"",_xlpm.x)),"")</f>
        <v>Tag - PS Breeder Layer 1 Crumble, 50kg</v>
      </c>
      <c r="Q299" s="1" t="str">
        <f>IFERROR(_xlfn.LET(_xlpm.x,VLOOKUP($A299,'[1]Markings Threadings'!$B$3:$L$245,4,0),IF(_xlpm.x=0,"",_xlpm.x)),"")</f>
        <v>3707 AA</v>
      </c>
      <c r="R299" s="1" t="str">
        <f>IFERROR(_xlfn.LET(_xlpm.x,VLOOKUP($A299,'[1]Markings Threadings'!$B$3:$L$245,5,0),IF(_xlpm.x=0,"",_xlpm.x)),"")</f>
        <v/>
      </c>
      <c r="S299" s="1">
        <f>IFERROR(_xlfn.LET(_xlpm.x,VLOOKUP($A299,'[1]Markings Threadings'!$B$3:$L$245,6,0),IF(_xlpm.x=0,"",_xlpm.x)),"")</f>
        <v>6</v>
      </c>
      <c r="T299" s="6" t="str">
        <f>IFERROR(_xlfn.LET(_xlpm.x,VLOOKUP($C299,[1]Summary!$A$2:$J$118,4,0),IF(_xlpm.x=0,"",_xlpm.x)),"")</f>
        <v/>
      </c>
      <c r="U299" s="6" t="str">
        <f>IFERROR(_xlfn.LET(_xlpm.x,VLOOKUP($C299,[1]Summary!$A$2:$J$118,5,0),IF(_xlpm.x=0,"",_xlpm.x)),"")</f>
        <v/>
      </c>
      <c r="V299" s="6" t="str">
        <f>IFERROR(_xlfn.LET(_xlpm.x,VLOOKUP($C299,[1]Summary!$A$2:$J$118,6,0),IF(_xlpm.x=0,"",_xlpm.x)),"")</f>
        <v/>
      </c>
      <c r="W299" s="6">
        <f>IFERROR(_xlfn.LET(_xlpm.x,VLOOKUP($C299,[1]Summary!$A$2:$J$118,7,0),IF(_xlpm.x=0,"",_xlpm.x)),"")</f>
        <v>7.9379534769230782</v>
      </c>
      <c r="X299" s="6" t="str">
        <f>IFERROR(_xlfn.LET(_xlpm.x,VLOOKUP($C299,[1]Summary!$A$2:$J$118,8,0),IF(_xlpm.x=0,"",_xlpm.x)),"")</f>
        <v/>
      </c>
      <c r="Y299" s="6" t="str">
        <f>IFERROR(_xlfn.LET(_xlpm.x,VLOOKUP($C299,[1]Summary!$A$2:$J$118,9,0),IF(_xlpm.x=0,"",_xlpm.x)),"")</f>
        <v/>
      </c>
      <c r="Z299" s="6" t="str">
        <f>IFERROR(_xlfn.LET(_xlpm.x,VLOOKUP($C299,[1]Summary!$A$2:$J$118,10,0),IF(_xlpm.x=0,"",_xlpm.x)),"")</f>
        <v/>
      </c>
    </row>
    <row r="300" spans="1:26" x14ac:dyDescent="0.25">
      <c r="A300" s="2">
        <v>1000000003704</v>
      </c>
      <c r="B300" s="5" t="s">
        <v>539</v>
      </c>
      <c r="C300" s="2">
        <v>3000000001976</v>
      </c>
      <c r="D300" s="5" t="s">
        <v>540</v>
      </c>
      <c r="E300" s="1">
        <v>4</v>
      </c>
      <c r="F300" s="1" t="s">
        <v>54</v>
      </c>
      <c r="G300" s="1">
        <v>4</v>
      </c>
      <c r="H300" s="1">
        <v>2</v>
      </c>
      <c r="I300" s="1">
        <v>2</v>
      </c>
      <c r="J300" s="1"/>
      <c r="K300" s="1">
        <v>50</v>
      </c>
      <c r="L300" s="1" t="str">
        <f>IFERROR(_xlfn.LET(_xlpm.x,VLOOKUP($A300,'[1]Markings Threadings'!$B$3:$L$245,3,0),IF(_xlpm.x=0,"",_xlpm.x)),"")</f>
        <v>White</v>
      </c>
      <c r="M300" s="2">
        <f>IFERROR(_xlfn.LET(_xlpm.x,VLOOKUP($A300,'[1]Markings Threadings'!$B$3:$L$245,7,0),IF(_xlpm.x=0,"",_xlpm.x)),"")</f>
        <v>5000000000983</v>
      </c>
      <c r="N300" s="5" t="str">
        <f>IFERROR(_xlfn.LET(_xlpm.x,VLOOKUP($A300,'[1]Markings Threadings'!$B$3:$L$245,8,0),IF(_xlpm.x=0,"",_xlpm.x)),"")</f>
        <v>v2-Poultry Solutions Breeder Layer2 50kg</v>
      </c>
      <c r="O300" s="2">
        <f>IFERROR(_xlfn.LET(_xlpm.x,VLOOKUP($A300,'[1]Markings Threadings'!$B$3:$L$245,10,0),IF(_xlpm.x=0,"",_xlpm.x)),"")</f>
        <v>5000000000117</v>
      </c>
      <c r="P300" s="5" t="str">
        <f>IFERROR(_xlfn.LET(_xlpm.x,VLOOKUP($A300,'[1]Markings Threadings'!$B$3:$L$245,11,0),IF(_xlpm.x=0,"",_xlpm.x)),"")</f>
        <v>Tag Poultry Solutions Chicken Layer 2</v>
      </c>
      <c r="Q300" s="1">
        <f>IFERROR(_xlfn.LET(_xlpm.x,VLOOKUP($A300,'[1]Markings Threadings'!$B$3:$L$245,4,0),IF(_xlpm.x=0,"",_xlpm.x)),"")</f>
        <v>3704</v>
      </c>
      <c r="R300" s="1" t="str">
        <f>IFERROR(_xlfn.LET(_xlpm.x,VLOOKUP($A300,'[1]Markings Threadings'!$B$3:$L$245,5,0),IF(_xlpm.x=0,"",_xlpm.x)),"")</f>
        <v/>
      </c>
      <c r="S300" s="1">
        <f>IFERROR(_xlfn.LET(_xlpm.x,VLOOKUP($A300,'[1]Markings Threadings'!$B$3:$L$245,6,0),IF(_xlpm.x=0,"",_xlpm.x)),"")</f>
        <v>6</v>
      </c>
      <c r="T300" s="6" t="str">
        <f>IFERROR(_xlfn.LET(_xlpm.x,VLOOKUP($C300,[1]Summary!$A$2:$J$118,4,0),IF(_xlpm.x=0,"",_xlpm.x)),"")</f>
        <v/>
      </c>
      <c r="U300" s="6" t="str">
        <f>IFERROR(_xlfn.LET(_xlpm.x,VLOOKUP($C300,[1]Summary!$A$2:$J$118,5,0),IF(_xlpm.x=0,"",_xlpm.x)),"")</f>
        <v/>
      </c>
      <c r="V300" s="6" t="str">
        <f>IFERROR(_xlfn.LET(_xlpm.x,VLOOKUP($C300,[1]Summary!$A$2:$J$118,6,0),IF(_xlpm.x=0,"",_xlpm.x)),"")</f>
        <v/>
      </c>
      <c r="W300" s="6" t="str">
        <f>IFERROR(_xlfn.LET(_xlpm.x,VLOOKUP($C300,[1]Summary!$A$2:$J$118,7,0),IF(_xlpm.x=0,"",_xlpm.x)),"")</f>
        <v/>
      </c>
      <c r="X300" s="6" t="str">
        <f>IFERROR(_xlfn.LET(_xlpm.x,VLOOKUP($C300,[1]Summary!$A$2:$J$118,8,0),IF(_xlpm.x=0,"",_xlpm.x)),"")</f>
        <v/>
      </c>
      <c r="Y300" s="6" t="str">
        <f>IFERROR(_xlfn.LET(_xlpm.x,VLOOKUP($C300,[1]Summary!$A$2:$J$118,9,0),IF(_xlpm.x=0,"",_xlpm.x)),"")</f>
        <v/>
      </c>
      <c r="Z300" s="6" t="str">
        <f>IFERROR(_xlfn.LET(_xlpm.x,VLOOKUP($C300,[1]Summary!$A$2:$J$118,10,0),IF(_xlpm.x=0,"",_xlpm.x)),"")</f>
        <v/>
      </c>
    </row>
    <row r="301" spans="1:26" x14ac:dyDescent="0.25">
      <c r="A301" s="2">
        <v>1000000003705</v>
      </c>
      <c r="B301" s="5" t="s">
        <v>541</v>
      </c>
      <c r="C301" s="2">
        <v>3000000001977</v>
      </c>
      <c r="D301" s="5" t="s">
        <v>542</v>
      </c>
      <c r="E301" s="1">
        <v>4</v>
      </c>
      <c r="F301" s="1" t="s">
        <v>54</v>
      </c>
      <c r="G301" s="1">
        <v>4</v>
      </c>
      <c r="H301" s="1">
        <v>2</v>
      </c>
      <c r="I301" s="1">
        <v>2</v>
      </c>
      <c r="J301" s="1"/>
      <c r="K301" s="1">
        <v>50</v>
      </c>
      <c r="L301" s="1" t="str">
        <f>IFERROR(_xlfn.LET(_xlpm.x,VLOOKUP($A301,'[1]Markings Threadings'!$B$3:$L$245,3,0),IF(_xlpm.x=0,"",_xlpm.x)),"")</f>
        <v>White</v>
      </c>
      <c r="M301" s="2">
        <f>IFERROR(_xlfn.LET(_xlpm.x,VLOOKUP($A301,'[1]Markings Threadings'!$B$3:$L$245,7,0),IF(_xlpm.x=0,"",_xlpm.x)),"")</f>
        <v>5000000000556</v>
      </c>
      <c r="N301" s="5" t="str">
        <f>IFERROR(_xlfn.LET(_xlpm.x,VLOOKUP($A301,'[1]Markings Threadings'!$B$3:$L$245,8,0),IF(_xlpm.x=0,"",_xlpm.x)),"")</f>
        <v>Sack Poultry Solutions Breeder L Male</v>
      </c>
      <c r="O301" s="2">
        <f>IFERROR(_xlfn.LET(_xlpm.x,VLOOKUP($A301,'[1]Markings Threadings'!$B$3:$L$245,10,0),IF(_xlpm.x=0,"",_xlpm.x)),"")</f>
        <v>5000000000498</v>
      </c>
      <c r="P301" s="5" t="str">
        <f>IFERROR(_xlfn.LET(_xlpm.x,VLOOKUP($A301,'[1]Markings Threadings'!$B$3:$L$245,11,0),IF(_xlpm.x=0,"",_xlpm.x)),"")</f>
        <v>Tag - Poultry Breeder Layer Male, Mash</v>
      </c>
      <c r="Q301" s="1">
        <f>IFERROR(_xlfn.LET(_xlpm.x,VLOOKUP($A301,'[1]Markings Threadings'!$B$3:$L$245,4,0),IF(_xlpm.x=0,"",_xlpm.x)),"")</f>
        <v>3705</v>
      </c>
      <c r="R301" s="1" t="str">
        <f>IFERROR(_xlfn.LET(_xlpm.x,VLOOKUP($A301,'[1]Markings Threadings'!$B$3:$L$245,5,0),IF(_xlpm.x=0,"",_xlpm.x)),"")</f>
        <v/>
      </c>
      <c r="S301" s="1">
        <f>IFERROR(_xlfn.LET(_xlpm.x,VLOOKUP($A301,'[1]Markings Threadings'!$B$3:$L$245,6,0),IF(_xlpm.x=0,"",_xlpm.x)),"")</f>
        <v>4</v>
      </c>
      <c r="T301" s="6" t="str">
        <f>IFERROR(_xlfn.LET(_xlpm.x,VLOOKUP($C301,[1]Summary!$A$2:$J$118,4,0),IF(_xlpm.x=0,"",_xlpm.x)),"")</f>
        <v/>
      </c>
      <c r="U301" s="6" t="str">
        <f>IFERROR(_xlfn.LET(_xlpm.x,VLOOKUP($C301,[1]Summary!$A$2:$J$118,5,0),IF(_xlpm.x=0,"",_xlpm.x)),"")</f>
        <v/>
      </c>
      <c r="V301" s="6" t="str">
        <f>IFERROR(_xlfn.LET(_xlpm.x,VLOOKUP($C301,[1]Summary!$A$2:$J$118,6,0),IF(_xlpm.x=0,"",_xlpm.x)),"")</f>
        <v/>
      </c>
      <c r="W301" s="6" t="str">
        <f>IFERROR(_xlfn.LET(_xlpm.x,VLOOKUP($C301,[1]Summary!$A$2:$J$118,7,0),IF(_xlpm.x=0,"",_xlpm.x)),"")</f>
        <v/>
      </c>
      <c r="X301" s="6" t="str">
        <f>IFERROR(_xlfn.LET(_xlpm.x,VLOOKUP($C301,[1]Summary!$A$2:$J$118,8,0),IF(_xlpm.x=0,"",_xlpm.x)),"")</f>
        <v/>
      </c>
      <c r="Y301" s="6" t="str">
        <f>IFERROR(_xlfn.LET(_xlpm.x,VLOOKUP($C301,[1]Summary!$A$2:$J$118,9,0),IF(_xlpm.x=0,"",_xlpm.x)),"")</f>
        <v/>
      </c>
      <c r="Z301" s="6" t="str">
        <f>IFERROR(_xlfn.LET(_xlpm.x,VLOOKUP($C301,[1]Summary!$A$2:$J$118,10,0),IF(_xlpm.x=0,"",_xlpm.x)),"")</f>
        <v/>
      </c>
    </row>
    <row r="302" spans="1:26" x14ac:dyDescent="0.25">
      <c r="A302" s="2">
        <v>1000000003692</v>
      </c>
      <c r="B302" s="5" t="s">
        <v>543</v>
      </c>
      <c r="C302" s="2">
        <v>3000000001968</v>
      </c>
      <c r="D302" s="5" t="s">
        <v>544</v>
      </c>
      <c r="E302" s="1"/>
      <c r="F302" s="1" t="s">
        <v>44</v>
      </c>
      <c r="G302" s="1">
        <v>4</v>
      </c>
      <c r="H302" s="1">
        <v>2</v>
      </c>
      <c r="I302" s="1">
        <v>2</v>
      </c>
      <c r="J302" s="1"/>
      <c r="K302" s="1">
        <v>750</v>
      </c>
      <c r="L302" s="1" t="str">
        <f>IFERROR(_xlfn.LET(_xlpm.x,VLOOKUP($A302,'[1]Markings Threadings'!$B$3:$L$245,3,0),IF(_xlpm.x=0,"",_xlpm.x)),"")</f>
        <v/>
      </c>
      <c r="M302" s="2" t="str">
        <f>IFERROR(_xlfn.LET(_xlpm.x,VLOOKUP($A302,'[1]Markings Threadings'!$B$3:$L$245,7,0),IF(_xlpm.x=0,"",_xlpm.x)),"")</f>
        <v/>
      </c>
      <c r="N302" s="5" t="str">
        <f>IFERROR(_xlfn.LET(_xlpm.x,VLOOKUP($A302,'[1]Markings Threadings'!$B$3:$L$245,8,0),IF(_xlpm.x=0,"",_xlpm.x)),"")</f>
        <v/>
      </c>
      <c r="O302" s="2" t="str">
        <f>IFERROR(_xlfn.LET(_xlpm.x,VLOOKUP($A302,'[1]Markings Threadings'!$B$3:$L$245,10,0),IF(_xlpm.x=0,"",_xlpm.x)),"")</f>
        <v/>
      </c>
      <c r="P302" s="5" t="str">
        <f>IFERROR(_xlfn.LET(_xlpm.x,VLOOKUP($A302,'[1]Markings Threadings'!$B$3:$L$245,11,0),IF(_xlpm.x=0,"",_xlpm.x)),"")</f>
        <v/>
      </c>
      <c r="Q302" s="1" t="str">
        <f>IFERROR(_xlfn.LET(_xlpm.x,VLOOKUP($A302,'[1]Markings Threadings'!$B$3:$L$245,4,0),IF(_xlpm.x=0,"",_xlpm.x)),"")</f>
        <v/>
      </c>
      <c r="R302" s="1" t="str">
        <f>IFERROR(_xlfn.LET(_xlpm.x,VLOOKUP($A302,'[1]Markings Threadings'!$B$3:$L$245,5,0),IF(_xlpm.x=0,"",_xlpm.x)),"")</f>
        <v/>
      </c>
      <c r="S302" s="1" t="str">
        <f>IFERROR(_xlfn.LET(_xlpm.x,VLOOKUP($A302,'[1]Markings Threadings'!$B$3:$L$245,6,0),IF(_xlpm.x=0,"",_xlpm.x)),"")</f>
        <v/>
      </c>
      <c r="T302" s="6" t="str">
        <f>IFERROR(_xlfn.LET(_xlpm.x,VLOOKUP($C302,[1]Summary!$A$2:$J$118,4,0),IF(_xlpm.x=0,"",_xlpm.x)),"")</f>
        <v/>
      </c>
      <c r="U302" s="6" t="str">
        <f>IFERROR(_xlfn.LET(_xlpm.x,VLOOKUP($C302,[1]Summary!$A$2:$J$118,5,0),IF(_xlpm.x=0,"",_xlpm.x)),"")</f>
        <v/>
      </c>
      <c r="V302" s="6" t="str">
        <f>IFERROR(_xlfn.LET(_xlpm.x,VLOOKUP($C302,[1]Summary!$A$2:$J$118,6,0),IF(_xlpm.x=0,"",_xlpm.x)),"")</f>
        <v/>
      </c>
      <c r="W302" s="6" t="str">
        <f>IFERROR(_xlfn.LET(_xlpm.x,VLOOKUP($C302,[1]Summary!$A$2:$J$118,7,0),IF(_xlpm.x=0,"",_xlpm.x)),"")</f>
        <v/>
      </c>
      <c r="X302" s="6" t="str">
        <f>IFERROR(_xlfn.LET(_xlpm.x,VLOOKUP($C302,[1]Summary!$A$2:$J$118,8,0),IF(_xlpm.x=0,"",_xlpm.x)),"")</f>
        <v/>
      </c>
      <c r="Y302" s="6" t="str">
        <f>IFERROR(_xlfn.LET(_xlpm.x,VLOOKUP($C302,[1]Summary!$A$2:$J$118,9,0),IF(_xlpm.x=0,"",_xlpm.x)),"")</f>
        <v/>
      </c>
      <c r="Z302" s="6" t="str">
        <f>IFERROR(_xlfn.LET(_xlpm.x,VLOOKUP($C302,[1]Summary!$A$2:$J$118,10,0),IF(_xlpm.x=0,"",_xlpm.x)),"")</f>
        <v/>
      </c>
    </row>
    <row r="303" spans="1:26" x14ac:dyDescent="0.25">
      <c r="A303" s="2">
        <v>1000000003693</v>
      </c>
      <c r="B303" s="5" t="s">
        <v>545</v>
      </c>
      <c r="C303" s="2">
        <v>3000000001969</v>
      </c>
      <c r="D303" s="5" t="s">
        <v>546</v>
      </c>
      <c r="E303" s="1"/>
      <c r="F303" s="1" t="s">
        <v>44</v>
      </c>
      <c r="G303" s="1">
        <v>4</v>
      </c>
      <c r="H303" s="1">
        <v>2</v>
      </c>
      <c r="I303" s="1">
        <v>2</v>
      </c>
      <c r="J303" s="1"/>
      <c r="K303" s="1">
        <v>750</v>
      </c>
      <c r="L303" s="1" t="str">
        <f>IFERROR(_xlfn.LET(_xlpm.x,VLOOKUP($A303,'[1]Markings Threadings'!$B$3:$L$245,3,0),IF(_xlpm.x=0,"",_xlpm.x)),"")</f>
        <v/>
      </c>
      <c r="M303" s="2" t="str">
        <f>IFERROR(_xlfn.LET(_xlpm.x,VLOOKUP($A303,'[1]Markings Threadings'!$B$3:$L$245,7,0),IF(_xlpm.x=0,"",_xlpm.x)),"")</f>
        <v/>
      </c>
      <c r="N303" s="5" t="str">
        <f>IFERROR(_xlfn.LET(_xlpm.x,VLOOKUP($A303,'[1]Markings Threadings'!$B$3:$L$245,8,0),IF(_xlpm.x=0,"",_xlpm.x)),"")</f>
        <v/>
      </c>
      <c r="O303" s="2" t="str">
        <f>IFERROR(_xlfn.LET(_xlpm.x,VLOOKUP($A303,'[1]Markings Threadings'!$B$3:$L$245,10,0),IF(_xlpm.x=0,"",_xlpm.x)),"")</f>
        <v/>
      </c>
      <c r="P303" s="5" t="str">
        <f>IFERROR(_xlfn.LET(_xlpm.x,VLOOKUP($A303,'[1]Markings Threadings'!$B$3:$L$245,11,0),IF(_xlpm.x=0,"",_xlpm.x)),"")</f>
        <v/>
      </c>
      <c r="Q303" s="1" t="str">
        <f>IFERROR(_xlfn.LET(_xlpm.x,VLOOKUP($A303,'[1]Markings Threadings'!$B$3:$L$245,4,0),IF(_xlpm.x=0,"",_xlpm.x)),"")</f>
        <v/>
      </c>
      <c r="R303" s="1" t="str">
        <f>IFERROR(_xlfn.LET(_xlpm.x,VLOOKUP($A303,'[1]Markings Threadings'!$B$3:$L$245,5,0),IF(_xlpm.x=0,"",_xlpm.x)),"")</f>
        <v/>
      </c>
      <c r="S303" s="1" t="str">
        <f>IFERROR(_xlfn.LET(_xlpm.x,VLOOKUP($A303,'[1]Markings Threadings'!$B$3:$L$245,6,0),IF(_xlpm.x=0,"",_xlpm.x)),"")</f>
        <v/>
      </c>
      <c r="T303" s="6" t="str">
        <f>IFERROR(_xlfn.LET(_xlpm.x,VLOOKUP($C303,[1]Summary!$A$2:$J$118,4,0),IF(_xlpm.x=0,"",_xlpm.x)),"")</f>
        <v/>
      </c>
      <c r="U303" s="6" t="str">
        <f>IFERROR(_xlfn.LET(_xlpm.x,VLOOKUP($C303,[1]Summary!$A$2:$J$118,5,0),IF(_xlpm.x=0,"",_xlpm.x)),"")</f>
        <v/>
      </c>
      <c r="V303" s="6" t="str">
        <f>IFERROR(_xlfn.LET(_xlpm.x,VLOOKUP($C303,[1]Summary!$A$2:$J$118,6,0),IF(_xlpm.x=0,"",_xlpm.x)),"")</f>
        <v/>
      </c>
      <c r="W303" s="6" t="str">
        <f>IFERROR(_xlfn.LET(_xlpm.x,VLOOKUP($C303,[1]Summary!$A$2:$J$118,7,0),IF(_xlpm.x=0,"",_xlpm.x)),"")</f>
        <v/>
      </c>
      <c r="X303" s="6" t="str">
        <f>IFERROR(_xlfn.LET(_xlpm.x,VLOOKUP($C303,[1]Summary!$A$2:$J$118,8,0),IF(_xlpm.x=0,"",_xlpm.x)),"")</f>
        <v/>
      </c>
      <c r="Y303" s="6" t="str">
        <f>IFERROR(_xlfn.LET(_xlpm.x,VLOOKUP($C303,[1]Summary!$A$2:$J$118,9,0),IF(_xlpm.x=0,"",_xlpm.x)),"")</f>
        <v/>
      </c>
      <c r="Z303" s="6" t="str">
        <f>IFERROR(_xlfn.LET(_xlpm.x,VLOOKUP($C303,[1]Summary!$A$2:$J$118,10,0),IF(_xlpm.x=0,"",_xlpm.x)),"")</f>
        <v/>
      </c>
    </row>
    <row r="304" spans="1:26" x14ac:dyDescent="0.25">
      <c r="A304" s="2">
        <v>1000000003694</v>
      </c>
      <c r="B304" s="5" t="s">
        <v>547</v>
      </c>
      <c r="C304" s="2">
        <v>3000000001970</v>
      </c>
      <c r="D304" s="5" t="s">
        <v>548</v>
      </c>
      <c r="E304" s="1"/>
      <c r="F304" s="1" t="s">
        <v>44</v>
      </c>
      <c r="G304" s="1">
        <v>4</v>
      </c>
      <c r="H304" s="1">
        <v>2</v>
      </c>
      <c r="I304" s="1">
        <v>2</v>
      </c>
      <c r="J304" s="1"/>
      <c r="K304" s="1">
        <v>750</v>
      </c>
      <c r="L304" s="1" t="str">
        <f>IFERROR(_xlfn.LET(_xlpm.x,VLOOKUP($A304,'[1]Markings Threadings'!$B$3:$L$245,3,0),IF(_xlpm.x=0,"",_xlpm.x)),"")</f>
        <v/>
      </c>
      <c r="M304" s="2" t="str">
        <f>IFERROR(_xlfn.LET(_xlpm.x,VLOOKUP($A304,'[1]Markings Threadings'!$B$3:$L$245,7,0),IF(_xlpm.x=0,"",_xlpm.x)),"")</f>
        <v/>
      </c>
      <c r="N304" s="5" t="str">
        <f>IFERROR(_xlfn.LET(_xlpm.x,VLOOKUP($A304,'[1]Markings Threadings'!$B$3:$L$245,8,0),IF(_xlpm.x=0,"",_xlpm.x)),"")</f>
        <v/>
      </c>
      <c r="O304" s="2" t="str">
        <f>IFERROR(_xlfn.LET(_xlpm.x,VLOOKUP($A304,'[1]Markings Threadings'!$B$3:$L$245,10,0),IF(_xlpm.x=0,"",_xlpm.x)),"")</f>
        <v/>
      </c>
      <c r="P304" s="5" t="str">
        <f>IFERROR(_xlfn.LET(_xlpm.x,VLOOKUP($A304,'[1]Markings Threadings'!$B$3:$L$245,11,0),IF(_xlpm.x=0,"",_xlpm.x)),"")</f>
        <v/>
      </c>
      <c r="Q304" s="1" t="str">
        <f>IFERROR(_xlfn.LET(_xlpm.x,VLOOKUP($A304,'[1]Markings Threadings'!$B$3:$L$245,4,0),IF(_xlpm.x=0,"",_xlpm.x)),"")</f>
        <v/>
      </c>
      <c r="R304" s="1" t="str">
        <f>IFERROR(_xlfn.LET(_xlpm.x,VLOOKUP($A304,'[1]Markings Threadings'!$B$3:$L$245,5,0),IF(_xlpm.x=0,"",_xlpm.x)),"")</f>
        <v/>
      </c>
      <c r="S304" s="1" t="str">
        <f>IFERROR(_xlfn.LET(_xlpm.x,VLOOKUP($A304,'[1]Markings Threadings'!$B$3:$L$245,6,0),IF(_xlpm.x=0,"",_xlpm.x)),"")</f>
        <v/>
      </c>
      <c r="T304" s="6" t="str">
        <f>IFERROR(_xlfn.LET(_xlpm.x,VLOOKUP($C304,[1]Summary!$A$2:$J$118,4,0),IF(_xlpm.x=0,"",_xlpm.x)),"")</f>
        <v/>
      </c>
      <c r="U304" s="6" t="str">
        <f>IFERROR(_xlfn.LET(_xlpm.x,VLOOKUP($C304,[1]Summary!$A$2:$J$118,5,0),IF(_xlpm.x=0,"",_xlpm.x)),"")</f>
        <v/>
      </c>
      <c r="V304" s="6" t="str">
        <f>IFERROR(_xlfn.LET(_xlpm.x,VLOOKUP($C304,[1]Summary!$A$2:$J$118,6,0),IF(_xlpm.x=0,"",_xlpm.x)),"")</f>
        <v/>
      </c>
      <c r="W304" s="6" t="str">
        <f>IFERROR(_xlfn.LET(_xlpm.x,VLOOKUP($C304,[1]Summary!$A$2:$J$118,7,0),IF(_xlpm.x=0,"",_xlpm.x)),"")</f>
        <v/>
      </c>
      <c r="X304" s="6" t="str">
        <f>IFERROR(_xlfn.LET(_xlpm.x,VLOOKUP($C304,[1]Summary!$A$2:$J$118,8,0),IF(_xlpm.x=0,"",_xlpm.x)),"")</f>
        <v/>
      </c>
      <c r="Y304" s="6" t="str">
        <f>IFERROR(_xlfn.LET(_xlpm.x,VLOOKUP($C304,[1]Summary!$A$2:$J$118,9,0),IF(_xlpm.x=0,"",_xlpm.x)),"")</f>
        <v/>
      </c>
      <c r="Z304" s="6" t="str">
        <f>IFERROR(_xlfn.LET(_xlpm.x,VLOOKUP($C304,[1]Summary!$A$2:$J$118,10,0),IF(_xlpm.x=0,"",_xlpm.x)),"")</f>
        <v/>
      </c>
    </row>
    <row r="305" spans="1:26" x14ac:dyDescent="0.25">
      <c r="A305" s="2">
        <v>1000000003697</v>
      </c>
      <c r="B305" s="5" t="s">
        <v>549</v>
      </c>
      <c r="C305" s="2">
        <v>3000000001981</v>
      </c>
      <c r="D305" s="5" t="s">
        <v>550</v>
      </c>
      <c r="E305" s="1">
        <v>4</v>
      </c>
      <c r="F305" s="1" t="s">
        <v>54</v>
      </c>
      <c r="G305" s="1">
        <v>4</v>
      </c>
      <c r="H305" s="1">
        <v>2</v>
      </c>
      <c r="I305" s="1">
        <v>2</v>
      </c>
      <c r="J305" s="1"/>
      <c r="K305" s="1">
        <v>750</v>
      </c>
      <c r="L305" s="1" t="str">
        <f>IFERROR(_xlfn.LET(_xlpm.x,VLOOKUP($A305,'[1]Markings Threadings'!$B$3:$L$245,3,0),IF(_xlpm.x=0,"",_xlpm.x)),"")</f>
        <v/>
      </c>
      <c r="M305" s="2" t="str">
        <f>IFERROR(_xlfn.LET(_xlpm.x,VLOOKUP($A305,'[1]Markings Threadings'!$B$3:$L$245,7,0),IF(_xlpm.x=0,"",_xlpm.x)),"")</f>
        <v/>
      </c>
      <c r="N305" s="5" t="str">
        <f>IFERROR(_xlfn.LET(_xlpm.x,VLOOKUP($A305,'[1]Markings Threadings'!$B$3:$L$245,8,0),IF(_xlpm.x=0,"",_xlpm.x)),"")</f>
        <v/>
      </c>
      <c r="O305" s="2" t="str">
        <f>IFERROR(_xlfn.LET(_xlpm.x,VLOOKUP($A305,'[1]Markings Threadings'!$B$3:$L$245,10,0),IF(_xlpm.x=0,"",_xlpm.x)),"")</f>
        <v/>
      </c>
      <c r="P305" s="5" t="str">
        <f>IFERROR(_xlfn.LET(_xlpm.x,VLOOKUP($A305,'[1]Markings Threadings'!$B$3:$L$245,11,0),IF(_xlpm.x=0,"",_xlpm.x)),"")</f>
        <v/>
      </c>
      <c r="Q305" s="1" t="str">
        <f>IFERROR(_xlfn.LET(_xlpm.x,VLOOKUP($A305,'[1]Markings Threadings'!$B$3:$L$245,4,0),IF(_xlpm.x=0,"",_xlpm.x)),"")</f>
        <v/>
      </c>
      <c r="R305" s="1" t="str">
        <f>IFERROR(_xlfn.LET(_xlpm.x,VLOOKUP($A305,'[1]Markings Threadings'!$B$3:$L$245,5,0),IF(_xlpm.x=0,"",_xlpm.x)),"")</f>
        <v/>
      </c>
      <c r="S305" s="1" t="str">
        <f>IFERROR(_xlfn.LET(_xlpm.x,VLOOKUP($A305,'[1]Markings Threadings'!$B$3:$L$245,6,0),IF(_xlpm.x=0,"",_xlpm.x)),"")</f>
        <v/>
      </c>
      <c r="T305" s="6" t="str">
        <f>IFERROR(_xlfn.LET(_xlpm.x,VLOOKUP($C305,[1]Summary!$A$2:$J$118,4,0),IF(_xlpm.x=0,"",_xlpm.x)),"")</f>
        <v/>
      </c>
      <c r="U305" s="6" t="str">
        <f>IFERROR(_xlfn.LET(_xlpm.x,VLOOKUP($C305,[1]Summary!$A$2:$J$118,5,0),IF(_xlpm.x=0,"",_xlpm.x)),"")</f>
        <v/>
      </c>
      <c r="V305" s="6" t="str">
        <f>IFERROR(_xlfn.LET(_xlpm.x,VLOOKUP($C305,[1]Summary!$A$2:$J$118,6,0),IF(_xlpm.x=0,"",_xlpm.x)),"")</f>
        <v/>
      </c>
      <c r="W305" s="6" t="str">
        <f>IFERROR(_xlfn.LET(_xlpm.x,VLOOKUP($C305,[1]Summary!$A$2:$J$118,7,0),IF(_xlpm.x=0,"",_xlpm.x)),"")</f>
        <v/>
      </c>
      <c r="X305" s="6" t="str">
        <f>IFERROR(_xlfn.LET(_xlpm.x,VLOOKUP($C305,[1]Summary!$A$2:$J$118,8,0),IF(_xlpm.x=0,"",_xlpm.x)),"")</f>
        <v/>
      </c>
      <c r="Y305" s="6" t="str">
        <f>IFERROR(_xlfn.LET(_xlpm.x,VLOOKUP($C305,[1]Summary!$A$2:$J$118,9,0),IF(_xlpm.x=0,"",_xlpm.x)),"")</f>
        <v/>
      </c>
      <c r="Z305" s="6" t="str">
        <f>IFERROR(_xlfn.LET(_xlpm.x,VLOOKUP($C305,[1]Summary!$A$2:$J$118,10,0),IF(_xlpm.x=0,"",_xlpm.x)),"")</f>
        <v/>
      </c>
    </row>
    <row r="306" spans="1:26" x14ac:dyDescent="0.25">
      <c r="A306" s="2">
        <v>1000000003698</v>
      </c>
      <c r="B306" s="5" t="s">
        <v>551</v>
      </c>
      <c r="C306" s="2">
        <v>3000000001982</v>
      </c>
      <c r="D306" s="5" t="s">
        <v>552</v>
      </c>
      <c r="E306" s="1">
        <v>4</v>
      </c>
      <c r="F306" s="1" t="s">
        <v>54</v>
      </c>
      <c r="G306" s="1">
        <v>4</v>
      </c>
      <c r="H306" s="1">
        <v>2</v>
      </c>
      <c r="I306" s="1">
        <v>2</v>
      </c>
      <c r="J306" s="1"/>
      <c r="K306" s="1">
        <v>750</v>
      </c>
      <c r="L306" s="1" t="str">
        <f>IFERROR(_xlfn.LET(_xlpm.x,VLOOKUP($A306,'[1]Markings Threadings'!$B$3:$L$245,3,0),IF(_xlpm.x=0,"",_xlpm.x)),"")</f>
        <v/>
      </c>
      <c r="M306" s="2" t="str">
        <f>IFERROR(_xlfn.LET(_xlpm.x,VLOOKUP($A306,'[1]Markings Threadings'!$B$3:$L$245,7,0),IF(_xlpm.x=0,"",_xlpm.x)),"")</f>
        <v/>
      </c>
      <c r="N306" s="5" t="str">
        <f>IFERROR(_xlfn.LET(_xlpm.x,VLOOKUP($A306,'[1]Markings Threadings'!$B$3:$L$245,8,0),IF(_xlpm.x=0,"",_xlpm.x)),"")</f>
        <v/>
      </c>
      <c r="O306" s="2" t="str">
        <f>IFERROR(_xlfn.LET(_xlpm.x,VLOOKUP($A306,'[1]Markings Threadings'!$B$3:$L$245,10,0),IF(_xlpm.x=0,"",_xlpm.x)),"")</f>
        <v/>
      </c>
      <c r="P306" s="5" t="str">
        <f>IFERROR(_xlfn.LET(_xlpm.x,VLOOKUP($A306,'[1]Markings Threadings'!$B$3:$L$245,11,0),IF(_xlpm.x=0,"",_xlpm.x)),"")</f>
        <v/>
      </c>
      <c r="Q306" s="1" t="str">
        <f>IFERROR(_xlfn.LET(_xlpm.x,VLOOKUP($A306,'[1]Markings Threadings'!$B$3:$L$245,4,0),IF(_xlpm.x=0,"",_xlpm.x)),"")</f>
        <v/>
      </c>
      <c r="R306" s="1" t="str">
        <f>IFERROR(_xlfn.LET(_xlpm.x,VLOOKUP($A306,'[1]Markings Threadings'!$B$3:$L$245,5,0),IF(_xlpm.x=0,"",_xlpm.x)),"")</f>
        <v/>
      </c>
      <c r="S306" s="1" t="str">
        <f>IFERROR(_xlfn.LET(_xlpm.x,VLOOKUP($A306,'[1]Markings Threadings'!$B$3:$L$245,6,0),IF(_xlpm.x=0,"",_xlpm.x)),"")</f>
        <v/>
      </c>
      <c r="T306" s="6" t="str">
        <f>IFERROR(_xlfn.LET(_xlpm.x,VLOOKUP($C306,[1]Summary!$A$2:$J$118,4,0),IF(_xlpm.x=0,"",_xlpm.x)),"")</f>
        <v/>
      </c>
      <c r="U306" s="6" t="str">
        <f>IFERROR(_xlfn.LET(_xlpm.x,VLOOKUP($C306,[1]Summary!$A$2:$J$118,5,0),IF(_xlpm.x=0,"",_xlpm.x)),"")</f>
        <v/>
      </c>
      <c r="V306" s="6" t="str">
        <f>IFERROR(_xlfn.LET(_xlpm.x,VLOOKUP($C306,[1]Summary!$A$2:$J$118,6,0),IF(_xlpm.x=0,"",_xlpm.x)),"")</f>
        <v/>
      </c>
      <c r="W306" s="6">
        <f>IFERROR(_xlfn.LET(_xlpm.x,VLOOKUP($C306,[1]Summary!$A$2:$J$118,7,0),IF(_xlpm.x=0,"",_xlpm.x)),"")</f>
        <v>7.4375404958677711</v>
      </c>
      <c r="X306" s="6" t="str">
        <f>IFERROR(_xlfn.LET(_xlpm.x,VLOOKUP($C306,[1]Summary!$A$2:$J$118,8,0),IF(_xlpm.x=0,"",_xlpm.x)),"")</f>
        <v/>
      </c>
      <c r="Y306" s="6" t="str">
        <f>IFERROR(_xlfn.LET(_xlpm.x,VLOOKUP($C306,[1]Summary!$A$2:$J$118,9,0),IF(_xlpm.x=0,"",_xlpm.x)),"")</f>
        <v/>
      </c>
      <c r="Z306" s="6" t="str">
        <f>IFERROR(_xlfn.LET(_xlpm.x,VLOOKUP($C306,[1]Summary!$A$2:$J$118,10,0),IF(_xlpm.x=0,"",_xlpm.x)),"")</f>
        <v/>
      </c>
    </row>
    <row r="307" spans="1:26" x14ac:dyDescent="0.25">
      <c r="A307" s="2">
        <v>1000000003699</v>
      </c>
      <c r="B307" s="5" t="s">
        <v>553</v>
      </c>
      <c r="C307" s="2">
        <v>3000000001983</v>
      </c>
      <c r="D307" s="5" t="s">
        <v>554</v>
      </c>
      <c r="E307" s="1">
        <v>4</v>
      </c>
      <c r="F307" s="1" t="s">
        <v>54</v>
      </c>
      <c r="G307" s="1">
        <v>4</v>
      </c>
      <c r="H307" s="1">
        <v>2</v>
      </c>
      <c r="I307" s="1">
        <v>2</v>
      </c>
      <c r="J307" s="1"/>
      <c r="K307" s="1">
        <v>750</v>
      </c>
      <c r="L307" s="1" t="str">
        <f>IFERROR(_xlfn.LET(_xlpm.x,VLOOKUP($A307,'[1]Markings Threadings'!$B$3:$L$245,3,0),IF(_xlpm.x=0,"",_xlpm.x)),"")</f>
        <v>Yellow Tag</v>
      </c>
      <c r="M307" s="2" t="str">
        <f>IFERROR(_xlfn.LET(_xlpm.x,VLOOKUP($A307,'[1]Markings Threadings'!$B$3:$L$245,7,0),IF(_xlpm.x=0,"",_xlpm.x)),"")</f>
        <v/>
      </c>
      <c r="N307" s="5" t="str">
        <f>IFERROR(_xlfn.LET(_xlpm.x,VLOOKUP($A307,'[1]Markings Threadings'!$B$3:$L$245,8,0),IF(_xlpm.x=0,"",_xlpm.x)),"")</f>
        <v/>
      </c>
      <c r="O307" s="2" t="str">
        <f>IFERROR(_xlfn.LET(_xlpm.x,VLOOKUP($A307,'[1]Markings Threadings'!$B$3:$L$245,10,0),IF(_xlpm.x=0,"",_xlpm.x)),"")</f>
        <v/>
      </c>
      <c r="P307" s="5" t="str">
        <f>IFERROR(_xlfn.LET(_xlpm.x,VLOOKUP($A307,'[1]Markings Threadings'!$B$3:$L$245,11,0),IF(_xlpm.x=0,"",_xlpm.x)),"")</f>
        <v/>
      </c>
      <c r="Q307" s="1" t="str">
        <f>IFERROR(_xlfn.LET(_xlpm.x,VLOOKUP($A307,'[1]Markings Threadings'!$B$3:$L$245,4,0),IF(_xlpm.x=0,"",_xlpm.x)),"")</f>
        <v/>
      </c>
      <c r="R307" s="1" t="str">
        <f>IFERROR(_xlfn.LET(_xlpm.x,VLOOKUP($A307,'[1]Markings Threadings'!$B$3:$L$245,5,0),IF(_xlpm.x=0,"",_xlpm.x)),"")</f>
        <v/>
      </c>
      <c r="S307" s="1" t="str">
        <f>IFERROR(_xlfn.LET(_xlpm.x,VLOOKUP($A307,'[1]Markings Threadings'!$B$3:$L$245,6,0),IF(_xlpm.x=0,"",_xlpm.x)),"")</f>
        <v/>
      </c>
      <c r="T307" s="6" t="str">
        <f>IFERROR(_xlfn.LET(_xlpm.x,VLOOKUP($C307,[1]Summary!$A$2:$J$118,4,0),IF(_xlpm.x=0,"",_xlpm.x)),"")</f>
        <v/>
      </c>
      <c r="U307" s="6" t="str">
        <f>IFERROR(_xlfn.LET(_xlpm.x,VLOOKUP($C307,[1]Summary!$A$2:$J$118,5,0),IF(_xlpm.x=0,"",_xlpm.x)),"")</f>
        <v/>
      </c>
      <c r="V307" s="6" t="str">
        <f>IFERROR(_xlfn.LET(_xlpm.x,VLOOKUP($C307,[1]Summary!$A$2:$J$118,6,0),IF(_xlpm.x=0,"",_xlpm.x)),"")</f>
        <v/>
      </c>
      <c r="W307" s="6" t="str">
        <f>IFERROR(_xlfn.LET(_xlpm.x,VLOOKUP($C307,[1]Summary!$A$2:$J$118,7,0),IF(_xlpm.x=0,"",_xlpm.x)),"")</f>
        <v/>
      </c>
      <c r="X307" s="6" t="str">
        <f>IFERROR(_xlfn.LET(_xlpm.x,VLOOKUP($C307,[1]Summary!$A$2:$J$118,8,0),IF(_xlpm.x=0,"",_xlpm.x)),"")</f>
        <v/>
      </c>
      <c r="Y307" s="6">
        <f>IFERROR(_xlfn.LET(_xlpm.x,VLOOKUP($C307,[1]Summary!$A$2:$J$118,9,0),IF(_xlpm.x=0,"",_xlpm.x)),"")</f>
        <v>7.0973553953544828</v>
      </c>
      <c r="Z307" s="6" t="str">
        <f>IFERROR(_xlfn.LET(_xlpm.x,VLOOKUP($C307,[1]Summary!$A$2:$J$118,10,0),IF(_xlpm.x=0,"",_xlpm.x)),"")</f>
        <v/>
      </c>
    </row>
    <row r="308" spans="1:26" x14ac:dyDescent="0.25">
      <c r="A308" s="2">
        <v>1000000003738</v>
      </c>
      <c r="B308" s="5" t="s">
        <v>555</v>
      </c>
      <c r="C308" s="2">
        <v>3000000002008</v>
      </c>
      <c r="D308" s="5" t="s">
        <v>556</v>
      </c>
      <c r="E308" s="1">
        <v>4</v>
      </c>
      <c r="F308" s="1" t="s">
        <v>54</v>
      </c>
      <c r="G308" s="1">
        <v>4</v>
      </c>
      <c r="H308" s="1">
        <v>2</v>
      </c>
      <c r="I308" s="1">
        <v>2</v>
      </c>
      <c r="J308" s="1"/>
      <c r="K308" s="1">
        <v>750</v>
      </c>
      <c r="L308" s="1" t="str">
        <f>IFERROR(_xlfn.LET(_xlpm.x,VLOOKUP($A308,'[1]Markings Threadings'!$B$3:$L$245,3,0),IF(_xlpm.x=0,"",_xlpm.x)),"")</f>
        <v>Green Tag</v>
      </c>
      <c r="M308" s="2">
        <f>IFERROR(_xlfn.LET(_xlpm.x,VLOOKUP($A308,'[1]Markings Threadings'!$B$3:$L$245,7,0),IF(_xlpm.x=0,"",_xlpm.x)),"")</f>
        <v>5000000000601</v>
      </c>
      <c r="N308" s="5" t="str">
        <f>IFERROR(_xlfn.LET(_xlpm.x,VLOOKUP($A308,'[1]Markings Threadings'!$B$3:$L$245,8,0),IF(_xlpm.x=0,"",_xlpm.x)),"")</f>
        <v>Tote Bag 1000 kg</v>
      </c>
      <c r="O308" s="2" t="str">
        <f>IFERROR(_xlfn.LET(_xlpm.x,VLOOKUP($A308,'[1]Markings Threadings'!$B$3:$L$245,10,0),IF(_xlpm.x=0,"",_xlpm.x)),"")</f>
        <v/>
      </c>
      <c r="P308" s="5" t="str">
        <f>IFERROR(_xlfn.LET(_xlpm.x,VLOOKUP($A308,'[1]Markings Threadings'!$B$3:$L$245,11,0),IF(_xlpm.x=0,"",_xlpm.x)),"")</f>
        <v/>
      </c>
      <c r="Q308" s="1" t="str">
        <f>IFERROR(_xlfn.LET(_xlpm.x,VLOOKUP($A308,'[1]Markings Threadings'!$B$3:$L$245,4,0),IF(_xlpm.x=0,"",_xlpm.x)),"")</f>
        <v/>
      </c>
      <c r="R308" s="1" t="str">
        <f>IFERROR(_xlfn.LET(_xlpm.x,VLOOKUP($A308,'[1]Markings Threadings'!$B$3:$L$245,5,0),IF(_xlpm.x=0,"",_xlpm.x)),"")</f>
        <v/>
      </c>
      <c r="S308" s="1">
        <f>IFERROR(_xlfn.LET(_xlpm.x,VLOOKUP($A308,'[1]Markings Threadings'!$B$3:$L$245,6,0),IF(_xlpm.x=0,"",_xlpm.x)),"")</f>
        <v>12</v>
      </c>
      <c r="T308" s="6" t="str">
        <f>IFERROR(_xlfn.LET(_xlpm.x,VLOOKUP($C308,[1]Summary!$A$2:$J$118,4,0),IF(_xlpm.x=0,"",_xlpm.x)),"")</f>
        <v/>
      </c>
      <c r="U308" s="6" t="str">
        <f>IFERROR(_xlfn.LET(_xlpm.x,VLOOKUP($C308,[1]Summary!$A$2:$J$118,5,0),IF(_xlpm.x=0,"",_xlpm.x)),"")</f>
        <v/>
      </c>
      <c r="V308" s="6" t="str">
        <f>IFERROR(_xlfn.LET(_xlpm.x,VLOOKUP($C308,[1]Summary!$A$2:$J$118,6,0),IF(_xlpm.x=0,"",_xlpm.x)),"")</f>
        <v/>
      </c>
      <c r="W308" s="6" t="str">
        <f>IFERROR(_xlfn.LET(_xlpm.x,VLOOKUP($C308,[1]Summary!$A$2:$J$118,7,0),IF(_xlpm.x=0,"",_xlpm.x)),"")</f>
        <v/>
      </c>
      <c r="X308" s="6" t="str">
        <f>IFERROR(_xlfn.LET(_xlpm.x,VLOOKUP($C308,[1]Summary!$A$2:$J$118,8,0),IF(_xlpm.x=0,"",_xlpm.x)),"")</f>
        <v/>
      </c>
      <c r="Y308" s="6">
        <f>IFERROR(_xlfn.LET(_xlpm.x,VLOOKUP($C308,[1]Summary!$A$2:$J$118,9,0),IF(_xlpm.x=0,"",_xlpm.x)),"")</f>
        <v>7.7720144075829376</v>
      </c>
      <c r="Z308" s="6" t="str">
        <f>IFERROR(_xlfn.LET(_xlpm.x,VLOOKUP($C308,[1]Summary!$A$2:$J$118,10,0),IF(_xlpm.x=0,"",_xlpm.x)),"")</f>
        <v/>
      </c>
    </row>
    <row r="309" spans="1:26" x14ac:dyDescent="0.25">
      <c r="A309" s="2">
        <v>1000000003739</v>
      </c>
      <c r="B309" s="5" t="s">
        <v>557</v>
      </c>
      <c r="C309" s="2">
        <v>3000000002010</v>
      </c>
      <c r="D309" s="5" t="s">
        <v>558</v>
      </c>
      <c r="E309" s="1">
        <v>4</v>
      </c>
      <c r="F309" s="1" t="s">
        <v>54</v>
      </c>
      <c r="G309" s="1">
        <v>4</v>
      </c>
      <c r="H309" s="1">
        <v>2</v>
      </c>
      <c r="I309" s="1">
        <v>2</v>
      </c>
      <c r="J309" s="1"/>
      <c r="K309" s="1">
        <v>750</v>
      </c>
      <c r="L309" s="1" t="str">
        <f>IFERROR(_xlfn.LET(_xlpm.x,VLOOKUP($A309,'[1]Markings Threadings'!$B$3:$L$245,3,0),IF(_xlpm.x=0,"",_xlpm.x)),"")</f>
        <v/>
      </c>
      <c r="M309" s="2" t="str">
        <f>IFERROR(_xlfn.LET(_xlpm.x,VLOOKUP($A309,'[1]Markings Threadings'!$B$3:$L$245,7,0),IF(_xlpm.x=0,"",_xlpm.x)),"")</f>
        <v/>
      </c>
      <c r="N309" s="5" t="str">
        <f>IFERROR(_xlfn.LET(_xlpm.x,VLOOKUP($A309,'[1]Markings Threadings'!$B$3:$L$245,8,0),IF(_xlpm.x=0,"",_xlpm.x)),"")</f>
        <v/>
      </c>
      <c r="O309" s="2" t="str">
        <f>IFERROR(_xlfn.LET(_xlpm.x,VLOOKUP($A309,'[1]Markings Threadings'!$B$3:$L$245,10,0),IF(_xlpm.x=0,"",_xlpm.x)),"")</f>
        <v/>
      </c>
      <c r="P309" s="5" t="str">
        <f>IFERROR(_xlfn.LET(_xlpm.x,VLOOKUP($A309,'[1]Markings Threadings'!$B$3:$L$245,11,0),IF(_xlpm.x=0,"",_xlpm.x)),"")</f>
        <v/>
      </c>
      <c r="Q309" s="1" t="str">
        <f>IFERROR(_xlfn.LET(_xlpm.x,VLOOKUP($A309,'[1]Markings Threadings'!$B$3:$L$245,4,0),IF(_xlpm.x=0,"",_xlpm.x)),"")</f>
        <v/>
      </c>
      <c r="R309" s="1" t="str">
        <f>IFERROR(_xlfn.LET(_xlpm.x,VLOOKUP($A309,'[1]Markings Threadings'!$B$3:$L$245,5,0),IF(_xlpm.x=0,"",_xlpm.x)),"")</f>
        <v/>
      </c>
      <c r="S309" s="1" t="str">
        <f>IFERROR(_xlfn.LET(_xlpm.x,VLOOKUP($A309,'[1]Markings Threadings'!$B$3:$L$245,6,0),IF(_xlpm.x=0,"",_xlpm.x)),"")</f>
        <v/>
      </c>
      <c r="T309" s="6" t="str">
        <f>IFERROR(_xlfn.LET(_xlpm.x,VLOOKUP($C309,[1]Summary!$A$2:$J$118,4,0),IF(_xlpm.x=0,"",_xlpm.x)),"")</f>
        <v/>
      </c>
      <c r="U309" s="6" t="str">
        <f>IFERROR(_xlfn.LET(_xlpm.x,VLOOKUP($C309,[1]Summary!$A$2:$J$118,5,0),IF(_xlpm.x=0,"",_xlpm.x)),"")</f>
        <v/>
      </c>
      <c r="V309" s="6" t="str">
        <f>IFERROR(_xlfn.LET(_xlpm.x,VLOOKUP($C309,[1]Summary!$A$2:$J$118,6,0),IF(_xlpm.x=0,"",_xlpm.x)),"")</f>
        <v/>
      </c>
      <c r="W309" s="6" t="str">
        <f>IFERROR(_xlfn.LET(_xlpm.x,VLOOKUP($C309,[1]Summary!$A$2:$J$118,7,0),IF(_xlpm.x=0,"",_xlpm.x)),"")</f>
        <v/>
      </c>
      <c r="X309" s="6" t="str">
        <f>IFERROR(_xlfn.LET(_xlpm.x,VLOOKUP($C309,[1]Summary!$A$2:$J$118,8,0),IF(_xlpm.x=0,"",_xlpm.x)),"")</f>
        <v/>
      </c>
      <c r="Y309" s="6" t="str">
        <f>IFERROR(_xlfn.LET(_xlpm.x,VLOOKUP($C309,[1]Summary!$A$2:$J$118,9,0),IF(_xlpm.x=0,"",_xlpm.x)),"")</f>
        <v/>
      </c>
      <c r="Z309" s="6" t="str">
        <f>IFERROR(_xlfn.LET(_xlpm.x,VLOOKUP($C309,[1]Summary!$A$2:$J$118,10,0),IF(_xlpm.x=0,"",_xlpm.x)),"")</f>
        <v/>
      </c>
    </row>
    <row r="310" spans="1:26" x14ac:dyDescent="0.25">
      <c r="A310" s="2">
        <v>1000000003740</v>
      </c>
      <c r="B310" s="5" t="s">
        <v>559</v>
      </c>
      <c r="C310" s="2">
        <v>3000000002011</v>
      </c>
      <c r="D310" s="5" t="s">
        <v>560</v>
      </c>
      <c r="E310" s="1">
        <v>4</v>
      </c>
      <c r="F310" s="1" t="s">
        <v>54</v>
      </c>
      <c r="G310" s="1">
        <v>4</v>
      </c>
      <c r="H310" s="1">
        <v>2</v>
      </c>
      <c r="I310" s="1">
        <v>2</v>
      </c>
      <c r="J310" s="1"/>
      <c r="K310" s="1">
        <v>750</v>
      </c>
      <c r="L310" s="1" t="str">
        <f>IFERROR(_xlfn.LET(_xlpm.x,VLOOKUP($A310,'[1]Markings Threadings'!$B$3:$L$245,3,0),IF(_xlpm.x=0,"",_xlpm.x)),"")</f>
        <v>White Tag</v>
      </c>
      <c r="M310" s="2" t="str">
        <f>IFERROR(_xlfn.LET(_xlpm.x,VLOOKUP($A310,'[1]Markings Threadings'!$B$3:$L$245,7,0),IF(_xlpm.x=0,"",_xlpm.x)),"")</f>
        <v/>
      </c>
      <c r="N310" s="5" t="str">
        <f>IFERROR(_xlfn.LET(_xlpm.x,VLOOKUP($A310,'[1]Markings Threadings'!$B$3:$L$245,8,0),IF(_xlpm.x=0,"",_xlpm.x)),"")</f>
        <v/>
      </c>
      <c r="O310" s="2" t="str">
        <f>IFERROR(_xlfn.LET(_xlpm.x,VLOOKUP($A310,'[1]Markings Threadings'!$B$3:$L$245,10,0),IF(_xlpm.x=0,"",_xlpm.x)),"")</f>
        <v/>
      </c>
      <c r="P310" s="5" t="str">
        <f>IFERROR(_xlfn.LET(_xlpm.x,VLOOKUP($A310,'[1]Markings Threadings'!$B$3:$L$245,11,0),IF(_xlpm.x=0,"",_xlpm.x)),"")</f>
        <v/>
      </c>
      <c r="Q310" s="1" t="str">
        <f>IFERROR(_xlfn.LET(_xlpm.x,VLOOKUP($A310,'[1]Markings Threadings'!$B$3:$L$245,4,0),IF(_xlpm.x=0,"",_xlpm.x)),"")</f>
        <v/>
      </c>
      <c r="R310" s="1" t="str">
        <f>IFERROR(_xlfn.LET(_xlpm.x,VLOOKUP($A310,'[1]Markings Threadings'!$B$3:$L$245,5,0),IF(_xlpm.x=0,"",_xlpm.x)),"")</f>
        <v/>
      </c>
      <c r="S310" s="1" t="str">
        <f>IFERROR(_xlfn.LET(_xlpm.x,VLOOKUP($A310,'[1]Markings Threadings'!$B$3:$L$245,6,0),IF(_xlpm.x=0,"",_xlpm.x)),"")</f>
        <v/>
      </c>
      <c r="T310" s="6" t="str">
        <f>IFERROR(_xlfn.LET(_xlpm.x,VLOOKUP($C310,[1]Summary!$A$2:$J$118,4,0),IF(_xlpm.x=0,"",_xlpm.x)),"")</f>
        <v/>
      </c>
      <c r="U310" s="6" t="str">
        <f>IFERROR(_xlfn.LET(_xlpm.x,VLOOKUP($C310,[1]Summary!$A$2:$J$118,5,0),IF(_xlpm.x=0,"",_xlpm.x)),"")</f>
        <v/>
      </c>
      <c r="V310" s="6" t="str">
        <f>IFERROR(_xlfn.LET(_xlpm.x,VLOOKUP($C310,[1]Summary!$A$2:$J$118,6,0),IF(_xlpm.x=0,"",_xlpm.x)),"")</f>
        <v/>
      </c>
      <c r="W310" s="6" t="str">
        <f>IFERROR(_xlfn.LET(_xlpm.x,VLOOKUP($C310,[1]Summary!$A$2:$J$118,7,0),IF(_xlpm.x=0,"",_xlpm.x)),"")</f>
        <v/>
      </c>
      <c r="X310" s="6" t="str">
        <f>IFERROR(_xlfn.LET(_xlpm.x,VLOOKUP($C310,[1]Summary!$A$2:$J$118,8,0),IF(_xlpm.x=0,"",_xlpm.x)),"")</f>
        <v/>
      </c>
      <c r="Y310" s="6">
        <f>IFERROR(_xlfn.LET(_xlpm.x,VLOOKUP($C310,[1]Summary!$A$2:$J$118,9,0),IF(_xlpm.x=0,"",_xlpm.x)),"")</f>
        <v>7.7595277988783158</v>
      </c>
      <c r="Z310" s="6" t="str">
        <f>IFERROR(_xlfn.LET(_xlpm.x,VLOOKUP($C310,[1]Summary!$A$2:$J$118,10,0),IF(_xlpm.x=0,"",_xlpm.x)),"")</f>
        <v/>
      </c>
    </row>
    <row r="311" spans="1:26" x14ac:dyDescent="0.25">
      <c r="A311" s="2">
        <v>1000000003741</v>
      </c>
      <c r="B311" s="5" t="s">
        <v>561</v>
      </c>
      <c r="C311" s="2">
        <v>3000000002012</v>
      </c>
      <c r="D311" s="5" t="s">
        <v>562</v>
      </c>
      <c r="E311" s="1">
        <v>4</v>
      </c>
      <c r="F311" s="1" t="s">
        <v>54</v>
      </c>
      <c r="G311" s="1">
        <v>4</v>
      </c>
      <c r="H311" s="1">
        <v>2</v>
      </c>
      <c r="I311" s="1">
        <v>2</v>
      </c>
      <c r="J311" s="1"/>
      <c r="K311" s="1">
        <v>750</v>
      </c>
      <c r="L311" s="1" t="str">
        <f>IFERROR(_xlfn.LET(_xlpm.x,VLOOKUP($A311,'[1]Markings Threadings'!$B$3:$L$245,3,0),IF(_xlpm.x=0,"",_xlpm.x)),"")</f>
        <v>Blue Tag</v>
      </c>
      <c r="M311" s="2">
        <f>IFERROR(_xlfn.LET(_xlpm.x,VLOOKUP($A311,'[1]Markings Threadings'!$B$3:$L$245,7,0),IF(_xlpm.x=0,"",_xlpm.x)),"")</f>
        <v>5000000000601</v>
      </c>
      <c r="N311" s="5" t="str">
        <f>IFERROR(_xlfn.LET(_xlpm.x,VLOOKUP($A311,'[1]Markings Threadings'!$B$3:$L$245,8,0),IF(_xlpm.x=0,"",_xlpm.x)),"")</f>
        <v>Tote Bag 1000 kg</v>
      </c>
      <c r="O311" s="2" t="str">
        <f>IFERROR(_xlfn.LET(_xlpm.x,VLOOKUP($A311,'[1]Markings Threadings'!$B$3:$L$245,10,0),IF(_xlpm.x=0,"",_xlpm.x)),"")</f>
        <v/>
      </c>
      <c r="P311" s="5" t="str">
        <f>IFERROR(_xlfn.LET(_xlpm.x,VLOOKUP($A311,'[1]Markings Threadings'!$B$3:$L$245,11,0),IF(_xlpm.x=0,"",_xlpm.x)),"")</f>
        <v/>
      </c>
      <c r="Q311" s="1" t="str">
        <f>IFERROR(_xlfn.LET(_xlpm.x,VLOOKUP($A311,'[1]Markings Threadings'!$B$3:$L$245,4,0),IF(_xlpm.x=0,"",_xlpm.x)),"")</f>
        <v/>
      </c>
      <c r="R311" s="1" t="str">
        <f>IFERROR(_xlfn.LET(_xlpm.x,VLOOKUP($A311,'[1]Markings Threadings'!$B$3:$L$245,5,0),IF(_xlpm.x=0,"",_xlpm.x)),"")</f>
        <v/>
      </c>
      <c r="S311" s="1" t="str">
        <f>IFERROR(_xlfn.LET(_xlpm.x,VLOOKUP($A311,'[1]Markings Threadings'!$B$3:$L$245,6,0),IF(_xlpm.x=0,"",_xlpm.x)),"")</f>
        <v/>
      </c>
      <c r="T311" s="6" t="str">
        <f>IFERROR(_xlfn.LET(_xlpm.x,VLOOKUP($C311,[1]Summary!$A$2:$J$118,4,0),IF(_xlpm.x=0,"",_xlpm.x)),"")</f>
        <v/>
      </c>
      <c r="U311" s="6" t="str">
        <f>IFERROR(_xlfn.LET(_xlpm.x,VLOOKUP($C311,[1]Summary!$A$2:$J$118,5,0),IF(_xlpm.x=0,"",_xlpm.x)),"")</f>
        <v/>
      </c>
      <c r="V311" s="6" t="str">
        <f>IFERROR(_xlfn.LET(_xlpm.x,VLOOKUP($C311,[1]Summary!$A$2:$J$118,6,0),IF(_xlpm.x=0,"",_xlpm.x)),"")</f>
        <v/>
      </c>
      <c r="W311" s="6" t="str">
        <f>IFERROR(_xlfn.LET(_xlpm.x,VLOOKUP($C311,[1]Summary!$A$2:$J$118,7,0),IF(_xlpm.x=0,"",_xlpm.x)),"")</f>
        <v/>
      </c>
      <c r="X311" s="6" t="str">
        <f>IFERROR(_xlfn.LET(_xlpm.x,VLOOKUP($C311,[1]Summary!$A$2:$J$118,8,0),IF(_xlpm.x=0,"",_xlpm.x)),"")</f>
        <v/>
      </c>
      <c r="Y311" s="6">
        <f>IFERROR(_xlfn.LET(_xlpm.x,VLOOKUP($C311,[1]Summary!$A$2:$J$118,9,0),IF(_xlpm.x=0,"",_xlpm.x)),"")</f>
        <v>8.2048942080000007</v>
      </c>
      <c r="Z311" s="6" t="str">
        <f>IFERROR(_xlfn.LET(_xlpm.x,VLOOKUP($C311,[1]Summary!$A$2:$J$118,10,0),IF(_xlpm.x=0,"",_xlpm.x)),"")</f>
        <v/>
      </c>
    </row>
    <row r="312" spans="1:26" x14ac:dyDescent="0.25">
      <c r="A312" s="2">
        <v>1000000003742</v>
      </c>
      <c r="B312" s="5" t="s">
        <v>563</v>
      </c>
      <c r="C312" s="2">
        <v>3000000002013</v>
      </c>
      <c r="D312" s="5" t="s">
        <v>564</v>
      </c>
      <c r="E312" s="1">
        <v>4</v>
      </c>
      <c r="F312" s="1" t="s">
        <v>54</v>
      </c>
      <c r="G312" s="1">
        <v>4</v>
      </c>
      <c r="H312" s="1">
        <v>2</v>
      </c>
      <c r="I312" s="1">
        <v>2</v>
      </c>
      <c r="J312" s="1"/>
      <c r="K312" s="1">
        <v>750</v>
      </c>
      <c r="L312" s="1" t="str">
        <f>IFERROR(_xlfn.LET(_xlpm.x,VLOOKUP($A312,'[1]Markings Threadings'!$B$3:$L$245,3,0),IF(_xlpm.x=0,"",_xlpm.x)),"")</f>
        <v/>
      </c>
      <c r="M312" s="2" t="str">
        <f>IFERROR(_xlfn.LET(_xlpm.x,VLOOKUP($A312,'[1]Markings Threadings'!$B$3:$L$245,7,0),IF(_xlpm.x=0,"",_xlpm.x)),"")</f>
        <v/>
      </c>
      <c r="N312" s="5" t="str">
        <f>IFERROR(_xlfn.LET(_xlpm.x,VLOOKUP($A312,'[1]Markings Threadings'!$B$3:$L$245,8,0),IF(_xlpm.x=0,"",_xlpm.x)),"")</f>
        <v/>
      </c>
      <c r="O312" s="2" t="str">
        <f>IFERROR(_xlfn.LET(_xlpm.x,VLOOKUP($A312,'[1]Markings Threadings'!$B$3:$L$245,10,0),IF(_xlpm.x=0,"",_xlpm.x)),"")</f>
        <v/>
      </c>
      <c r="P312" s="5" t="str">
        <f>IFERROR(_xlfn.LET(_xlpm.x,VLOOKUP($A312,'[1]Markings Threadings'!$B$3:$L$245,11,0),IF(_xlpm.x=0,"",_xlpm.x)),"")</f>
        <v/>
      </c>
      <c r="Q312" s="1" t="str">
        <f>IFERROR(_xlfn.LET(_xlpm.x,VLOOKUP($A312,'[1]Markings Threadings'!$B$3:$L$245,4,0),IF(_xlpm.x=0,"",_xlpm.x)),"")</f>
        <v/>
      </c>
      <c r="R312" s="1" t="str">
        <f>IFERROR(_xlfn.LET(_xlpm.x,VLOOKUP($A312,'[1]Markings Threadings'!$B$3:$L$245,5,0),IF(_xlpm.x=0,"",_xlpm.x)),"")</f>
        <v/>
      </c>
      <c r="S312" s="1" t="str">
        <f>IFERROR(_xlfn.LET(_xlpm.x,VLOOKUP($A312,'[1]Markings Threadings'!$B$3:$L$245,6,0),IF(_xlpm.x=0,"",_xlpm.x)),"")</f>
        <v/>
      </c>
      <c r="T312" s="6" t="str">
        <f>IFERROR(_xlfn.LET(_xlpm.x,VLOOKUP($C312,[1]Summary!$A$2:$J$118,4,0),IF(_xlpm.x=0,"",_xlpm.x)),"")</f>
        <v/>
      </c>
      <c r="U312" s="6" t="str">
        <f>IFERROR(_xlfn.LET(_xlpm.x,VLOOKUP($C312,[1]Summary!$A$2:$J$118,5,0),IF(_xlpm.x=0,"",_xlpm.x)),"")</f>
        <v/>
      </c>
      <c r="V312" s="6" t="str">
        <f>IFERROR(_xlfn.LET(_xlpm.x,VLOOKUP($C312,[1]Summary!$A$2:$J$118,6,0),IF(_xlpm.x=0,"",_xlpm.x)),"")</f>
        <v/>
      </c>
      <c r="W312" s="6" t="str">
        <f>IFERROR(_xlfn.LET(_xlpm.x,VLOOKUP($C312,[1]Summary!$A$2:$J$118,7,0),IF(_xlpm.x=0,"",_xlpm.x)),"")</f>
        <v/>
      </c>
      <c r="X312" s="6" t="str">
        <f>IFERROR(_xlfn.LET(_xlpm.x,VLOOKUP($C312,[1]Summary!$A$2:$J$118,8,0),IF(_xlpm.x=0,"",_xlpm.x)),"")</f>
        <v/>
      </c>
      <c r="Y312" s="6" t="str">
        <f>IFERROR(_xlfn.LET(_xlpm.x,VLOOKUP($C312,[1]Summary!$A$2:$J$118,9,0),IF(_xlpm.x=0,"",_xlpm.x)),"")</f>
        <v/>
      </c>
      <c r="Z312" s="6" t="str">
        <f>IFERROR(_xlfn.LET(_xlpm.x,VLOOKUP($C312,[1]Summary!$A$2:$J$118,10,0),IF(_xlpm.x=0,"",_xlpm.x)),"")</f>
        <v/>
      </c>
    </row>
    <row r="313" spans="1:26" x14ac:dyDescent="0.25">
      <c r="A313" s="2">
        <v>1000000003821</v>
      </c>
      <c r="B313" s="5" t="s">
        <v>565</v>
      </c>
      <c r="C313" s="2">
        <v>3000000002062</v>
      </c>
      <c r="D313" s="5" t="s">
        <v>566</v>
      </c>
      <c r="E313" s="1">
        <v>4</v>
      </c>
      <c r="F313" s="1" t="s">
        <v>47</v>
      </c>
      <c r="G313" s="1">
        <v>4</v>
      </c>
      <c r="H313" s="1">
        <v>2</v>
      </c>
      <c r="I313" s="1">
        <v>2</v>
      </c>
      <c r="J313" s="1"/>
      <c r="K313" s="1">
        <v>50</v>
      </c>
      <c r="L313" s="1" t="str">
        <f>IFERROR(_xlfn.LET(_xlpm.x,VLOOKUP($A313,'[1]Markings Threadings'!$B$3:$L$245,3,0),IF(_xlpm.x=0,"",_xlpm.x)),"")</f>
        <v/>
      </c>
      <c r="M313" s="2" t="str">
        <f>IFERROR(_xlfn.LET(_xlpm.x,VLOOKUP($A313,'[1]Markings Threadings'!$B$3:$L$245,7,0),IF(_xlpm.x=0,"",_xlpm.x)),"")</f>
        <v/>
      </c>
      <c r="N313" s="5" t="str">
        <f>IFERROR(_xlfn.LET(_xlpm.x,VLOOKUP($A313,'[1]Markings Threadings'!$B$3:$L$245,8,0),IF(_xlpm.x=0,"",_xlpm.x)),"")</f>
        <v/>
      </c>
      <c r="O313" s="2" t="str">
        <f>IFERROR(_xlfn.LET(_xlpm.x,VLOOKUP($A313,'[1]Markings Threadings'!$B$3:$L$245,10,0),IF(_xlpm.x=0,"",_xlpm.x)),"")</f>
        <v/>
      </c>
      <c r="P313" s="5" t="str">
        <f>IFERROR(_xlfn.LET(_xlpm.x,VLOOKUP($A313,'[1]Markings Threadings'!$B$3:$L$245,11,0),IF(_xlpm.x=0,"",_xlpm.x)),"")</f>
        <v/>
      </c>
      <c r="Q313" s="1" t="str">
        <f>IFERROR(_xlfn.LET(_xlpm.x,VLOOKUP($A313,'[1]Markings Threadings'!$B$3:$L$245,4,0),IF(_xlpm.x=0,"",_xlpm.x)),"")</f>
        <v/>
      </c>
      <c r="R313" s="1" t="str">
        <f>IFERROR(_xlfn.LET(_xlpm.x,VLOOKUP($A313,'[1]Markings Threadings'!$B$3:$L$245,5,0),IF(_xlpm.x=0,"",_xlpm.x)),"")</f>
        <v/>
      </c>
      <c r="S313" s="1" t="str">
        <f>IFERROR(_xlfn.LET(_xlpm.x,VLOOKUP($A313,'[1]Markings Threadings'!$B$3:$L$245,6,0),IF(_xlpm.x=0,"",_xlpm.x)),"")</f>
        <v/>
      </c>
      <c r="T313" s="6" t="str">
        <f>IFERROR(_xlfn.LET(_xlpm.x,VLOOKUP($C313,[1]Summary!$A$2:$J$118,4,0),IF(_xlpm.x=0,"",_xlpm.x)),"")</f>
        <v/>
      </c>
      <c r="U313" s="6" t="str">
        <f>IFERROR(_xlfn.LET(_xlpm.x,VLOOKUP($C313,[1]Summary!$A$2:$J$118,5,0),IF(_xlpm.x=0,"",_xlpm.x)),"")</f>
        <v/>
      </c>
      <c r="V313" s="6" t="str">
        <f>IFERROR(_xlfn.LET(_xlpm.x,VLOOKUP($C313,[1]Summary!$A$2:$J$118,6,0),IF(_xlpm.x=0,"",_xlpm.x)),"")</f>
        <v/>
      </c>
      <c r="W313" s="6" t="str">
        <f>IFERROR(_xlfn.LET(_xlpm.x,VLOOKUP($C313,[1]Summary!$A$2:$J$118,7,0),IF(_xlpm.x=0,"",_xlpm.x)),"")</f>
        <v/>
      </c>
      <c r="X313" s="6" t="str">
        <f>IFERROR(_xlfn.LET(_xlpm.x,VLOOKUP($C313,[1]Summary!$A$2:$J$118,8,0),IF(_xlpm.x=0,"",_xlpm.x)),"")</f>
        <v/>
      </c>
      <c r="Y313" s="6" t="str">
        <f>IFERROR(_xlfn.LET(_xlpm.x,VLOOKUP($C313,[1]Summary!$A$2:$J$118,9,0),IF(_xlpm.x=0,"",_xlpm.x)),"")</f>
        <v/>
      </c>
      <c r="Z313" s="6" t="str">
        <f>IFERROR(_xlfn.LET(_xlpm.x,VLOOKUP($C313,[1]Summary!$A$2:$J$118,10,0),IF(_xlpm.x=0,"",_xlpm.x)),"")</f>
        <v/>
      </c>
    </row>
    <row r="314" spans="1:26" x14ac:dyDescent="0.25">
      <c r="A314" s="2">
        <v>1000000003822</v>
      </c>
      <c r="B314" s="5" t="s">
        <v>567</v>
      </c>
      <c r="C314" s="2">
        <v>3000000002063</v>
      </c>
      <c r="D314" s="5" t="s">
        <v>568</v>
      </c>
      <c r="E314" s="1">
        <v>3</v>
      </c>
      <c r="F314" s="1" t="s">
        <v>86</v>
      </c>
      <c r="G314" s="1">
        <v>3</v>
      </c>
      <c r="H314" s="1">
        <v>2</v>
      </c>
      <c r="I314" s="1">
        <v>2</v>
      </c>
      <c r="J314" s="1"/>
      <c r="K314" s="1">
        <v>50</v>
      </c>
      <c r="L314" s="1" t="str">
        <f>IFERROR(_xlfn.LET(_xlpm.x,VLOOKUP($A314,'[1]Markings Threadings'!$B$3:$L$245,3,0),IF(_xlpm.x=0,"",_xlpm.x)),"")</f>
        <v/>
      </c>
      <c r="M314" s="2" t="str">
        <f>IFERROR(_xlfn.LET(_xlpm.x,VLOOKUP($A314,'[1]Markings Threadings'!$B$3:$L$245,7,0),IF(_xlpm.x=0,"",_xlpm.x)),"")</f>
        <v/>
      </c>
      <c r="N314" s="5" t="str">
        <f>IFERROR(_xlfn.LET(_xlpm.x,VLOOKUP($A314,'[1]Markings Threadings'!$B$3:$L$245,8,0),IF(_xlpm.x=0,"",_xlpm.x)),"")</f>
        <v/>
      </c>
      <c r="O314" s="2" t="str">
        <f>IFERROR(_xlfn.LET(_xlpm.x,VLOOKUP($A314,'[1]Markings Threadings'!$B$3:$L$245,10,0),IF(_xlpm.x=0,"",_xlpm.x)),"")</f>
        <v/>
      </c>
      <c r="P314" s="5" t="str">
        <f>IFERROR(_xlfn.LET(_xlpm.x,VLOOKUP($A314,'[1]Markings Threadings'!$B$3:$L$245,11,0),IF(_xlpm.x=0,"",_xlpm.x)),"")</f>
        <v/>
      </c>
      <c r="Q314" s="1" t="str">
        <f>IFERROR(_xlfn.LET(_xlpm.x,VLOOKUP($A314,'[1]Markings Threadings'!$B$3:$L$245,4,0),IF(_xlpm.x=0,"",_xlpm.x)),"")</f>
        <v/>
      </c>
      <c r="R314" s="1" t="str">
        <f>IFERROR(_xlfn.LET(_xlpm.x,VLOOKUP($A314,'[1]Markings Threadings'!$B$3:$L$245,5,0),IF(_xlpm.x=0,"",_xlpm.x)),"")</f>
        <v/>
      </c>
      <c r="S314" s="1" t="str">
        <f>IFERROR(_xlfn.LET(_xlpm.x,VLOOKUP($A314,'[1]Markings Threadings'!$B$3:$L$245,6,0),IF(_xlpm.x=0,"",_xlpm.x)),"")</f>
        <v/>
      </c>
      <c r="T314" s="6" t="str">
        <f>IFERROR(_xlfn.LET(_xlpm.x,VLOOKUP($C314,[1]Summary!$A$2:$J$118,4,0),IF(_xlpm.x=0,"",_xlpm.x)),"")</f>
        <v/>
      </c>
      <c r="U314" s="6" t="str">
        <f>IFERROR(_xlfn.LET(_xlpm.x,VLOOKUP($C314,[1]Summary!$A$2:$J$118,5,0),IF(_xlpm.x=0,"",_xlpm.x)),"")</f>
        <v/>
      </c>
      <c r="V314" s="6" t="str">
        <f>IFERROR(_xlfn.LET(_xlpm.x,VLOOKUP($C314,[1]Summary!$A$2:$J$118,6,0),IF(_xlpm.x=0,"",_xlpm.x)),"")</f>
        <v/>
      </c>
      <c r="W314" s="6" t="str">
        <f>IFERROR(_xlfn.LET(_xlpm.x,VLOOKUP($C314,[1]Summary!$A$2:$J$118,7,0),IF(_xlpm.x=0,"",_xlpm.x)),"")</f>
        <v/>
      </c>
      <c r="X314" s="6" t="str">
        <f>IFERROR(_xlfn.LET(_xlpm.x,VLOOKUP($C314,[1]Summary!$A$2:$J$118,8,0),IF(_xlpm.x=0,"",_xlpm.x)),"")</f>
        <v/>
      </c>
      <c r="Y314" s="6" t="str">
        <f>IFERROR(_xlfn.LET(_xlpm.x,VLOOKUP($C314,[1]Summary!$A$2:$J$118,9,0),IF(_xlpm.x=0,"",_xlpm.x)),"")</f>
        <v/>
      </c>
      <c r="Z314" s="6" t="str">
        <f>IFERROR(_xlfn.LET(_xlpm.x,VLOOKUP($C314,[1]Summary!$A$2:$J$118,10,0),IF(_xlpm.x=0,"",_xlpm.x)),"")</f>
        <v/>
      </c>
    </row>
    <row r="315" spans="1:26" x14ac:dyDescent="0.25">
      <c r="A315" s="2">
        <v>1000000003823</v>
      </c>
      <c r="B315" s="5" t="s">
        <v>569</v>
      </c>
      <c r="C315" s="2">
        <v>3000000002064</v>
      </c>
      <c r="D315" s="5" t="s">
        <v>570</v>
      </c>
      <c r="E315" s="1">
        <v>4</v>
      </c>
      <c r="F315" s="1" t="s">
        <v>28</v>
      </c>
      <c r="G315" s="1">
        <v>4</v>
      </c>
      <c r="H315" s="1">
        <v>2</v>
      </c>
      <c r="I315" s="1">
        <v>2</v>
      </c>
      <c r="J315" s="1"/>
      <c r="K315" s="1">
        <v>50</v>
      </c>
      <c r="L315" s="1" t="str">
        <f>IFERROR(_xlfn.LET(_xlpm.x,VLOOKUP($A315,'[1]Markings Threadings'!$B$3:$L$245,3,0),IF(_xlpm.x=0,"",_xlpm.x)),"")</f>
        <v/>
      </c>
      <c r="M315" s="2" t="str">
        <f>IFERROR(_xlfn.LET(_xlpm.x,VLOOKUP($A315,'[1]Markings Threadings'!$B$3:$L$245,7,0),IF(_xlpm.x=0,"",_xlpm.x)),"")</f>
        <v/>
      </c>
      <c r="N315" s="5" t="str">
        <f>IFERROR(_xlfn.LET(_xlpm.x,VLOOKUP($A315,'[1]Markings Threadings'!$B$3:$L$245,8,0),IF(_xlpm.x=0,"",_xlpm.x)),"")</f>
        <v/>
      </c>
      <c r="O315" s="2" t="str">
        <f>IFERROR(_xlfn.LET(_xlpm.x,VLOOKUP($A315,'[1]Markings Threadings'!$B$3:$L$245,10,0),IF(_xlpm.x=0,"",_xlpm.x)),"")</f>
        <v/>
      </c>
      <c r="P315" s="5" t="str">
        <f>IFERROR(_xlfn.LET(_xlpm.x,VLOOKUP($A315,'[1]Markings Threadings'!$B$3:$L$245,11,0),IF(_xlpm.x=0,"",_xlpm.x)),"")</f>
        <v/>
      </c>
      <c r="Q315" s="1" t="str">
        <f>IFERROR(_xlfn.LET(_xlpm.x,VLOOKUP($A315,'[1]Markings Threadings'!$B$3:$L$245,4,0),IF(_xlpm.x=0,"",_xlpm.x)),"")</f>
        <v/>
      </c>
      <c r="R315" s="1" t="str">
        <f>IFERROR(_xlfn.LET(_xlpm.x,VLOOKUP($A315,'[1]Markings Threadings'!$B$3:$L$245,5,0),IF(_xlpm.x=0,"",_xlpm.x)),"")</f>
        <v/>
      </c>
      <c r="S315" s="1" t="str">
        <f>IFERROR(_xlfn.LET(_xlpm.x,VLOOKUP($A315,'[1]Markings Threadings'!$B$3:$L$245,6,0),IF(_xlpm.x=0,"",_xlpm.x)),"")</f>
        <v/>
      </c>
      <c r="T315" s="6" t="str">
        <f>IFERROR(_xlfn.LET(_xlpm.x,VLOOKUP($C315,[1]Summary!$A$2:$J$118,4,0),IF(_xlpm.x=0,"",_xlpm.x)),"")</f>
        <v/>
      </c>
      <c r="U315" s="6" t="str">
        <f>IFERROR(_xlfn.LET(_xlpm.x,VLOOKUP($C315,[1]Summary!$A$2:$J$118,5,0),IF(_xlpm.x=0,"",_xlpm.x)),"")</f>
        <v/>
      </c>
      <c r="V315" s="6" t="str">
        <f>IFERROR(_xlfn.LET(_xlpm.x,VLOOKUP($C315,[1]Summary!$A$2:$J$118,6,0),IF(_xlpm.x=0,"",_xlpm.x)),"")</f>
        <v/>
      </c>
      <c r="W315" s="6" t="str">
        <f>IFERROR(_xlfn.LET(_xlpm.x,VLOOKUP($C315,[1]Summary!$A$2:$J$118,7,0),IF(_xlpm.x=0,"",_xlpm.x)),"")</f>
        <v/>
      </c>
      <c r="X315" s="6" t="str">
        <f>IFERROR(_xlfn.LET(_xlpm.x,VLOOKUP($C315,[1]Summary!$A$2:$J$118,8,0),IF(_xlpm.x=0,"",_xlpm.x)),"")</f>
        <v/>
      </c>
      <c r="Y315" s="6" t="str">
        <f>IFERROR(_xlfn.LET(_xlpm.x,VLOOKUP($C315,[1]Summary!$A$2:$J$118,9,0),IF(_xlpm.x=0,"",_xlpm.x)),"")</f>
        <v/>
      </c>
      <c r="Z315" s="6" t="str">
        <f>IFERROR(_xlfn.LET(_xlpm.x,VLOOKUP($C315,[1]Summary!$A$2:$J$118,10,0),IF(_xlpm.x=0,"",_xlpm.x)),"")</f>
        <v/>
      </c>
    </row>
    <row r="316" spans="1:26" x14ac:dyDescent="0.25">
      <c r="A316" s="2">
        <v>1000000003824</v>
      </c>
      <c r="B316" s="5" t="s">
        <v>571</v>
      </c>
      <c r="C316" s="2">
        <v>3000000002065</v>
      </c>
      <c r="D316" s="5" t="s">
        <v>572</v>
      </c>
      <c r="E316" s="1">
        <v>4</v>
      </c>
      <c r="F316" s="1" t="s">
        <v>28</v>
      </c>
      <c r="G316" s="1">
        <v>4</v>
      </c>
      <c r="H316" s="1">
        <v>2</v>
      </c>
      <c r="I316" s="1">
        <v>2</v>
      </c>
      <c r="J316" s="1"/>
      <c r="K316" s="1">
        <v>50</v>
      </c>
      <c r="L316" s="1" t="str">
        <f>IFERROR(_xlfn.LET(_xlpm.x,VLOOKUP($A316,'[1]Markings Threadings'!$B$3:$L$245,3,0),IF(_xlpm.x=0,"",_xlpm.x)),"")</f>
        <v/>
      </c>
      <c r="M316" s="2" t="str">
        <f>IFERROR(_xlfn.LET(_xlpm.x,VLOOKUP($A316,'[1]Markings Threadings'!$B$3:$L$245,7,0),IF(_xlpm.x=0,"",_xlpm.x)),"")</f>
        <v/>
      </c>
      <c r="N316" s="5" t="str">
        <f>IFERROR(_xlfn.LET(_xlpm.x,VLOOKUP($A316,'[1]Markings Threadings'!$B$3:$L$245,8,0),IF(_xlpm.x=0,"",_xlpm.x)),"")</f>
        <v/>
      </c>
      <c r="O316" s="2" t="str">
        <f>IFERROR(_xlfn.LET(_xlpm.x,VLOOKUP($A316,'[1]Markings Threadings'!$B$3:$L$245,10,0),IF(_xlpm.x=0,"",_xlpm.x)),"")</f>
        <v/>
      </c>
      <c r="P316" s="5" t="str">
        <f>IFERROR(_xlfn.LET(_xlpm.x,VLOOKUP($A316,'[1]Markings Threadings'!$B$3:$L$245,11,0),IF(_xlpm.x=0,"",_xlpm.x)),"")</f>
        <v/>
      </c>
      <c r="Q316" s="1" t="str">
        <f>IFERROR(_xlfn.LET(_xlpm.x,VLOOKUP($A316,'[1]Markings Threadings'!$B$3:$L$245,4,0),IF(_xlpm.x=0,"",_xlpm.x)),"")</f>
        <v/>
      </c>
      <c r="R316" s="1" t="str">
        <f>IFERROR(_xlfn.LET(_xlpm.x,VLOOKUP($A316,'[1]Markings Threadings'!$B$3:$L$245,5,0),IF(_xlpm.x=0,"",_xlpm.x)),"")</f>
        <v/>
      </c>
      <c r="S316" s="1" t="str">
        <f>IFERROR(_xlfn.LET(_xlpm.x,VLOOKUP($A316,'[1]Markings Threadings'!$B$3:$L$245,6,0),IF(_xlpm.x=0,"",_xlpm.x)),"")</f>
        <v/>
      </c>
      <c r="T316" s="6" t="str">
        <f>IFERROR(_xlfn.LET(_xlpm.x,VLOOKUP($C316,[1]Summary!$A$2:$J$118,4,0),IF(_xlpm.x=0,"",_xlpm.x)),"")</f>
        <v/>
      </c>
      <c r="U316" s="6" t="str">
        <f>IFERROR(_xlfn.LET(_xlpm.x,VLOOKUP($C316,[1]Summary!$A$2:$J$118,5,0),IF(_xlpm.x=0,"",_xlpm.x)),"")</f>
        <v/>
      </c>
      <c r="V316" s="6" t="str">
        <f>IFERROR(_xlfn.LET(_xlpm.x,VLOOKUP($C316,[1]Summary!$A$2:$J$118,6,0),IF(_xlpm.x=0,"",_xlpm.x)),"")</f>
        <v/>
      </c>
      <c r="W316" s="6" t="str">
        <f>IFERROR(_xlfn.LET(_xlpm.x,VLOOKUP($C316,[1]Summary!$A$2:$J$118,7,0),IF(_xlpm.x=0,"",_xlpm.x)),"")</f>
        <v/>
      </c>
      <c r="X316" s="6" t="str">
        <f>IFERROR(_xlfn.LET(_xlpm.x,VLOOKUP($C316,[1]Summary!$A$2:$J$118,8,0),IF(_xlpm.x=0,"",_xlpm.x)),"")</f>
        <v/>
      </c>
      <c r="Y316" s="6" t="str">
        <f>IFERROR(_xlfn.LET(_xlpm.x,VLOOKUP($C316,[1]Summary!$A$2:$J$118,9,0),IF(_xlpm.x=0,"",_xlpm.x)),"")</f>
        <v/>
      </c>
      <c r="Z316" s="6" t="str">
        <f>IFERROR(_xlfn.LET(_xlpm.x,VLOOKUP($C316,[1]Summary!$A$2:$J$118,10,0),IF(_xlpm.x=0,"",_xlpm.x)),"")</f>
        <v/>
      </c>
    </row>
    <row r="317" spans="1:26" x14ac:dyDescent="0.25">
      <c r="A317" s="2">
        <v>1000000003883</v>
      </c>
      <c r="B317" s="5" t="s">
        <v>573</v>
      </c>
      <c r="C317" s="2">
        <v>3000000002075</v>
      </c>
      <c r="D317" s="5" t="s">
        <v>574</v>
      </c>
      <c r="E317" s="1">
        <v>4</v>
      </c>
      <c r="F317" s="1" t="s">
        <v>47</v>
      </c>
      <c r="G317" s="1">
        <v>4</v>
      </c>
      <c r="H317" s="1">
        <v>2</v>
      </c>
      <c r="I317" s="1">
        <v>2</v>
      </c>
      <c r="J317" s="1"/>
      <c r="K317" s="1">
        <v>50</v>
      </c>
      <c r="L317" s="1" t="str">
        <f>IFERROR(_xlfn.LET(_xlpm.x,VLOOKUP($A317,'[1]Markings Threadings'!$B$3:$L$245,3,0),IF(_xlpm.x=0,"",_xlpm.x)),"")</f>
        <v/>
      </c>
      <c r="M317" s="2" t="str">
        <f>IFERROR(_xlfn.LET(_xlpm.x,VLOOKUP($A317,'[1]Markings Threadings'!$B$3:$L$245,7,0),IF(_xlpm.x=0,"",_xlpm.x)),"")</f>
        <v/>
      </c>
      <c r="N317" s="5" t="str">
        <f>IFERROR(_xlfn.LET(_xlpm.x,VLOOKUP($A317,'[1]Markings Threadings'!$B$3:$L$245,8,0),IF(_xlpm.x=0,"",_xlpm.x)),"")</f>
        <v/>
      </c>
      <c r="O317" s="2" t="str">
        <f>IFERROR(_xlfn.LET(_xlpm.x,VLOOKUP($A317,'[1]Markings Threadings'!$B$3:$L$245,10,0),IF(_xlpm.x=0,"",_xlpm.x)),"")</f>
        <v/>
      </c>
      <c r="P317" s="5" t="str">
        <f>IFERROR(_xlfn.LET(_xlpm.x,VLOOKUP($A317,'[1]Markings Threadings'!$B$3:$L$245,11,0),IF(_xlpm.x=0,"",_xlpm.x)),"")</f>
        <v/>
      </c>
      <c r="Q317" s="1" t="str">
        <f>IFERROR(_xlfn.LET(_xlpm.x,VLOOKUP($A317,'[1]Markings Threadings'!$B$3:$L$245,4,0),IF(_xlpm.x=0,"",_xlpm.x)),"")</f>
        <v/>
      </c>
      <c r="R317" s="1" t="str">
        <f>IFERROR(_xlfn.LET(_xlpm.x,VLOOKUP($A317,'[1]Markings Threadings'!$B$3:$L$245,5,0),IF(_xlpm.x=0,"",_xlpm.x)),"")</f>
        <v/>
      </c>
      <c r="S317" s="1" t="str">
        <f>IFERROR(_xlfn.LET(_xlpm.x,VLOOKUP($A317,'[1]Markings Threadings'!$B$3:$L$245,6,0),IF(_xlpm.x=0,"",_xlpm.x)),"")</f>
        <v/>
      </c>
      <c r="T317" s="6" t="str">
        <f>IFERROR(_xlfn.LET(_xlpm.x,VLOOKUP($C317,[1]Summary!$A$2:$J$118,4,0),IF(_xlpm.x=0,"",_xlpm.x)),"")</f>
        <v/>
      </c>
      <c r="U317" s="6" t="str">
        <f>IFERROR(_xlfn.LET(_xlpm.x,VLOOKUP($C317,[1]Summary!$A$2:$J$118,5,0),IF(_xlpm.x=0,"",_xlpm.x)),"")</f>
        <v/>
      </c>
      <c r="V317" s="6" t="str">
        <f>IFERROR(_xlfn.LET(_xlpm.x,VLOOKUP($C317,[1]Summary!$A$2:$J$118,6,0),IF(_xlpm.x=0,"",_xlpm.x)),"")</f>
        <v/>
      </c>
      <c r="W317" s="6" t="str">
        <f>IFERROR(_xlfn.LET(_xlpm.x,VLOOKUP($C317,[1]Summary!$A$2:$J$118,7,0),IF(_xlpm.x=0,"",_xlpm.x)),"")</f>
        <v/>
      </c>
      <c r="X317" s="6" t="str">
        <f>IFERROR(_xlfn.LET(_xlpm.x,VLOOKUP($C317,[1]Summary!$A$2:$J$118,8,0),IF(_xlpm.x=0,"",_xlpm.x)),"")</f>
        <v/>
      </c>
      <c r="Y317" s="6" t="str">
        <f>IFERROR(_xlfn.LET(_xlpm.x,VLOOKUP($C317,[1]Summary!$A$2:$J$118,9,0),IF(_xlpm.x=0,"",_xlpm.x)),"")</f>
        <v/>
      </c>
      <c r="Z317" s="6" t="str">
        <f>IFERROR(_xlfn.LET(_xlpm.x,VLOOKUP($C317,[1]Summary!$A$2:$J$118,10,0),IF(_xlpm.x=0,"",_xlpm.x)),"")</f>
        <v/>
      </c>
    </row>
    <row r="318" spans="1:26" x14ac:dyDescent="0.25">
      <c r="A318" s="2">
        <v>1000000003884</v>
      </c>
      <c r="B318" s="5" t="s">
        <v>575</v>
      </c>
      <c r="C318" s="2">
        <v>3000000002076</v>
      </c>
      <c r="D318" s="5" t="s">
        <v>576</v>
      </c>
      <c r="E318" s="1">
        <v>4</v>
      </c>
      <c r="F318" s="1" t="s">
        <v>47</v>
      </c>
      <c r="G318" s="1">
        <v>4</v>
      </c>
      <c r="H318" s="1">
        <v>2</v>
      </c>
      <c r="I318" s="1">
        <v>2</v>
      </c>
      <c r="J318" s="1"/>
      <c r="K318" s="1">
        <v>50</v>
      </c>
      <c r="L318" s="1" t="str">
        <f>IFERROR(_xlfn.LET(_xlpm.x,VLOOKUP($A318,'[1]Markings Threadings'!$B$3:$L$245,3,0),IF(_xlpm.x=0,"",_xlpm.x)),"")</f>
        <v/>
      </c>
      <c r="M318" s="2" t="str">
        <f>IFERROR(_xlfn.LET(_xlpm.x,VLOOKUP($A318,'[1]Markings Threadings'!$B$3:$L$245,7,0),IF(_xlpm.x=0,"",_xlpm.x)),"")</f>
        <v/>
      </c>
      <c r="N318" s="5" t="str">
        <f>IFERROR(_xlfn.LET(_xlpm.x,VLOOKUP($A318,'[1]Markings Threadings'!$B$3:$L$245,8,0),IF(_xlpm.x=0,"",_xlpm.x)),"")</f>
        <v/>
      </c>
      <c r="O318" s="2" t="str">
        <f>IFERROR(_xlfn.LET(_xlpm.x,VLOOKUP($A318,'[1]Markings Threadings'!$B$3:$L$245,10,0),IF(_xlpm.x=0,"",_xlpm.x)),"")</f>
        <v/>
      </c>
      <c r="P318" s="5" t="str">
        <f>IFERROR(_xlfn.LET(_xlpm.x,VLOOKUP($A318,'[1]Markings Threadings'!$B$3:$L$245,11,0),IF(_xlpm.x=0,"",_xlpm.x)),"")</f>
        <v/>
      </c>
      <c r="Q318" s="1" t="str">
        <f>IFERROR(_xlfn.LET(_xlpm.x,VLOOKUP($A318,'[1]Markings Threadings'!$B$3:$L$245,4,0),IF(_xlpm.x=0,"",_xlpm.x)),"")</f>
        <v/>
      </c>
      <c r="R318" s="1" t="str">
        <f>IFERROR(_xlfn.LET(_xlpm.x,VLOOKUP($A318,'[1]Markings Threadings'!$B$3:$L$245,5,0),IF(_xlpm.x=0,"",_xlpm.x)),"")</f>
        <v/>
      </c>
      <c r="S318" s="1" t="str">
        <f>IFERROR(_xlfn.LET(_xlpm.x,VLOOKUP($A318,'[1]Markings Threadings'!$B$3:$L$245,6,0),IF(_xlpm.x=0,"",_xlpm.x)),"")</f>
        <v/>
      </c>
      <c r="T318" s="6" t="str">
        <f>IFERROR(_xlfn.LET(_xlpm.x,VLOOKUP($C318,[1]Summary!$A$2:$J$118,4,0),IF(_xlpm.x=0,"",_xlpm.x)),"")</f>
        <v/>
      </c>
      <c r="U318" s="6" t="str">
        <f>IFERROR(_xlfn.LET(_xlpm.x,VLOOKUP($C318,[1]Summary!$A$2:$J$118,5,0),IF(_xlpm.x=0,"",_xlpm.x)),"")</f>
        <v/>
      </c>
      <c r="V318" s="6" t="str">
        <f>IFERROR(_xlfn.LET(_xlpm.x,VLOOKUP($C318,[1]Summary!$A$2:$J$118,6,0),IF(_xlpm.x=0,"",_xlpm.x)),"")</f>
        <v/>
      </c>
      <c r="W318" s="6" t="str">
        <f>IFERROR(_xlfn.LET(_xlpm.x,VLOOKUP($C318,[1]Summary!$A$2:$J$118,7,0),IF(_xlpm.x=0,"",_xlpm.x)),"")</f>
        <v/>
      </c>
      <c r="X318" s="6" t="str">
        <f>IFERROR(_xlfn.LET(_xlpm.x,VLOOKUP($C318,[1]Summary!$A$2:$J$118,8,0),IF(_xlpm.x=0,"",_xlpm.x)),"")</f>
        <v/>
      </c>
      <c r="Y318" s="6" t="str">
        <f>IFERROR(_xlfn.LET(_xlpm.x,VLOOKUP($C318,[1]Summary!$A$2:$J$118,9,0),IF(_xlpm.x=0,"",_xlpm.x)),"")</f>
        <v/>
      </c>
      <c r="Z318" s="6" t="str">
        <f>IFERROR(_xlfn.LET(_xlpm.x,VLOOKUP($C318,[1]Summary!$A$2:$J$118,10,0),IF(_xlpm.x=0,"",_xlpm.x)),"")</f>
        <v/>
      </c>
    </row>
    <row r="319" spans="1:26" x14ac:dyDescent="0.25">
      <c r="A319" s="2">
        <v>1000000003885</v>
      </c>
      <c r="B319" s="5" t="s">
        <v>577</v>
      </c>
      <c r="C319" s="2">
        <v>3000000002077</v>
      </c>
      <c r="D319" s="5" t="s">
        <v>578</v>
      </c>
      <c r="E319" s="1">
        <v>4</v>
      </c>
      <c r="F319" s="1" t="s">
        <v>67</v>
      </c>
      <c r="G319" s="1">
        <v>4</v>
      </c>
      <c r="H319" s="1">
        <v>2</v>
      </c>
      <c r="I319" s="1">
        <v>2</v>
      </c>
      <c r="J319" s="1"/>
      <c r="K319" s="1">
        <v>50</v>
      </c>
      <c r="L319" s="1" t="str">
        <f>IFERROR(_xlfn.LET(_xlpm.x,VLOOKUP($A319,'[1]Markings Threadings'!$B$3:$L$245,3,0),IF(_xlpm.x=0,"",_xlpm.x)),"")</f>
        <v/>
      </c>
      <c r="M319" s="2" t="str">
        <f>IFERROR(_xlfn.LET(_xlpm.x,VLOOKUP($A319,'[1]Markings Threadings'!$B$3:$L$245,7,0),IF(_xlpm.x=0,"",_xlpm.x)),"")</f>
        <v/>
      </c>
      <c r="N319" s="5" t="str">
        <f>IFERROR(_xlfn.LET(_xlpm.x,VLOOKUP($A319,'[1]Markings Threadings'!$B$3:$L$245,8,0),IF(_xlpm.x=0,"",_xlpm.x)),"")</f>
        <v/>
      </c>
      <c r="O319" s="2" t="str">
        <f>IFERROR(_xlfn.LET(_xlpm.x,VLOOKUP($A319,'[1]Markings Threadings'!$B$3:$L$245,10,0),IF(_xlpm.x=0,"",_xlpm.x)),"")</f>
        <v/>
      </c>
      <c r="P319" s="5" t="str">
        <f>IFERROR(_xlfn.LET(_xlpm.x,VLOOKUP($A319,'[1]Markings Threadings'!$B$3:$L$245,11,0),IF(_xlpm.x=0,"",_xlpm.x)),"")</f>
        <v/>
      </c>
      <c r="Q319" s="1" t="str">
        <f>IFERROR(_xlfn.LET(_xlpm.x,VLOOKUP($A319,'[1]Markings Threadings'!$B$3:$L$245,4,0),IF(_xlpm.x=0,"",_xlpm.x)),"")</f>
        <v/>
      </c>
      <c r="R319" s="1" t="str">
        <f>IFERROR(_xlfn.LET(_xlpm.x,VLOOKUP($A319,'[1]Markings Threadings'!$B$3:$L$245,5,0),IF(_xlpm.x=0,"",_xlpm.x)),"")</f>
        <v/>
      </c>
      <c r="S319" s="1" t="str">
        <f>IFERROR(_xlfn.LET(_xlpm.x,VLOOKUP($A319,'[1]Markings Threadings'!$B$3:$L$245,6,0),IF(_xlpm.x=0,"",_xlpm.x)),"")</f>
        <v/>
      </c>
      <c r="T319" s="6" t="str">
        <f>IFERROR(_xlfn.LET(_xlpm.x,VLOOKUP($C319,[1]Summary!$A$2:$J$118,4,0),IF(_xlpm.x=0,"",_xlpm.x)),"")</f>
        <v/>
      </c>
      <c r="U319" s="6" t="str">
        <f>IFERROR(_xlfn.LET(_xlpm.x,VLOOKUP($C319,[1]Summary!$A$2:$J$118,5,0),IF(_xlpm.x=0,"",_xlpm.x)),"")</f>
        <v/>
      </c>
      <c r="V319" s="6" t="str">
        <f>IFERROR(_xlfn.LET(_xlpm.x,VLOOKUP($C319,[1]Summary!$A$2:$J$118,6,0),IF(_xlpm.x=0,"",_xlpm.x)),"")</f>
        <v/>
      </c>
      <c r="W319" s="6" t="str">
        <f>IFERROR(_xlfn.LET(_xlpm.x,VLOOKUP($C319,[1]Summary!$A$2:$J$118,7,0),IF(_xlpm.x=0,"",_xlpm.x)),"")</f>
        <v/>
      </c>
      <c r="X319" s="6" t="str">
        <f>IFERROR(_xlfn.LET(_xlpm.x,VLOOKUP($C319,[1]Summary!$A$2:$J$118,8,0),IF(_xlpm.x=0,"",_xlpm.x)),"")</f>
        <v/>
      </c>
      <c r="Y319" s="6" t="str">
        <f>IFERROR(_xlfn.LET(_xlpm.x,VLOOKUP($C319,[1]Summary!$A$2:$J$118,9,0),IF(_xlpm.x=0,"",_xlpm.x)),"")</f>
        <v/>
      </c>
      <c r="Z319" s="6" t="str">
        <f>IFERROR(_xlfn.LET(_xlpm.x,VLOOKUP($C319,[1]Summary!$A$2:$J$118,10,0),IF(_xlpm.x=0,"",_xlpm.x)),"")</f>
        <v/>
      </c>
    </row>
    <row r="320" spans="1:26" x14ac:dyDescent="0.25">
      <c r="A320" s="2">
        <v>1000000003886</v>
      </c>
      <c r="B320" s="5" t="s">
        <v>579</v>
      </c>
      <c r="C320" s="2">
        <v>3000000002078</v>
      </c>
      <c r="D320" s="5" t="s">
        <v>580</v>
      </c>
      <c r="E320" s="1">
        <v>4</v>
      </c>
      <c r="F320" s="1" t="s">
        <v>54</v>
      </c>
      <c r="G320" s="1">
        <v>4</v>
      </c>
      <c r="H320" s="1">
        <v>2</v>
      </c>
      <c r="I320" s="1">
        <v>2</v>
      </c>
      <c r="J320" s="1"/>
      <c r="K320" s="1">
        <v>50</v>
      </c>
      <c r="L320" s="1" t="str">
        <f>IFERROR(_xlfn.LET(_xlpm.x,VLOOKUP($A320,'[1]Markings Threadings'!$B$3:$L$245,3,0),IF(_xlpm.x=0,"",_xlpm.x)),"")</f>
        <v/>
      </c>
      <c r="M320" s="2" t="str">
        <f>IFERROR(_xlfn.LET(_xlpm.x,VLOOKUP($A320,'[1]Markings Threadings'!$B$3:$L$245,7,0),IF(_xlpm.x=0,"",_xlpm.x)),"")</f>
        <v/>
      </c>
      <c r="N320" s="5" t="str">
        <f>IFERROR(_xlfn.LET(_xlpm.x,VLOOKUP($A320,'[1]Markings Threadings'!$B$3:$L$245,8,0),IF(_xlpm.x=0,"",_xlpm.x)),"")</f>
        <v/>
      </c>
      <c r="O320" s="2" t="str">
        <f>IFERROR(_xlfn.LET(_xlpm.x,VLOOKUP($A320,'[1]Markings Threadings'!$B$3:$L$245,10,0),IF(_xlpm.x=0,"",_xlpm.x)),"")</f>
        <v/>
      </c>
      <c r="P320" s="5" t="str">
        <f>IFERROR(_xlfn.LET(_xlpm.x,VLOOKUP($A320,'[1]Markings Threadings'!$B$3:$L$245,11,0),IF(_xlpm.x=0,"",_xlpm.x)),"")</f>
        <v/>
      </c>
      <c r="Q320" s="1" t="str">
        <f>IFERROR(_xlfn.LET(_xlpm.x,VLOOKUP($A320,'[1]Markings Threadings'!$B$3:$L$245,4,0),IF(_xlpm.x=0,"",_xlpm.x)),"")</f>
        <v/>
      </c>
      <c r="R320" s="1" t="str">
        <f>IFERROR(_xlfn.LET(_xlpm.x,VLOOKUP($A320,'[1]Markings Threadings'!$B$3:$L$245,5,0),IF(_xlpm.x=0,"",_xlpm.x)),"")</f>
        <v/>
      </c>
      <c r="S320" s="1" t="str">
        <f>IFERROR(_xlfn.LET(_xlpm.x,VLOOKUP($A320,'[1]Markings Threadings'!$B$3:$L$245,6,0),IF(_xlpm.x=0,"",_xlpm.x)),"")</f>
        <v/>
      </c>
      <c r="T320" s="6" t="str">
        <f>IFERROR(_xlfn.LET(_xlpm.x,VLOOKUP($C320,[1]Summary!$A$2:$J$118,4,0),IF(_xlpm.x=0,"",_xlpm.x)),"")</f>
        <v/>
      </c>
      <c r="U320" s="6" t="str">
        <f>IFERROR(_xlfn.LET(_xlpm.x,VLOOKUP($C320,[1]Summary!$A$2:$J$118,5,0),IF(_xlpm.x=0,"",_xlpm.x)),"")</f>
        <v/>
      </c>
      <c r="V320" s="6" t="str">
        <f>IFERROR(_xlfn.LET(_xlpm.x,VLOOKUP($C320,[1]Summary!$A$2:$J$118,6,0),IF(_xlpm.x=0,"",_xlpm.x)),"")</f>
        <v/>
      </c>
      <c r="W320" s="6" t="str">
        <f>IFERROR(_xlfn.LET(_xlpm.x,VLOOKUP($C320,[1]Summary!$A$2:$J$118,7,0),IF(_xlpm.x=0,"",_xlpm.x)),"")</f>
        <v/>
      </c>
      <c r="X320" s="6" t="str">
        <f>IFERROR(_xlfn.LET(_xlpm.x,VLOOKUP($C320,[1]Summary!$A$2:$J$118,8,0),IF(_xlpm.x=0,"",_xlpm.x)),"")</f>
        <v/>
      </c>
      <c r="Y320" s="6" t="str">
        <f>IFERROR(_xlfn.LET(_xlpm.x,VLOOKUP($C320,[1]Summary!$A$2:$J$118,9,0),IF(_xlpm.x=0,"",_xlpm.x)),"")</f>
        <v/>
      </c>
      <c r="Z320" s="6" t="str">
        <f>IFERROR(_xlfn.LET(_xlpm.x,VLOOKUP($C320,[1]Summary!$A$2:$J$118,10,0),IF(_xlpm.x=0,"",_xlpm.x)),"")</f>
        <v/>
      </c>
    </row>
    <row r="321" spans="1:26" x14ac:dyDescent="0.25">
      <c r="A321" s="2">
        <v>1000000003887</v>
      </c>
      <c r="B321" s="5" t="s">
        <v>581</v>
      </c>
      <c r="C321" s="2">
        <v>3000000002079</v>
      </c>
      <c r="D321" s="5" t="s">
        <v>582</v>
      </c>
      <c r="E321" s="1">
        <v>4</v>
      </c>
      <c r="F321" s="1" t="s">
        <v>54</v>
      </c>
      <c r="G321" s="1">
        <v>4</v>
      </c>
      <c r="H321" s="1">
        <v>2</v>
      </c>
      <c r="I321" s="1">
        <v>2</v>
      </c>
      <c r="J321" s="1"/>
      <c r="K321" s="1">
        <v>50</v>
      </c>
      <c r="L321" s="1" t="str">
        <f>IFERROR(_xlfn.LET(_xlpm.x,VLOOKUP($A321,'[1]Markings Threadings'!$B$3:$L$245,3,0),IF(_xlpm.x=0,"",_xlpm.x)),"")</f>
        <v/>
      </c>
      <c r="M321" s="2" t="str">
        <f>IFERROR(_xlfn.LET(_xlpm.x,VLOOKUP($A321,'[1]Markings Threadings'!$B$3:$L$245,7,0),IF(_xlpm.x=0,"",_xlpm.x)),"")</f>
        <v/>
      </c>
      <c r="N321" s="5" t="str">
        <f>IFERROR(_xlfn.LET(_xlpm.x,VLOOKUP($A321,'[1]Markings Threadings'!$B$3:$L$245,8,0),IF(_xlpm.x=0,"",_xlpm.x)),"")</f>
        <v/>
      </c>
      <c r="O321" s="2" t="str">
        <f>IFERROR(_xlfn.LET(_xlpm.x,VLOOKUP($A321,'[1]Markings Threadings'!$B$3:$L$245,10,0),IF(_xlpm.x=0,"",_xlpm.x)),"")</f>
        <v/>
      </c>
      <c r="P321" s="5" t="str">
        <f>IFERROR(_xlfn.LET(_xlpm.x,VLOOKUP($A321,'[1]Markings Threadings'!$B$3:$L$245,11,0),IF(_xlpm.x=0,"",_xlpm.x)),"")</f>
        <v/>
      </c>
      <c r="Q321" s="1" t="str">
        <f>IFERROR(_xlfn.LET(_xlpm.x,VLOOKUP($A321,'[1]Markings Threadings'!$B$3:$L$245,4,0),IF(_xlpm.x=0,"",_xlpm.x)),"")</f>
        <v/>
      </c>
      <c r="R321" s="1" t="str">
        <f>IFERROR(_xlfn.LET(_xlpm.x,VLOOKUP($A321,'[1]Markings Threadings'!$B$3:$L$245,5,0),IF(_xlpm.x=0,"",_xlpm.x)),"")</f>
        <v/>
      </c>
      <c r="S321" s="1" t="str">
        <f>IFERROR(_xlfn.LET(_xlpm.x,VLOOKUP($A321,'[1]Markings Threadings'!$B$3:$L$245,6,0),IF(_xlpm.x=0,"",_xlpm.x)),"")</f>
        <v/>
      </c>
      <c r="T321" s="6" t="str">
        <f>IFERROR(_xlfn.LET(_xlpm.x,VLOOKUP($C321,[1]Summary!$A$2:$J$118,4,0),IF(_xlpm.x=0,"",_xlpm.x)),"")</f>
        <v/>
      </c>
      <c r="U321" s="6" t="str">
        <f>IFERROR(_xlfn.LET(_xlpm.x,VLOOKUP($C321,[1]Summary!$A$2:$J$118,5,0),IF(_xlpm.x=0,"",_xlpm.x)),"")</f>
        <v/>
      </c>
      <c r="V321" s="6" t="str">
        <f>IFERROR(_xlfn.LET(_xlpm.x,VLOOKUP($C321,[1]Summary!$A$2:$J$118,6,0),IF(_xlpm.x=0,"",_xlpm.x)),"")</f>
        <v/>
      </c>
      <c r="W321" s="6" t="str">
        <f>IFERROR(_xlfn.LET(_xlpm.x,VLOOKUP($C321,[1]Summary!$A$2:$J$118,7,0),IF(_xlpm.x=0,"",_xlpm.x)),"")</f>
        <v/>
      </c>
      <c r="X321" s="6" t="str">
        <f>IFERROR(_xlfn.LET(_xlpm.x,VLOOKUP($C321,[1]Summary!$A$2:$J$118,8,0),IF(_xlpm.x=0,"",_xlpm.x)),"")</f>
        <v/>
      </c>
      <c r="Y321" s="6" t="str">
        <f>IFERROR(_xlfn.LET(_xlpm.x,VLOOKUP($C321,[1]Summary!$A$2:$J$118,9,0),IF(_xlpm.x=0,"",_xlpm.x)),"")</f>
        <v/>
      </c>
      <c r="Z321" s="6" t="str">
        <f>IFERROR(_xlfn.LET(_xlpm.x,VLOOKUP($C321,[1]Summary!$A$2:$J$118,10,0),IF(_xlpm.x=0,"",_xlpm.x)),"")</f>
        <v/>
      </c>
    </row>
    <row r="322" spans="1:26" x14ac:dyDescent="0.25">
      <c r="A322" s="2">
        <v>1000000003888</v>
      </c>
      <c r="B322" s="5" t="s">
        <v>583</v>
      </c>
      <c r="C322" s="2">
        <v>3000000002080</v>
      </c>
      <c r="D322" s="5" t="s">
        <v>584</v>
      </c>
      <c r="E322" s="1">
        <v>4</v>
      </c>
      <c r="F322" s="1" t="s">
        <v>54</v>
      </c>
      <c r="G322" s="1">
        <v>4</v>
      </c>
      <c r="H322" s="1">
        <v>2</v>
      </c>
      <c r="I322" s="1">
        <v>2</v>
      </c>
      <c r="J322" s="1"/>
      <c r="K322" s="1">
        <v>50</v>
      </c>
      <c r="L322" s="1" t="str">
        <f>IFERROR(_xlfn.LET(_xlpm.x,VLOOKUP($A322,'[1]Markings Threadings'!$B$3:$L$245,3,0),IF(_xlpm.x=0,"",_xlpm.x)),"")</f>
        <v/>
      </c>
      <c r="M322" s="2" t="str">
        <f>IFERROR(_xlfn.LET(_xlpm.x,VLOOKUP($A322,'[1]Markings Threadings'!$B$3:$L$245,7,0),IF(_xlpm.x=0,"",_xlpm.x)),"")</f>
        <v/>
      </c>
      <c r="N322" s="5" t="str">
        <f>IFERROR(_xlfn.LET(_xlpm.x,VLOOKUP($A322,'[1]Markings Threadings'!$B$3:$L$245,8,0),IF(_xlpm.x=0,"",_xlpm.x)),"")</f>
        <v/>
      </c>
      <c r="O322" s="2" t="str">
        <f>IFERROR(_xlfn.LET(_xlpm.x,VLOOKUP($A322,'[1]Markings Threadings'!$B$3:$L$245,10,0),IF(_xlpm.x=0,"",_xlpm.x)),"")</f>
        <v/>
      </c>
      <c r="P322" s="5" t="str">
        <f>IFERROR(_xlfn.LET(_xlpm.x,VLOOKUP($A322,'[1]Markings Threadings'!$B$3:$L$245,11,0),IF(_xlpm.x=0,"",_xlpm.x)),"")</f>
        <v/>
      </c>
      <c r="Q322" s="1" t="str">
        <f>IFERROR(_xlfn.LET(_xlpm.x,VLOOKUP($A322,'[1]Markings Threadings'!$B$3:$L$245,4,0),IF(_xlpm.x=0,"",_xlpm.x)),"")</f>
        <v/>
      </c>
      <c r="R322" s="1" t="str">
        <f>IFERROR(_xlfn.LET(_xlpm.x,VLOOKUP($A322,'[1]Markings Threadings'!$B$3:$L$245,5,0),IF(_xlpm.x=0,"",_xlpm.x)),"")</f>
        <v/>
      </c>
      <c r="S322" s="1" t="str">
        <f>IFERROR(_xlfn.LET(_xlpm.x,VLOOKUP($A322,'[1]Markings Threadings'!$B$3:$L$245,6,0),IF(_xlpm.x=0,"",_xlpm.x)),"")</f>
        <v/>
      </c>
      <c r="T322" s="6" t="str">
        <f>IFERROR(_xlfn.LET(_xlpm.x,VLOOKUP($C322,[1]Summary!$A$2:$J$118,4,0),IF(_xlpm.x=0,"",_xlpm.x)),"")</f>
        <v/>
      </c>
      <c r="U322" s="6" t="str">
        <f>IFERROR(_xlfn.LET(_xlpm.x,VLOOKUP($C322,[1]Summary!$A$2:$J$118,5,0),IF(_xlpm.x=0,"",_xlpm.x)),"")</f>
        <v/>
      </c>
      <c r="V322" s="6" t="str">
        <f>IFERROR(_xlfn.LET(_xlpm.x,VLOOKUP($C322,[1]Summary!$A$2:$J$118,6,0),IF(_xlpm.x=0,"",_xlpm.x)),"")</f>
        <v/>
      </c>
      <c r="W322" s="6" t="str">
        <f>IFERROR(_xlfn.LET(_xlpm.x,VLOOKUP($C322,[1]Summary!$A$2:$J$118,7,0),IF(_xlpm.x=0,"",_xlpm.x)),"")</f>
        <v/>
      </c>
      <c r="X322" s="6" t="str">
        <f>IFERROR(_xlfn.LET(_xlpm.x,VLOOKUP($C322,[1]Summary!$A$2:$J$118,8,0),IF(_xlpm.x=0,"",_xlpm.x)),"")</f>
        <v/>
      </c>
      <c r="Y322" s="6" t="str">
        <f>IFERROR(_xlfn.LET(_xlpm.x,VLOOKUP($C322,[1]Summary!$A$2:$J$118,9,0),IF(_xlpm.x=0,"",_xlpm.x)),"")</f>
        <v/>
      </c>
      <c r="Z322" s="6" t="str">
        <f>IFERROR(_xlfn.LET(_xlpm.x,VLOOKUP($C322,[1]Summary!$A$2:$J$118,10,0),IF(_xlpm.x=0,"",_xlpm.x)),"")</f>
        <v/>
      </c>
    </row>
    <row r="323" spans="1:26" x14ac:dyDescent="0.25">
      <c r="A323" s="2">
        <v>1000000003889</v>
      </c>
      <c r="B323" s="5" t="s">
        <v>585</v>
      </c>
      <c r="C323" s="2">
        <v>3000000002081</v>
      </c>
      <c r="D323" s="5" t="s">
        <v>586</v>
      </c>
      <c r="E323" s="1">
        <v>4</v>
      </c>
      <c r="F323" s="1" t="s">
        <v>54</v>
      </c>
      <c r="G323" s="1">
        <v>4</v>
      </c>
      <c r="H323" s="1">
        <v>2</v>
      </c>
      <c r="I323" s="1">
        <v>2</v>
      </c>
      <c r="J323" s="1"/>
      <c r="K323" s="1">
        <v>50</v>
      </c>
      <c r="L323" s="1" t="str">
        <f>IFERROR(_xlfn.LET(_xlpm.x,VLOOKUP($A323,'[1]Markings Threadings'!$B$3:$L$245,3,0),IF(_xlpm.x=0,"",_xlpm.x)),"")</f>
        <v/>
      </c>
      <c r="M323" s="2" t="str">
        <f>IFERROR(_xlfn.LET(_xlpm.x,VLOOKUP($A323,'[1]Markings Threadings'!$B$3:$L$245,7,0),IF(_xlpm.x=0,"",_xlpm.x)),"")</f>
        <v/>
      </c>
      <c r="N323" s="5" t="str">
        <f>IFERROR(_xlfn.LET(_xlpm.x,VLOOKUP($A323,'[1]Markings Threadings'!$B$3:$L$245,8,0),IF(_xlpm.x=0,"",_xlpm.x)),"")</f>
        <v/>
      </c>
      <c r="O323" s="2" t="str">
        <f>IFERROR(_xlfn.LET(_xlpm.x,VLOOKUP($A323,'[1]Markings Threadings'!$B$3:$L$245,10,0),IF(_xlpm.x=0,"",_xlpm.x)),"")</f>
        <v/>
      </c>
      <c r="P323" s="5" t="str">
        <f>IFERROR(_xlfn.LET(_xlpm.x,VLOOKUP($A323,'[1]Markings Threadings'!$B$3:$L$245,11,0),IF(_xlpm.x=0,"",_xlpm.x)),"")</f>
        <v/>
      </c>
      <c r="Q323" s="1" t="str">
        <f>IFERROR(_xlfn.LET(_xlpm.x,VLOOKUP($A323,'[1]Markings Threadings'!$B$3:$L$245,4,0),IF(_xlpm.x=0,"",_xlpm.x)),"")</f>
        <v/>
      </c>
      <c r="R323" s="1" t="str">
        <f>IFERROR(_xlfn.LET(_xlpm.x,VLOOKUP($A323,'[1]Markings Threadings'!$B$3:$L$245,5,0),IF(_xlpm.x=0,"",_xlpm.x)),"")</f>
        <v/>
      </c>
      <c r="S323" s="1" t="str">
        <f>IFERROR(_xlfn.LET(_xlpm.x,VLOOKUP($A323,'[1]Markings Threadings'!$B$3:$L$245,6,0),IF(_xlpm.x=0,"",_xlpm.x)),"")</f>
        <v/>
      </c>
      <c r="T323" s="6" t="str">
        <f>IFERROR(_xlfn.LET(_xlpm.x,VLOOKUP($C323,[1]Summary!$A$2:$J$118,4,0),IF(_xlpm.x=0,"",_xlpm.x)),"")</f>
        <v/>
      </c>
      <c r="U323" s="6" t="str">
        <f>IFERROR(_xlfn.LET(_xlpm.x,VLOOKUP($C323,[1]Summary!$A$2:$J$118,5,0),IF(_xlpm.x=0,"",_xlpm.x)),"")</f>
        <v/>
      </c>
      <c r="V323" s="6" t="str">
        <f>IFERROR(_xlfn.LET(_xlpm.x,VLOOKUP($C323,[1]Summary!$A$2:$J$118,6,0),IF(_xlpm.x=0,"",_xlpm.x)),"")</f>
        <v/>
      </c>
      <c r="W323" s="6" t="str">
        <f>IFERROR(_xlfn.LET(_xlpm.x,VLOOKUP($C323,[1]Summary!$A$2:$J$118,7,0),IF(_xlpm.x=0,"",_xlpm.x)),"")</f>
        <v/>
      </c>
      <c r="X323" s="6" t="str">
        <f>IFERROR(_xlfn.LET(_xlpm.x,VLOOKUP($C323,[1]Summary!$A$2:$J$118,8,0),IF(_xlpm.x=0,"",_xlpm.x)),"")</f>
        <v/>
      </c>
      <c r="Y323" s="6" t="str">
        <f>IFERROR(_xlfn.LET(_xlpm.x,VLOOKUP($C323,[1]Summary!$A$2:$J$118,9,0),IF(_xlpm.x=0,"",_xlpm.x)),"")</f>
        <v/>
      </c>
      <c r="Z323" s="6" t="str">
        <f>IFERROR(_xlfn.LET(_xlpm.x,VLOOKUP($C323,[1]Summary!$A$2:$J$118,10,0),IF(_xlpm.x=0,"",_xlpm.x)),"")</f>
        <v/>
      </c>
    </row>
    <row r="324" spans="1:26" x14ac:dyDescent="0.25">
      <c r="A324" s="2">
        <v>1000000003890</v>
      </c>
      <c r="B324" s="5" t="s">
        <v>587</v>
      </c>
      <c r="C324" s="2">
        <v>3000000002082</v>
      </c>
      <c r="D324" s="5" t="s">
        <v>588</v>
      </c>
      <c r="E324" s="1">
        <v>4</v>
      </c>
      <c r="F324" s="1" t="s">
        <v>54</v>
      </c>
      <c r="G324" s="1">
        <v>4</v>
      </c>
      <c r="H324" s="1">
        <v>2</v>
      </c>
      <c r="I324" s="1">
        <v>2</v>
      </c>
      <c r="J324" s="1"/>
      <c r="K324" s="1">
        <v>50</v>
      </c>
      <c r="L324" s="1" t="str">
        <f>IFERROR(_xlfn.LET(_xlpm.x,VLOOKUP($A324,'[1]Markings Threadings'!$B$3:$L$245,3,0),IF(_xlpm.x=0,"",_xlpm.x)),"")</f>
        <v/>
      </c>
      <c r="M324" s="2" t="str">
        <f>IFERROR(_xlfn.LET(_xlpm.x,VLOOKUP($A324,'[1]Markings Threadings'!$B$3:$L$245,7,0),IF(_xlpm.x=0,"",_xlpm.x)),"")</f>
        <v/>
      </c>
      <c r="N324" s="5" t="str">
        <f>IFERROR(_xlfn.LET(_xlpm.x,VLOOKUP($A324,'[1]Markings Threadings'!$B$3:$L$245,8,0),IF(_xlpm.x=0,"",_xlpm.x)),"")</f>
        <v/>
      </c>
      <c r="O324" s="2" t="str">
        <f>IFERROR(_xlfn.LET(_xlpm.x,VLOOKUP($A324,'[1]Markings Threadings'!$B$3:$L$245,10,0),IF(_xlpm.x=0,"",_xlpm.x)),"")</f>
        <v/>
      </c>
      <c r="P324" s="5" t="str">
        <f>IFERROR(_xlfn.LET(_xlpm.x,VLOOKUP($A324,'[1]Markings Threadings'!$B$3:$L$245,11,0),IF(_xlpm.x=0,"",_xlpm.x)),"")</f>
        <v/>
      </c>
      <c r="Q324" s="1" t="str">
        <f>IFERROR(_xlfn.LET(_xlpm.x,VLOOKUP($A324,'[1]Markings Threadings'!$B$3:$L$245,4,0),IF(_xlpm.x=0,"",_xlpm.x)),"")</f>
        <v/>
      </c>
      <c r="R324" s="1" t="str">
        <f>IFERROR(_xlfn.LET(_xlpm.x,VLOOKUP($A324,'[1]Markings Threadings'!$B$3:$L$245,5,0),IF(_xlpm.x=0,"",_xlpm.x)),"")</f>
        <v/>
      </c>
      <c r="S324" s="1" t="str">
        <f>IFERROR(_xlfn.LET(_xlpm.x,VLOOKUP($A324,'[1]Markings Threadings'!$B$3:$L$245,6,0),IF(_xlpm.x=0,"",_xlpm.x)),"")</f>
        <v/>
      </c>
      <c r="T324" s="6" t="str">
        <f>IFERROR(_xlfn.LET(_xlpm.x,VLOOKUP($C324,[1]Summary!$A$2:$J$118,4,0),IF(_xlpm.x=0,"",_xlpm.x)),"")</f>
        <v/>
      </c>
      <c r="U324" s="6" t="str">
        <f>IFERROR(_xlfn.LET(_xlpm.x,VLOOKUP($C324,[1]Summary!$A$2:$J$118,5,0),IF(_xlpm.x=0,"",_xlpm.x)),"")</f>
        <v/>
      </c>
      <c r="V324" s="6" t="str">
        <f>IFERROR(_xlfn.LET(_xlpm.x,VLOOKUP($C324,[1]Summary!$A$2:$J$118,6,0),IF(_xlpm.x=0,"",_xlpm.x)),"")</f>
        <v/>
      </c>
      <c r="W324" s="6" t="str">
        <f>IFERROR(_xlfn.LET(_xlpm.x,VLOOKUP($C324,[1]Summary!$A$2:$J$118,7,0),IF(_xlpm.x=0,"",_xlpm.x)),"")</f>
        <v/>
      </c>
      <c r="X324" s="6" t="str">
        <f>IFERROR(_xlfn.LET(_xlpm.x,VLOOKUP($C324,[1]Summary!$A$2:$J$118,8,0),IF(_xlpm.x=0,"",_xlpm.x)),"")</f>
        <v/>
      </c>
      <c r="Y324" s="6" t="str">
        <f>IFERROR(_xlfn.LET(_xlpm.x,VLOOKUP($C324,[1]Summary!$A$2:$J$118,9,0),IF(_xlpm.x=0,"",_xlpm.x)),"")</f>
        <v/>
      </c>
      <c r="Z324" s="6" t="str">
        <f>IFERROR(_xlfn.LET(_xlpm.x,VLOOKUP($C324,[1]Summary!$A$2:$J$118,10,0),IF(_xlpm.x=0,"",_xlpm.x)),"")</f>
        <v/>
      </c>
    </row>
    <row r="325" spans="1:26" x14ac:dyDescent="0.25">
      <c r="A325" s="2">
        <v>1000000003869</v>
      </c>
      <c r="B325" s="5" t="s">
        <v>589</v>
      </c>
      <c r="C325" s="2">
        <v>3000000002050</v>
      </c>
      <c r="D325" s="5" t="s">
        <v>590</v>
      </c>
      <c r="E325" s="1">
        <v>3</v>
      </c>
      <c r="F325" s="1" t="s">
        <v>86</v>
      </c>
      <c r="G325" s="1">
        <v>4</v>
      </c>
      <c r="H325" s="1">
        <v>2</v>
      </c>
      <c r="I325" s="1">
        <v>2</v>
      </c>
      <c r="J325" s="1"/>
      <c r="K325" s="1">
        <v>50</v>
      </c>
      <c r="L325" s="1" t="str">
        <f>IFERROR(_xlfn.LET(_xlpm.x,VLOOKUP($A325,'[1]Markings Threadings'!$B$3:$L$245,3,0),IF(_xlpm.x=0,"",_xlpm.x)),"")</f>
        <v>Red Blue</v>
      </c>
      <c r="M325" s="2">
        <f>IFERROR(_xlfn.LET(_xlpm.x,VLOOKUP($A325,'[1]Markings Threadings'!$B$3:$L$245,7,0),IF(_xlpm.x=0,"",_xlpm.x)),"")</f>
        <v>5000000000559</v>
      </c>
      <c r="N325" s="5" t="str">
        <f>IFERROR(_xlfn.LET(_xlpm.x,VLOOKUP($A325,'[1]Markings Threadings'!$B$3:$L$245,8,0),IF(_xlpm.x=0,"",_xlpm.x)),"")</f>
        <v>v2 - Poultry Solutions Broiler Finisher, 50kg</v>
      </c>
      <c r="O325" s="2">
        <f>IFERROR(_xlfn.LET(_xlpm.x,VLOOKUP($A325,'[1]Markings Threadings'!$B$3:$L$245,10,0),IF(_xlpm.x=0,"",_xlpm.x)),"")</f>
        <v>5000000000115</v>
      </c>
      <c r="P325" s="5" t="str">
        <f>IFERROR(_xlfn.LET(_xlpm.x,VLOOKUP($A325,'[1]Markings Threadings'!$B$3:$L$245,11,0),IF(_xlpm.x=0,"",_xlpm.x)),"")</f>
        <v>Tag - Poultry Solutions Broiler Finisher Crumble</v>
      </c>
      <c r="Q325" s="1" t="str">
        <f>IFERROR(_xlfn.LET(_xlpm.x,VLOOKUP($A325,'[1]Markings Threadings'!$B$3:$L$245,4,0),IF(_xlpm.x=0,"",_xlpm.x)),"")</f>
        <v>3869 MD CA</v>
      </c>
      <c r="R325" s="1" t="str">
        <f>IFERROR(_xlfn.LET(_xlpm.x,VLOOKUP($A325,'[1]Markings Threadings'!$B$3:$L$245,5,0),IF(_xlpm.x=0,"",_xlpm.x)),"")</f>
        <v/>
      </c>
      <c r="S325" s="1">
        <f>IFERROR(_xlfn.LET(_xlpm.x,VLOOKUP($A325,'[1]Markings Threadings'!$B$3:$L$245,6,0),IF(_xlpm.x=0,"",_xlpm.x)),"")</f>
        <v>7</v>
      </c>
      <c r="T325" s="6" t="str">
        <f>IFERROR(_xlfn.LET(_xlpm.x,VLOOKUP($C325,[1]Summary!$A$2:$J$118,4,0),IF(_xlpm.x=0,"",_xlpm.x)),"")</f>
        <v/>
      </c>
      <c r="U325" s="6" t="str">
        <f>IFERROR(_xlfn.LET(_xlpm.x,VLOOKUP($C325,[1]Summary!$A$2:$J$118,5,0),IF(_xlpm.x=0,"",_xlpm.x)),"")</f>
        <v/>
      </c>
      <c r="V325" s="6" t="str">
        <f>IFERROR(_xlfn.LET(_xlpm.x,VLOOKUP($C325,[1]Summary!$A$2:$J$118,6,0),IF(_xlpm.x=0,"",_xlpm.x)),"")</f>
        <v/>
      </c>
      <c r="W325" s="6" t="str">
        <f>IFERROR(_xlfn.LET(_xlpm.x,VLOOKUP($C325,[1]Summary!$A$2:$J$118,7,0),IF(_xlpm.x=0,"",_xlpm.x)),"")</f>
        <v/>
      </c>
      <c r="X325" s="6" t="str">
        <f>IFERROR(_xlfn.LET(_xlpm.x,VLOOKUP($C325,[1]Summary!$A$2:$J$118,8,0),IF(_xlpm.x=0,"",_xlpm.x)),"")</f>
        <v/>
      </c>
      <c r="Y325" s="6">
        <f>IFERROR(_xlfn.LET(_xlpm.x,VLOOKUP($C325,[1]Summary!$A$2:$J$118,9,0),IF(_xlpm.x=0,"",_xlpm.x)),"")</f>
        <v>8.194597463414631</v>
      </c>
      <c r="Z325" s="6">
        <f>IFERROR(_xlfn.LET(_xlpm.x,VLOOKUP($C325,[1]Summary!$A$2:$J$118,10,0),IF(_xlpm.x=0,"",_xlpm.x)),"")</f>
        <v>8.7214942854391815</v>
      </c>
    </row>
    <row r="326" spans="1:26" x14ac:dyDescent="0.25">
      <c r="A326" s="2">
        <v>1000000003892</v>
      </c>
      <c r="B326" s="5" t="s">
        <v>591</v>
      </c>
      <c r="C326" s="2">
        <v>3000000002092</v>
      </c>
      <c r="D326" s="5" t="s">
        <v>592</v>
      </c>
      <c r="E326" s="1">
        <v>4</v>
      </c>
      <c r="F326" s="1" t="s">
        <v>67</v>
      </c>
      <c r="G326" s="1">
        <v>4</v>
      </c>
      <c r="H326" s="1">
        <v>2</v>
      </c>
      <c r="I326" s="1">
        <v>2</v>
      </c>
      <c r="J326" s="1"/>
      <c r="K326" s="1">
        <v>50</v>
      </c>
      <c r="L326" s="1" t="str">
        <f>IFERROR(_xlfn.LET(_xlpm.x,VLOOKUP($A326,'[1]Markings Threadings'!$B$3:$L$245,3,0),IF(_xlpm.x=0,"",_xlpm.x)),"")</f>
        <v/>
      </c>
      <c r="M326" s="2" t="str">
        <f>IFERROR(_xlfn.LET(_xlpm.x,VLOOKUP($A326,'[1]Markings Threadings'!$B$3:$L$245,7,0),IF(_xlpm.x=0,"",_xlpm.x)),"")</f>
        <v/>
      </c>
      <c r="N326" s="5" t="str">
        <f>IFERROR(_xlfn.LET(_xlpm.x,VLOOKUP($A326,'[1]Markings Threadings'!$B$3:$L$245,8,0),IF(_xlpm.x=0,"",_xlpm.x)),"")</f>
        <v/>
      </c>
      <c r="O326" s="2" t="str">
        <f>IFERROR(_xlfn.LET(_xlpm.x,VLOOKUP($A326,'[1]Markings Threadings'!$B$3:$L$245,10,0),IF(_xlpm.x=0,"",_xlpm.x)),"")</f>
        <v/>
      </c>
      <c r="P326" s="5" t="str">
        <f>IFERROR(_xlfn.LET(_xlpm.x,VLOOKUP($A326,'[1]Markings Threadings'!$B$3:$L$245,11,0),IF(_xlpm.x=0,"",_xlpm.x)),"")</f>
        <v/>
      </c>
      <c r="Q326" s="1" t="str">
        <f>IFERROR(_xlfn.LET(_xlpm.x,VLOOKUP($A326,'[1]Markings Threadings'!$B$3:$L$245,4,0),IF(_xlpm.x=0,"",_xlpm.x)),"")</f>
        <v/>
      </c>
      <c r="R326" s="1" t="str">
        <f>IFERROR(_xlfn.LET(_xlpm.x,VLOOKUP($A326,'[1]Markings Threadings'!$B$3:$L$245,5,0),IF(_xlpm.x=0,"",_xlpm.x)),"")</f>
        <v/>
      </c>
      <c r="S326" s="1" t="str">
        <f>IFERROR(_xlfn.LET(_xlpm.x,VLOOKUP($A326,'[1]Markings Threadings'!$B$3:$L$245,6,0),IF(_xlpm.x=0,"",_xlpm.x)),"")</f>
        <v/>
      </c>
      <c r="T326" s="6" t="str">
        <f>IFERROR(_xlfn.LET(_xlpm.x,VLOOKUP($C326,[1]Summary!$A$2:$J$118,4,0),IF(_xlpm.x=0,"",_xlpm.x)),"")</f>
        <v/>
      </c>
      <c r="U326" s="6" t="str">
        <f>IFERROR(_xlfn.LET(_xlpm.x,VLOOKUP($C326,[1]Summary!$A$2:$J$118,5,0),IF(_xlpm.x=0,"",_xlpm.x)),"")</f>
        <v/>
      </c>
      <c r="V326" s="6" t="str">
        <f>IFERROR(_xlfn.LET(_xlpm.x,VLOOKUP($C326,[1]Summary!$A$2:$J$118,6,0),IF(_xlpm.x=0,"",_xlpm.x)),"")</f>
        <v/>
      </c>
      <c r="W326" s="6" t="str">
        <f>IFERROR(_xlfn.LET(_xlpm.x,VLOOKUP($C326,[1]Summary!$A$2:$J$118,7,0),IF(_xlpm.x=0,"",_xlpm.x)),"")</f>
        <v/>
      </c>
      <c r="X326" s="6" t="str">
        <f>IFERROR(_xlfn.LET(_xlpm.x,VLOOKUP($C326,[1]Summary!$A$2:$J$118,8,0),IF(_xlpm.x=0,"",_xlpm.x)),"")</f>
        <v/>
      </c>
      <c r="Y326" s="6" t="str">
        <f>IFERROR(_xlfn.LET(_xlpm.x,VLOOKUP($C326,[1]Summary!$A$2:$J$118,9,0),IF(_xlpm.x=0,"",_xlpm.x)),"")</f>
        <v/>
      </c>
      <c r="Z326" s="6" t="str">
        <f>IFERROR(_xlfn.LET(_xlpm.x,VLOOKUP($C326,[1]Summary!$A$2:$J$118,10,0),IF(_xlpm.x=0,"",_xlpm.x)),"")</f>
        <v/>
      </c>
    </row>
    <row r="327" spans="1:26" x14ac:dyDescent="0.25">
      <c r="A327" s="2">
        <v>1000000003879</v>
      </c>
      <c r="B327" s="5" t="s">
        <v>593</v>
      </c>
      <c r="C327" s="2">
        <v>3000000002073</v>
      </c>
      <c r="D327" s="5" t="s">
        <v>594</v>
      </c>
      <c r="E327" s="1">
        <v>4</v>
      </c>
      <c r="F327" s="1" t="s">
        <v>67</v>
      </c>
      <c r="G327" s="1">
        <v>4</v>
      </c>
      <c r="H327" s="1">
        <v>2</v>
      </c>
      <c r="I327" s="1">
        <v>2</v>
      </c>
      <c r="J327" s="1"/>
      <c r="K327" s="1">
        <v>50</v>
      </c>
      <c r="L327" s="1" t="str">
        <f>IFERROR(_xlfn.LET(_xlpm.x,VLOOKUP($A327,'[1]Markings Threadings'!$B$3:$L$245,3,0),IF(_xlpm.x=0,"",_xlpm.x)),"")</f>
        <v>Red Blue</v>
      </c>
      <c r="M327" s="2">
        <f>IFERROR(_xlfn.LET(_xlpm.x,VLOOKUP($A327,'[1]Markings Threadings'!$B$3:$L$245,7,0),IF(_xlpm.x=0,"",_xlpm.x)),"")</f>
        <v>5000000000558</v>
      </c>
      <c r="N327" s="5" t="str">
        <f>IFERROR(_xlfn.LET(_xlpm.x,VLOOKUP($A327,'[1]Markings Threadings'!$B$3:$L$245,8,0),IF(_xlpm.x=0,"",_xlpm.x)),"")</f>
        <v>v2 - Poultry Solutions Broiler Starter, 50kg</v>
      </c>
      <c r="O327" s="2">
        <f>IFERROR(_xlfn.LET(_xlpm.x,VLOOKUP($A327,'[1]Markings Threadings'!$B$3:$L$245,10,0),IF(_xlpm.x=0,"",_xlpm.x)),"")</f>
        <v>5000000000113</v>
      </c>
      <c r="P327" s="5" t="str">
        <f>IFERROR(_xlfn.LET(_xlpm.x,VLOOKUP($A327,'[1]Markings Threadings'!$B$3:$L$245,11,0),IF(_xlpm.x=0,"",_xlpm.x)),"")</f>
        <v>Tag - Poultry Solutions Broiler Starter Crumble</v>
      </c>
      <c r="Q327" s="1" t="str">
        <f>IFERROR(_xlfn.LET(_xlpm.x,VLOOKUP($A327,'[1]Markings Threadings'!$B$3:$L$245,4,0),IF(_xlpm.x=0,"",_xlpm.x)),"")</f>
        <v>3879 MD CA</v>
      </c>
      <c r="R327" s="1" t="str">
        <f>IFERROR(_xlfn.LET(_xlpm.x,VLOOKUP($A327,'[1]Markings Threadings'!$B$3:$L$245,5,0),IF(_xlpm.x=0,"",_xlpm.x)),"")</f>
        <v/>
      </c>
      <c r="S327" s="1">
        <f>IFERROR(_xlfn.LET(_xlpm.x,VLOOKUP($A327,'[1]Markings Threadings'!$B$3:$L$245,6,0),IF(_xlpm.x=0,"",_xlpm.x)),"")</f>
        <v>7</v>
      </c>
      <c r="T327" s="6" t="str">
        <f>IFERROR(_xlfn.LET(_xlpm.x,VLOOKUP($C327,[1]Summary!$A$2:$J$118,4,0),IF(_xlpm.x=0,"",_xlpm.x)),"")</f>
        <v/>
      </c>
      <c r="U327" s="6" t="str">
        <f>IFERROR(_xlfn.LET(_xlpm.x,VLOOKUP($C327,[1]Summary!$A$2:$J$118,5,0),IF(_xlpm.x=0,"",_xlpm.x)),"")</f>
        <v/>
      </c>
      <c r="V327" s="6">
        <f>IFERROR(_xlfn.LET(_xlpm.x,VLOOKUP($C327,[1]Summary!$A$2:$J$118,6,0),IF(_xlpm.x=0,"",_xlpm.x)),"")</f>
        <v>7.5307940617180993</v>
      </c>
      <c r="W327" s="6" t="str">
        <f>IFERROR(_xlfn.LET(_xlpm.x,VLOOKUP($C327,[1]Summary!$A$2:$J$118,7,0),IF(_xlpm.x=0,"",_xlpm.x)),"")</f>
        <v/>
      </c>
      <c r="X327" s="6" t="str">
        <f>IFERROR(_xlfn.LET(_xlpm.x,VLOOKUP($C327,[1]Summary!$A$2:$J$118,8,0),IF(_xlpm.x=0,"",_xlpm.x)),"")</f>
        <v/>
      </c>
      <c r="Y327" s="6" t="str">
        <f>IFERROR(_xlfn.LET(_xlpm.x,VLOOKUP($C327,[1]Summary!$A$2:$J$118,9,0),IF(_xlpm.x=0,"",_xlpm.x)),"")</f>
        <v/>
      </c>
      <c r="Z327" s="6" t="str">
        <f>IFERROR(_xlfn.LET(_xlpm.x,VLOOKUP($C327,[1]Summary!$A$2:$J$118,10,0),IF(_xlpm.x=0,"",_xlpm.x)),"")</f>
        <v/>
      </c>
    </row>
    <row r="328" spans="1:26" x14ac:dyDescent="0.25">
      <c r="A328" s="2">
        <v>1000000003880</v>
      </c>
      <c r="B328" s="5" t="s">
        <v>595</v>
      </c>
      <c r="C328" s="2">
        <v>3000000002074</v>
      </c>
      <c r="D328" s="5" t="s">
        <v>596</v>
      </c>
      <c r="E328" s="1">
        <v>4</v>
      </c>
      <c r="F328" s="1" t="s">
        <v>47</v>
      </c>
      <c r="G328" s="1">
        <v>4</v>
      </c>
      <c r="H328" s="1">
        <v>2</v>
      </c>
      <c r="I328" s="1">
        <v>2</v>
      </c>
      <c r="J328" s="1"/>
      <c r="K328" s="1">
        <v>50</v>
      </c>
      <c r="L328" s="1" t="str">
        <f>IFERROR(_xlfn.LET(_xlpm.x,VLOOKUP($A328,'[1]Markings Threadings'!$B$3:$L$245,3,0),IF(_xlpm.x=0,"",_xlpm.x)),"")</f>
        <v>Red Blue</v>
      </c>
      <c r="M328" s="2">
        <f>IFERROR(_xlfn.LET(_xlpm.x,VLOOKUP($A328,'[1]Markings Threadings'!$B$3:$L$245,7,0),IF(_xlpm.x=0,"",_xlpm.x)),"")</f>
        <v>5000000000557</v>
      </c>
      <c r="N328" s="5" t="str">
        <f>IFERROR(_xlfn.LET(_xlpm.x,VLOOKUP($A328,'[1]Markings Threadings'!$B$3:$L$245,8,0),IF(_xlpm.x=0,"",_xlpm.x)),"")</f>
        <v>v2 - Poultry Solutions Broiler Booster, 50kg</v>
      </c>
      <c r="O328" s="2">
        <f>IFERROR(_xlfn.LET(_xlpm.x,VLOOKUP($A328,'[1]Markings Threadings'!$B$3:$L$245,10,0),IF(_xlpm.x=0,"",_xlpm.x)),"")</f>
        <v>5000000000154</v>
      </c>
      <c r="P328" s="5" t="str">
        <f>IFERROR(_xlfn.LET(_xlpm.x,VLOOKUP($A328,'[1]Markings Threadings'!$B$3:$L$245,11,0),IF(_xlpm.x=0,"",_xlpm.x)),"")</f>
        <v>Tag - Poultry Solutions Broiler Booster, 50kg</v>
      </c>
      <c r="Q328" s="1" t="str">
        <f>IFERROR(_xlfn.LET(_xlpm.x,VLOOKUP($A328,'[1]Markings Threadings'!$B$3:$L$245,4,0),IF(_xlpm.x=0,"",_xlpm.x)),"")</f>
        <v>3880 MD CA</v>
      </c>
      <c r="R328" s="1" t="str">
        <f>IFERROR(_xlfn.LET(_xlpm.x,VLOOKUP($A328,'[1]Markings Threadings'!$B$3:$L$245,5,0),IF(_xlpm.x=0,"",_xlpm.x)),"")</f>
        <v/>
      </c>
      <c r="S328" s="1">
        <f>IFERROR(_xlfn.LET(_xlpm.x,VLOOKUP($A328,'[1]Markings Threadings'!$B$3:$L$245,6,0),IF(_xlpm.x=0,"",_xlpm.x)),"")</f>
        <v>6</v>
      </c>
      <c r="T328" s="6" t="str">
        <f>IFERROR(_xlfn.LET(_xlpm.x,VLOOKUP($C328,[1]Summary!$A$2:$J$118,4,0),IF(_xlpm.x=0,"",_xlpm.x)),"")</f>
        <v/>
      </c>
      <c r="U328" s="6" t="str">
        <f>IFERROR(_xlfn.LET(_xlpm.x,VLOOKUP($C328,[1]Summary!$A$2:$J$118,5,0),IF(_xlpm.x=0,"",_xlpm.x)),"")</f>
        <v/>
      </c>
      <c r="V328" s="6" t="str">
        <f>IFERROR(_xlfn.LET(_xlpm.x,VLOOKUP($C328,[1]Summary!$A$2:$J$118,6,0),IF(_xlpm.x=0,"",_xlpm.x)),"")</f>
        <v/>
      </c>
      <c r="W328" s="6">
        <f>IFERROR(_xlfn.LET(_xlpm.x,VLOOKUP($C328,[1]Summary!$A$2:$J$118,7,0),IF(_xlpm.x=0,"",_xlpm.x)),"")</f>
        <v>8.3372782802303274</v>
      </c>
      <c r="X328" s="6" t="str">
        <f>IFERROR(_xlfn.LET(_xlpm.x,VLOOKUP($C328,[1]Summary!$A$2:$J$118,8,0),IF(_xlpm.x=0,"",_xlpm.x)),"")</f>
        <v/>
      </c>
      <c r="Y328" s="6" t="str">
        <f>IFERROR(_xlfn.LET(_xlpm.x,VLOOKUP($C328,[1]Summary!$A$2:$J$118,9,0),IF(_xlpm.x=0,"",_xlpm.x)),"")</f>
        <v/>
      </c>
      <c r="Z328" s="6" t="str">
        <f>IFERROR(_xlfn.LET(_xlpm.x,VLOOKUP($C328,[1]Summary!$A$2:$J$118,10,0),IF(_xlpm.x=0,"",_xlpm.x)),"")</f>
        <v/>
      </c>
    </row>
    <row r="329" spans="1:26" x14ac:dyDescent="0.25">
      <c r="A329" s="2">
        <v>1000000003870</v>
      </c>
      <c r="B329" s="5" t="s">
        <v>597</v>
      </c>
      <c r="C329" s="2">
        <v>3000000000607</v>
      </c>
      <c r="D329" s="5" t="s">
        <v>516</v>
      </c>
      <c r="E329" s="1">
        <v>3</v>
      </c>
      <c r="F329" s="1" t="s">
        <v>86</v>
      </c>
      <c r="G329" s="1">
        <v>4</v>
      </c>
      <c r="H329" s="1">
        <v>1.5</v>
      </c>
      <c r="I329" s="1">
        <v>1.5</v>
      </c>
      <c r="J329" s="1"/>
      <c r="K329" s="1">
        <v>25</v>
      </c>
      <c r="L329" s="1" t="str">
        <f>IFERROR(_xlfn.LET(_xlpm.x,VLOOKUP($A329,'[1]Markings Threadings'!$B$3:$L$245,3,0),IF(_xlpm.x=0,"",_xlpm.x)),"")</f>
        <v>Yellow</v>
      </c>
      <c r="M329" s="2">
        <f>IFERROR(_xlfn.LET(_xlpm.x,VLOOKUP($A329,'[1]Markings Threadings'!$B$3:$L$245,7,0),IF(_xlpm.x=0,"",_xlpm.x)),"")</f>
        <v>5000000000402</v>
      </c>
      <c r="N329" s="5" t="str">
        <f>IFERROR(_xlfn.LET(_xlpm.x,VLOOKUP($A329,'[1]Markings Threadings'!$B$3:$L$245,8,0),IF(_xlpm.x=0,"",_xlpm.x)),"")</f>
        <v>Packaging - Kunemax Sprinter Pellet, 25Kg</v>
      </c>
      <c r="O329" s="2">
        <f>IFERROR(_xlfn.LET(_xlpm.x,VLOOKUP($A329,'[1]Markings Threadings'!$B$3:$L$245,10,0),IF(_xlpm.x=0,"",_xlpm.x)),"")</f>
        <v>5000000000442</v>
      </c>
      <c r="P329" s="5" t="str">
        <f>IFERROR(_xlfn.LET(_xlpm.x,VLOOKUP($A329,'[1]Markings Threadings'!$B$3:$L$245,11,0),IF(_xlpm.x=0,"",_xlpm.x)),"")</f>
        <v>Tag - Kunemax Sprinter Pellet, 25Kg</v>
      </c>
      <c r="Q329" s="1" t="str">
        <f>IFERROR(_xlfn.LET(_xlpm.x,VLOOKUP($A329,'[1]Markings Threadings'!$B$3:$L$245,4,0),IF(_xlpm.x=0,"",_xlpm.x)),"")</f>
        <v/>
      </c>
      <c r="R329" s="1" t="str">
        <f>IFERROR(_xlfn.LET(_xlpm.x,VLOOKUP($A329,'[1]Markings Threadings'!$B$3:$L$245,5,0),IF(_xlpm.x=0,"",_xlpm.x)),"")</f>
        <v/>
      </c>
      <c r="S329" s="1">
        <f>IFERROR(_xlfn.LET(_xlpm.x,VLOOKUP($A329,'[1]Markings Threadings'!$B$3:$L$245,6,0),IF(_xlpm.x=0,"",_xlpm.x)),"")</f>
        <v>2</v>
      </c>
      <c r="T329" s="6" t="str">
        <f>IFERROR(_xlfn.LET(_xlpm.x,VLOOKUP($C329,[1]Summary!$A$2:$J$118,4,0),IF(_xlpm.x=0,"",_xlpm.x)),"")</f>
        <v/>
      </c>
      <c r="U329" s="6" t="str">
        <f>IFERROR(_xlfn.LET(_xlpm.x,VLOOKUP($C329,[1]Summary!$A$2:$J$118,5,0),IF(_xlpm.x=0,"",_xlpm.x)),"")</f>
        <v/>
      </c>
      <c r="V329" s="6">
        <f>IFERROR(_xlfn.LET(_xlpm.x,VLOOKUP($C329,[1]Summary!$A$2:$J$118,6,0),IF(_xlpm.x=0,"",_xlpm.x)),"")</f>
        <v>6.4433175048231517</v>
      </c>
      <c r="W329" s="6" t="str">
        <f>IFERROR(_xlfn.LET(_xlpm.x,VLOOKUP($C329,[1]Summary!$A$2:$J$118,7,0),IF(_xlpm.x=0,"",_xlpm.x)),"")</f>
        <v/>
      </c>
      <c r="X329" s="6" t="str">
        <f>IFERROR(_xlfn.LET(_xlpm.x,VLOOKUP($C329,[1]Summary!$A$2:$J$118,8,0),IF(_xlpm.x=0,"",_xlpm.x)),"")</f>
        <v/>
      </c>
      <c r="Y329" s="6">
        <f>IFERROR(_xlfn.LET(_xlpm.x,VLOOKUP($C329,[1]Summary!$A$2:$J$118,9,0),IF(_xlpm.x=0,"",_xlpm.x)),"")</f>
        <v>6.1153110743801644</v>
      </c>
      <c r="Z329" s="6" t="str">
        <f>IFERROR(_xlfn.LET(_xlpm.x,VLOOKUP($C329,[1]Summary!$A$2:$J$118,10,0),IF(_xlpm.x=0,"",_xlpm.x)),"")</f>
        <v/>
      </c>
    </row>
    <row r="330" spans="1:26" x14ac:dyDescent="0.25">
      <c r="A330" s="2">
        <v>1000000003891</v>
      </c>
      <c r="B330" s="5" t="s">
        <v>598</v>
      </c>
      <c r="C330" s="2">
        <v>3000000000607</v>
      </c>
      <c r="D330" s="5" t="s">
        <v>516</v>
      </c>
      <c r="E330" s="1">
        <v>3</v>
      </c>
      <c r="F330" s="1" t="s">
        <v>86</v>
      </c>
      <c r="G330" s="1">
        <v>4</v>
      </c>
      <c r="H330" s="1">
        <v>1.5</v>
      </c>
      <c r="I330" s="1">
        <v>1.5</v>
      </c>
      <c r="J330" s="1"/>
      <c r="K330" s="1">
        <v>25</v>
      </c>
      <c r="L330" s="1" t="str">
        <f>IFERROR(_xlfn.LET(_xlpm.x,VLOOKUP($A330,'[1]Markings Threadings'!$B$3:$L$245,3,0),IF(_xlpm.x=0,"",_xlpm.x)),"")</f>
        <v>Yellow</v>
      </c>
      <c r="M330" s="2">
        <f>IFERROR(_xlfn.LET(_xlpm.x,VLOOKUP($A330,'[1]Markings Threadings'!$B$3:$L$245,7,0),IF(_xlpm.x=0,"",_xlpm.x)),"")</f>
        <v>5000000000401</v>
      </c>
      <c r="N330" s="5" t="str">
        <f>IFERROR(_xlfn.LET(_xlpm.x,VLOOKUP($A330,'[1]Markings Threadings'!$B$3:$L$245,8,0),IF(_xlpm.x=0,"",_xlpm.x)),"")</f>
        <v>Packaging-Kunemax GP, 25kg</v>
      </c>
      <c r="O330" s="2">
        <f>IFERROR(_xlfn.LET(_xlpm.x,VLOOKUP($A330,'[1]Markings Threadings'!$B$3:$L$245,10,0),IF(_xlpm.x=0,"",_xlpm.x)),"")</f>
        <v>5000000000443</v>
      </c>
      <c r="P330" s="5" t="str">
        <f>IFERROR(_xlfn.LET(_xlpm.x,VLOOKUP($A330,'[1]Markings Threadings'!$B$3:$L$245,11,0),IF(_xlpm.x=0,"",_xlpm.x)),"")</f>
        <v>Tag Kunemax Grower Pellet, 25Kg</v>
      </c>
      <c r="Q330" s="1" t="str">
        <f>IFERROR(_xlfn.LET(_xlpm.x,VLOOKUP($A330,'[1]Markings Threadings'!$B$3:$L$245,4,0),IF(_xlpm.x=0,"",_xlpm.x)),"")</f>
        <v/>
      </c>
      <c r="R330" s="1" t="str">
        <f>IFERROR(_xlfn.LET(_xlpm.x,VLOOKUP($A330,'[1]Markings Threadings'!$B$3:$L$245,5,0),IF(_xlpm.x=0,"",_xlpm.x)),"")</f>
        <v/>
      </c>
      <c r="S330" s="1">
        <f>IFERROR(_xlfn.LET(_xlpm.x,VLOOKUP($A330,'[1]Markings Threadings'!$B$3:$L$245,6,0),IF(_xlpm.x=0,"",_xlpm.x)),"")</f>
        <v>2</v>
      </c>
      <c r="T330" s="6" t="str">
        <f>IFERROR(_xlfn.LET(_xlpm.x,VLOOKUP($C330,[1]Summary!$A$2:$J$118,4,0),IF(_xlpm.x=0,"",_xlpm.x)),"")</f>
        <v/>
      </c>
      <c r="U330" s="6" t="str">
        <f>IFERROR(_xlfn.LET(_xlpm.x,VLOOKUP($C330,[1]Summary!$A$2:$J$118,5,0),IF(_xlpm.x=0,"",_xlpm.x)),"")</f>
        <v/>
      </c>
      <c r="V330" s="6">
        <f>IFERROR(_xlfn.LET(_xlpm.x,VLOOKUP($C330,[1]Summary!$A$2:$J$118,6,0),IF(_xlpm.x=0,"",_xlpm.x)),"")</f>
        <v>6.4433175048231517</v>
      </c>
      <c r="W330" s="6" t="str">
        <f>IFERROR(_xlfn.LET(_xlpm.x,VLOOKUP($C330,[1]Summary!$A$2:$J$118,7,0),IF(_xlpm.x=0,"",_xlpm.x)),"")</f>
        <v/>
      </c>
      <c r="X330" s="6" t="str">
        <f>IFERROR(_xlfn.LET(_xlpm.x,VLOOKUP($C330,[1]Summary!$A$2:$J$118,8,0),IF(_xlpm.x=0,"",_xlpm.x)),"")</f>
        <v/>
      </c>
      <c r="Y330" s="6">
        <f>IFERROR(_xlfn.LET(_xlpm.x,VLOOKUP($C330,[1]Summary!$A$2:$J$118,9,0),IF(_xlpm.x=0,"",_xlpm.x)),"")</f>
        <v>6.1153110743801644</v>
      </c>
      <c r="Z330" s="6" t="str">
        <f>IFERROR(_xlfn.LET(_xlpm.x,VLOOKUP($C330,[1]Summary!$A$2:$J$118,10,0),IF(_xlpm.x=0,"",_xlpm.x)),"")</f>
        <v/>
      </c>
    </row>
    <row r="331" spans="1:26" x14ac:dyDescent="0.25">
      <c r="A331" s="2">
        <v>1000000001032</v>
      </c>
      <c r="B331" s="5" t="s">
        <v>599</v>
      </c>
      <c r="C331" s="2">
        <v>3000000000280</v>
      </c>
      <c r="D331" s="5" t="s">
        <v>600</v>
      </c>
      <c r="E331" s="1">
        <v>4</v>
      </c>
      <c r="F331" s="1" t="s">
        <v>47</v>
      </c>
      <c r="G331" s="1">
        <v>4</v>
      </c>
      <c r="H331" s="1">
        <v>2</v>
      </c>
      <c r="I331" s="1">
        <v>2</v>
      </c>
      <c r="J331" s="1"/>
      <c r="K331" s="1">
        <v>50</v>
      </c>
      <c r="L331" s="1" t="str">
        <f>IFERROR(_xlfn.LET(_xlpm.x,VLOOKUP($A331,'[1]Markings Threadings'!$B$3:$L$245,3,0),IF(_xlpm.x=0,"",_xlpm.x)),"")</f>
        <v>BLUE ORANGE</v>
      </c>
      <c r="M331" s="2">
        <f>IFERROR(_xlfn.LET(_xlpm.x,VLOOKUP($A331,'[1]Markings Threadings'!$B$3:$L$245,7,0),IF(_xlpm.x=0,"",_xlpm.x)),"")</f>
        <v>5000000000557</v>
      </c>
      <c r="N331" s="5" t="str">
        <f>IFERROR(_xlfn.LET(_xlpm.x,VLOOKUP($A331,'[1]Markings Threadings'!$B$3:$L$245,8,0),IF(_xlpm.x=0,"",_xlpm.x)),"")</f>
        <v>Sack Poultry Solutions Broiler Booster</v>
      </c>
      <c r="O331" s="2">
        <f>IFERROR(_xlfn.LET(_xlpm.x,VLOOKUP($A331,'[1]Markings Threadings'!$B$3:$L$245,10,0),IF(_xlpm.x=0,"",_xlpm.x)),"")</f>
        <v>5000000000154</v>
      </c>
      <c r="P331" s="5" t="str">
        <f>IFERROR(_xlfn.LET(_xlpm.x,VLOOKUP($A331,'[1]Markings Threadings'!$B$3:$L$245,11,0),IF(_xlpm.x=0,"",_xlpm.x)),"")</f>
        <v>Tag Poultry Solutions Broiler Booster</v>
      </c>
      <c r="Q331" s="1" t="str">
        <f>IFERROR(_xlfn.LET(_xlpm.x,VLOOKUP($A331,'[1]Markings Threadings'!$B$3:$L$245,4,0),IF(_xlpm.x=0,"",_xlpm.x)),"")</f>
        <v>1032-MD-PC</v>
      </c>
      <c r="R331" s="1" t="str">
        <f>IFERROR(_xlfn.LET(_xlpm.x,VLOOKUP($A331,'[1]Markings Threadings'!$B$3:$L$245,5,0),IF(_xlpm.x=0,"",_xlpm.x)),"")</f>
        <v/>
      </c>
      <c r="S331" s="1">
        <f>IFERROR(_xlfn.LET(_xlpm.x,VLOOKUP($A331,'[1]Markings Threadings'!$B$3:$L$245,6,0),IF(_xlpm.x=0,"",_xlpm.x)),"")</f>
        <v>6</v>
      </c>
      <c r="T331" s="6" t="str">
        <f>IFERROR(_xlfn.LET(_xlpm.x,VLOOKUP($C331,[1]Summary!$A$2:$J$118,4,0),IF(_xlpm.x=0,"",_xlpm.x)),"")</f>
        <v/>
      </c>
      <c r="U331" s="6" t="str">
        <f>IFERROR(_xlfn.LET(_xlpm.x,VLOOKUP($C331,[1]Summary!$A$2:$J$118,5,0),IF(_xlpm.x=0,"",_xlpm.x)),"")</f>
        <v/>
      </c>
      <c r="V331" s="6" t="str">
        <f>IFERROR(_xlfn.LET(_xlpm.x,VLOOKUP($C331,[1]Summary!$A$2:$J$118,6,0),IF(_xlpm.x=0,"",_xlpm.x)),"")</f>
        <v/>
      </c>
      <c r="W331" s="6">
        <f>IFERROR(_xlfn.LET(_xlpm.x,VLOOKUP($C331,[1]Summary!$A$2:$J$118,7,0),IF(_xlpm.x=0,"",_xlpm.x)),"")</f>
        <v>8.1812945454545449</v>
      </c>
      <c r="X331" s="6" t="str">
        <f>IFERROR(_xlfn.LET(_xlpm.x,VLOOKUP($C331,[1]Summary!$A$2:$J$118,8,0),IF(_xlpm.x=0,"",_xlpm.x)),"")</f>
        <v/>
      </c>
      <c r="Y331" s="6" t="str">
        <f>IFERROR(_xlfn.LET(_xlpm.x,VLOOKUP($C331,[1]Summary!$A$2:$J$118,9,0),IF(_xlpm.x=0,"",_xlpm.x)),"")</f>
        <v/>
      </c>
      <c r="Z331" s="6" t="str">
        <f>IFERROR(_xlfn.LET(_xlpm.x,VLOOKUP($C331,[1]Summary!$A$2:$J$118,10,0),IF(_xlpm.x=0,"",_xlpm.x)),"")</f>
        <v/>
      </c>
    </row>
    <row r="332" spans="1:26" x14ac:dyDescent="0.25">
      <c r="A332" s="2">
        <v>1000000003956</v>
      </c>
      <c r="B332" s="5" t="s">
        <v>601</v>
      </c>
      <c r="C332" s="2">
        <v>3000000002111</v>
      </c>
      <c r="D332" s="5" t="s">
        <v>602</v>
      </c>
      <c r="E332" s="1">
        <v>4</v>
      </c>
      <c r="F332" s="1" t="s">
        <v>28</v>
      </c>
      <c r="G332" s="1">
        <v>4</v>
      </c>
      <c r="H332" s="1">
        <v>2</v>
      </c>
      <c r="I332" s="1">
        <v>2</v>
      </c>
      <c r="J332" s="1"/>
      <c r="K332" s="1">
        <v>50</v>
      </c>
      <c r="L332" s="1" t="str">
        <f>IFERROR(_xlfn.LET(_xlpm.x,VLOOKUP($A332,'[1]Markings Threadings'!$B$3:$L$245,3,0),IF(_xlpm.x=0,"",_xlpm.x)),"")</f>
        <v/>
      </c>
      <c r="M332" s="2" t="str">
        <f>IFERROR(_xlfn.LET(_xlpm.x,VLOOKUP($A332,'[1]Markings Threadings'!$B$3:$L$245,7,0),IF(_xlpm.x=0,"",_xlpm.x)),"")</f>
        <v/>
      </c>
      <c r="N332" s="5" t="str">
        <f>IFERROR(_xlfn.LET(_xlpm.x,VLOOKUP($A332,'[1]Markings Threadings'!$B$3:$L$245,8,0),IF(_xlpm.x=0,"",_xlpm.x)),"")</f>
        <v/>
      </c>
      <c r="O332" s="2" t="str">
        <f>IFERROR(_xlfn.LET(_xlpm.x,VLOOKUP($A332,'[1]Markings Threadings'!$B$3:$L$245,10,0),IF(_xlpm.x=0,"",_xlpm.x)),"")</f>
        <v/>
      </c>
      <c r="P332" s="5" t="str">
        <f>IFERROR(_xlfn.LET(_xlpm.x,VLOOKUP($A332,'[1]Markings Threadings'!$B$3:$L$245,11,0),IF(_xlpm.x=0,"",_xlpm.x)),"")</f>
        <v/>
      </c>
      <c r="Q332" s="1" t="str">
        <f>IFERROR(_xlfn.LET(_xlpm.x,VLOOKUP($A332,'[1]Markings Threadings'!$B$3:$L$245,4,0),IF(_xlpm.x=0,"",_xlpm.x)),"")</f>
        <v/>
      </c>
      <c r="R332" s="1" t="str">
        <f>IFERROR(_xlfn.LET(_xlpm.x,VLOOKUP($A332,'[1]Markings Threadings'!$B$3:$L$245,5,0),IF(_xlpm.x=0,"",_xlpm.x)),"")</f>
        <v/>
      </c>
      <c r="S332" s="1" t="str">
        <f>IFERROR(_xlfn.LET(_xlpm.x,VLOOKUP($A332,'[1]Markings Threadings'!$B$3:$L$245,6,0),IF(_xlpm.x=0,"",_xlpm.x)),"")</f>
        <v/>
      </c>
      <c r="T332" s="6" t="str">
        <f>IFERROR(_xlfn.LET(_xlpm.x,VLOOKUP($C332,[1]Summary!$A$2:$J$118,4,0),IF(_xlpm.x=0,"",_xlpm.x)),"")</f>
        <v/>
      </c>
      <c r="U332" s="6" t="str">
        <f>IFERROR(_xlfn.LET(_xlpm.x,VLOOKUP($C332,[1]Summary!$A$2:$J$118,5,0),IF(_xlpm.x=0,"",_xlpm.x)),"")</f>
        <v/>
      </c>
      <c r="V332" s="6" t="str">
        <f>IFERROR(_xlfn.LET(_xlpm.x,VLOOKUP($C332,[1]Summary!$A$2:$J$118,6,0),IF(_xlpm.x=0,"",_xlpm.x)),"")</f>
        <v/>
      </c>
      <c r="W332" s="6" t="str">
        <f>IFERROR(_xlfn.LET(_xlpm.x,VLOOKUP($C332,[1]Summary!$A$2:$J$118,7,0),IF(_xlpm.x=0,"",_xlpm.x)),"")</f>
        <v/>
      </c>
      <c r="X332" s="6" t="str">
        <f>IFERROR(_xlfn.LET(_xlpm.x,VLOOKUP($C332,[1]Summary!$A$2:$J$118,8,0),IF(_xlpm.x=0,"",_xlpm.x)),"")</f>
        <v/>
      </c>
      <c r="Y332" s="6" t="str">
        <f>IFERROR(_xlfn.LET(_xlpm.x,VLOOKUP($C332,[1]Summary!$A$2:$J$118,9,0),IF(_xlpm.x=0,"",_xlpm.x)),"")</f>
        <v/>
      </c>
      <c r="Z332" s="6" t="str">
        <f>IFERROR(_xlfn.LET(_xlpm.x,VLOOKUP($C332,[1]Summary!$A$2:$J$118,10,0),IF(_xlpm.x=0,"",_xlpm.x)),"")</f>
        <v/>
      </c>
    </row>
    <row r="333" spans="1:26" x14ac:dyDescent="0.25">
      <c r="A333" s="2">
        <v>1000000003993</v>
      </c>
      <c r="B333" s="5" t="s">
        <v>603</v>
      </c>
      <c r="C333" s="2">
        <v>3000000002124</v>
      </c>
      <c r="D333" s="5" t="s">
        <v>604</v>
      </c>
      <c r="E333" s="1">
        <v>4</v>
      </c>
      <c r="F333" s="1" t="s">
        <v>28</v>
      </c>
      <c r="G333" s="1">
        <v>4</v>
      </c>
      <c r="H333" s="1">
        <v>2</v>
      </c>
      <c r="I333" s="1">
        <v>2</v>
      </c>
      <c r="J333" s="1"/>
      <c r="K333" s="1">
        <v>50</v>
      </c>
      <c r="L333" s="1" t="str">
        <f>IFERROR(_xlfn.LET(_xlpm.x,VLOOKUP($A333,'[1]Markings Threadings'!$B$3:$L$245,3,0),IF(_xlpm.x=0,"",_xlpm.x)),"")</f>
        <v/>
      </c>
      <c r="M333" s="2" t="str">
        <f>IFERROR(_xlfn.LET(_xlpm.x,VLOOKUP($A333,'[1]Markings Threadings'!$B$3:$L$245,7,0),IF(_xlpm.x=0,"",_xlpm.x)),"")</f>
        <v/>
      </c>
      <c r="N333" s="5" t="str">
        <f>IFERROR(_xlfn.LET(_xlpm.x,VLOOKUP($A333,'[1]Markings Threadings'!$B$3:$L$245,8,0),IF(_xlpm.x=0,"",_xlpm.x)),"")</f>
        <v/>
      </c>
      <c r="O333" s="2" t="str">
        <f>IFERROR(_xlfn.LET(_xlpm.x,VLOOKUP($A333,'[1]Markings Threadings'!$B$3:$L$245,10,0),IF(_xlpm.x=0,"",_xlpm.x)),"")</f>
        <v/>
      </c>
      <c r="P333" s="5" t="str">
        <f>IFERROR(_xlfn.LET(_xlpm.x,VLOOKUP($A333,'[1]Markings Threadings'!$B$3:$L$245,11,0),IF(_xlpm.x=0,"",_xlpm.x)),"")</f>
        <v/>
      </c>
      <c r="Q333" s="1" t="str">
        <f>IFERROR(_xlfn.LET(_xlpm.x,VLOOKUP($A333,'[1]Markings Threadings'!$B$3:$L$245,4,0),IF(_xlpm.x=0,"",_xlpm.x)),"")</f>
        <v/>
      </c>
      <c r="R333" s="1" t="str">
        <f>IFERROR(_xlfn.LET(_xlpm.x,VLOOKUP($A333,'[1]Markings Threadings'!$B$3:$L$245,5,0),IF(_xlpm.x=0,"",_xlpm.x)),"")</f>
        <v/>
      </c>
      <c r="S333" s="1" t="str">
        <f>IFERROR(_xlfn.LET(_xlpm.x,VLOOKUP($A333,'[1]Markings Threadings'!$B$3:$L$245,6,0),IF(_xlpm.x=0,"",_xlpm.x)),"")</f>
        <v/>
      </c>
      <c r="T333" s="6" t="str">
        <f>IFERROR(_xlfn.LET(_xlpm.x,VLOOKUP($C333,[1]Summary!$A$2:$J$118,4,0),IF(_xlpm.x=0,"",_xlpm.x)),"")</f>
        <v/>
      </c>
      <c r="U333" s="6" t="str">
        <f>IFERROR(_xlfn.LET(_xlpm.x,VLOOKUP($C333,[1]Summary!$A$2:$J$118,5,0),IF(_xlpm.x=0,"",_xlpm.x)),"")</f>
        <v/>
      </c>
      <c r="V333" s="6" t="str">
        <f>IFERROR(_xlfn.LET(_xlpm.x,VLOOKUP($C333,[1]Summary!$A$2:$J$118,6,0),IF(_xlpm.x=0,"",_xlpm.x)),"")</f>
        <v/>
      </c>
      <c r="W333" s="6" t="str">
        <f>IFERROR(_xlfn.LET(_xlpm.x,VLOOKUP($C333,[1]Summary!$A$2:$J$118,7,0),IF(_xlpm.x=0,"",_xlpm.x)),"")</f>
        <v/>
      </c>
      <c r="X333" s="6" t="str">
        <f>IFERROR(_xlfn.LET(_xlpm.x,VLOOKUP($C333,[1]Summary!$A$2:$J$118,8,0),IF(_xlpm.x=0,"",_xlpm.x)),"")</f>
        <v/>
      </c>
      <c r="Y333" s="6" t="str">
        <f>IFERROR(_xlfn.LET(_xlpm.x,VLOOKUP($C333,[1]Summary!$A$2:$J$118,9,0),IF(_xlpm.x=0,"",_xlpm.x)),"")</f>
        <v/>
      </c>
      <c r="Z333" s="6" t="str">
        <f>IFERROR(_xlfn.LET(_xlpm.x,VLOOKUP($C333,[1]Summary!$A$2:$J$118,10,0),IF(_xlpm.x=0,"",_xlpm.x)),"")</f>
        <v/>
      </c>
    </row>
    <row r="334" spans="1:26" x14ac:dyDescent="0.25">
      <c r="A334" s="2">
        <v>1000000003994</v>
      </c>
      <c r="B334" s="5" t="s">
        <v>605</v>
      </c>
      <c r="C334" s="2">
        <v>3000000002125</v>
      </c>
      <c r="D334" s="5" t="s">
        <v>606</v>
      </c>
      <c r="E334" s="1">
        <v>4</v>
      </c>
      <c r="F334" s="1" t="s">
        <v>28</v>
      </c>
      <c r="G334" s="1">
        <v>4</v>
      </c>
      <c r="H334" s="1">
        <v>2</v>
      </c>
      <c r="I334" s="1">
        <v>2</v>
      </c>
      <c r="J334" s="1"/>
      <c r="K334" s="1">
        <v>50</v>
      </c>
      <c r="L334" s="1" t="str">
        <f>IFERROR(_xlfn.LET(_xlpm.x,VLOOKUP($A334,'[1]Markings Threadings'!$B$3:$L$245,3,0),IF(_xlpm.x=0,"",_xlpm.x)),"")</f>
        <v/>
      </c>
      <c r="M334" s="2" t="str">
        <f>IFERROR(_xlfn.LET(_xlpm.x,VLOOKUP($A334,'[1]Markings Threadings'!$B$3:$L$245,7,0),IF(_xlpm.x=0,"",_xlpm.x)),"")</f>
        <v/>
      </c>
      <c r="N334" s="5" t="str">
        <f>IFERROR(_xlfn.LET(_xlpm.x,VLOOKUP($A334,'[1]Markings Threadings'!$B$3:$L$245,8,0),IF(_xlpm.x=0,"",_xlpm.x)),"")</f>
        <v/>
      </c>
      <c r="O334" s="2" t="str">
        <f>IFERROR(_xlfn.LET(_xlpm.x,VLOOKUP($A334,'[1]Markings Threadings'!$B$3:$L$245,10,0),IF(_xlpm.x=0,"",_xlpm.x)),"")</f>
        <v/>
      </c>
      <c r="P334" s="5" t="str">
        <f>IFERROR(_xlfn.LET(_xlpm.x,VLOOKUP($A334,'[1]Markings Threadings'!$B$3:$L$245,11,0),IF(_xlpm.x=0,"",_xlpm.x)),"")</f>
        <v/>
      </c>
      <c r="Q334" s="1" t="str">
        <f>IFERROR(_xlfn.LET(_xlpm.x,VLOOKUP($A334,'[1]Markings Threadings'!$B$3:$L$245,4,0),IF(_xlpm.x=0,"",_xlpm.x)),"")</f>
        <v/>
      </c>
      <c r="R334" s="1" t="str">
        <f>IFERROR(_xlfn.LET(_xlpm.x,VLOOKUP($A334,'[1]Markings Threadings'!$B$3:$L$245,5,0),IF(_xlpm.x=0,"",_xlpm.x)),"")</f>
        <v/>
      </c>
      <c r="S334" s="1" t="str">
        <f>IFERROR(_xlfn.LET(_xlpm.x,VLOOKUP($A334,'[1]Markings Threadings'!$B$3:$L$245,6,0),IF(_xlpm.x=0,"",_xlpm.x)),"")</f>
        <v/>
      </c>
      <c r="T334" s="6" t="str">
        <f>IFERROR(_xlfn.LET(_xlpm.x,VLOOKUP($C334,[1]Summary!$A$2:$J$118,4,0),IF(_xlpm.x=0,"",_xlpm.x)),"")</f>
        <v/>
      </c>
      <c r="U334" s="6" t="str">
        <f>IFERROR(_xlfn.LET(_xlpm.x,VLOOKUP($C334,[1]Summary!$A$2:$J$118,5,0),IF(_xlpm.x=0,"",_xlpm.x)),"")</f>
        <v/>
      </c>
      <c r="V334" s="6" t="str">
        <f>IFERROR(_xlfn.LET(_xlpm.x,VLOOKUP($C334,[1]Summary!$A$2:$J$118,6,0),IF(_xlpm.x=0,"",_xlpm.x)),"")</f>
        <v/>
      </c>
      <c r="W334" s="6" t="str">
        <f>IFERROR(_xlfn.LET(_xlpm.x,VLOOKUP($C334,[1]Summary!$A$2:$J$118,7,0),IF(_xlpm.x=0,"",_xlpm.x)),"")</f>
        <v/>
      </c>
      <c r="X334" s="6" t="str">
        <f>IFERROR(_xlfn.LET(_xlpm.x,VLOOKUP($C334,[1]Summary!$A$2:$J$118,8,0),IF(_xlpm.x=0,"",_xlpm.x)),"")</f>
        <v/>
      </c>
      <c r="Y334" s="6" t="str">
        <f>IFERROR(_xlfn.LET(_xlpm.x,VLOOKUP($C334,[1]Summary!$A$2:$J$118,9,0),IF(_xlpm.x=0,"",_xlpm.x)),"")</f>
        <v/>
      </c>
      <c r="Z334" s="6" t="str">
        <f>IFERROR(_xlfn.LET(_xlpm.x,VLOOKUP($C334,[1]Summary!$A$2:$J$118,10,0),IF(_xlpm.x=0,"",_xlpm.x)),"")</f>
        <v/>
      </c>
    </row>
    <row r="335" spans="1:26" x14ac:dyDescent="0.25">
      <c r="A335" s="2">
        <v>1000000003992</v>
      </c>
      <c r="B335" s="5" t="s">
        <v>607</v>
      </c>
      <c r="C335" s="2">
        <v>3000000002123</v>
      </c>
      <c r="D335" s="5" t="s">
        <v>608</v>
      </c>
      <c r="E335" s="1">
        <v>3</v>
      </c>
      <c r="F335" s="1" t="s">
        <v>86</v>
      </c>
      <c r="G335" s="1">
        <v>4</v>
      </c>
      <c r="H335" s="1">
        <v>2</v>
      </c>
      <c r="I335" s="1">
        <v>2</v>
      </c>
      <c r="J335" s="1"/>
      <c r="K335" s="1">
        <v>50</v>
      </c>
      <c r="L335" s="1" t="str">
        <f>IFERROR(_xlfn.LET(_xlpm.x,VLOOKUP($A335,'[1]Markings Threadings'!$B$3:$L$245,3,0),IF(_xlpm.x=0,"",_xlpm.x)),"")</f>
        <v/>
      </c>
      <c r="M335" s="2" t="str">
        <f>IFERROR(_xlfn.LET(_xlpm.x,VLOOKUP($A335,'[1]Markings Threadings'!$B$3:$L$245,7,0),IF(_xlpm.x=0,"",_xlpm.x)),"")</f>
        <v/>
      </c>
      <c r="N335" s="5" t="str">
        <f>IFERROR(_xlfn.LET(_xlpm.x,VLOOKUP($A335,'[1]Markings Threadings'!$B$3:$L$245,8,0),IF(_xlpm.x=0,"",_xlpm.x)),"")</f>
        <v/>
      </c>
      <c r="O335" s="2" t="str">
        <f>IFERROR(_xlfn.LET(_xlpm.x,VLOOKUP($A335,'[1]Markings Threadings'!$B$3:$L$245,10,0),IF(_xlpm.x=0,"",_xlpm.x)),"")</f>
        <v/>
      </c>
      <c r="P335" s="5" t="str">
        <f>IFERROR(_xlfn.LET(_xlpm.x,VLOOKUP($A335,'[1]Markings Threadings'!$B$3:$L$245,11,0),IF(_xlpm.x=0,"",_xlpm.x)),"")</f>
        <v/>
      </c>
      <c r="Q335" s="1" t="str">
        <f>IFERROR(_xlfn.LET(_xlpm.x,VLOOKUP($A335,'[1]Markings Threadings'!$B$3:$L$245,4,0),IF(_xlpm.x=0,"",_xlpm.x)),"")</f>
        <v/>
      </c>
      <c r="R335" s="1" t="str">
        <f>IFERROR(_xlfn.LET(_xlpm.x,VLOOKUP($A335,'[1]Markings Threadings'!$B$3:$L$245,5,0),IF(_xlpm.x=0,"",_xlpm.x)),"")</f>
        <v/>
      </c>
      <c r="S335" s="1" t="str">
        <f>IFERROR(_xlfn.LET(_xlpm.x,VLOOKUP($A335,'[1]Markings Threadings'!$B$3:$L$245,6,0),IF(_xlpm.x=0,"",_xlpm.x)),"")</f>
        <v/>
      </c>
      <c r="T335" s="6" t="str">
        <f>IFERROR(_xlfn.LET(_xlpm.x,VLOOKUP($C335,[1]Summary!$A$2:$J$118,4,0),IF(_xlpm.x=0,"",_xlpm.x)),"")</f>
        <v/>
      </c>
      <c r="U335" s="6" t="str">
        <f>IFERROR(_xlfn.LET(_xlpm.x,VLOOKUP($C335,[1]Summary!$A$2:$J$118,5,0),IF(_xlpm.x=0,"",_xlpm.x)),"")</f>
        <v/>
      </c>
      <c r="V335" s="6" t="str">
        <f>IFERROR(_xlfn.LET(_xlpm.x,VLOOKUP($C335,[1]Summary!$A$2:$J$118,6,0),IF(_xlpm.x=0,"",_xlpm.x)),"")</f>
        <v/>
      </c>
      <c r="W335" s="6" t="str">
        <f>IFERROR(_xlfn.LET(_xlpm.x,VLOOKUP($C335,[1]Summary!$A$2:$J$118,7,0),IF(_xlpm.x=0,"",_xlpm.x)),"")</f>
        <v/>
      </c>
      <c r="X335" s="6" t="str">
        <f>IFERROR(_xlfn.LET(_xlpm.x,VLOOKUP($C335,[1]Summary!$A$2:$J$118,8,0),IF(_xlpm.x=0,"",_xlpm.x)),"")</f>
        <v/>
      </c>
      <c r="Y335" s="6" t="str">
        <f>IFERROR(_xlfn.LET(_xlpm.x,VLOOKUP($C335,[1]Summary!$A$2:$J$118,9,0),IF(_xlpm.x=0,"",_xlpm.x)),"")</f>
        <v/>
      </c>
      <c r="Z335" s="6" t="str">
        <f>IFERROR(_xlfn.LET(_xlpm.x,VLOOKUP($C335,[1]Summary!$A$2:$J$118,10,0),IF(_xlpm.x=0,"",_xlpm.x)),"")</f>
        <v/>
      </c>
    </row>
    <row r="336" spans="1:26" x14ac:dyDescent="0.25">
      <c r="A336" s="2">
        <v>1000000003991</v>
      </c>
      <c r="B336" s="5" t="s">
        <v>609</v>
      </c>
      <c r="C336" s="2">
        <v>3000000002122</v>
      </c>
      <c r="D336" s="5" t="s">
        <v>610</v>
      </c>
      <c r="E336" s="1">
        <v>3</v>
      </c>
      <c r="F336" s="1" t="s">
        <v>86</v>
      </c>
      <c r="G336" s="1">
        <v>4</v>
      </c>
      <c r="H336" s="1">
        <v>2</v>
      </c>
      <c r="I336" s="1">
        <v>2</v>
      </c>
      <c r="J336" s="1"/>
      <c r="K336" s="1">
        <v>50</v>
      </c>
      <c r="L336" s="1" t="str">
        <f>IFERROR(_xlfn.LET(_xlpm.x,VLOOKUP($A336,'[1]Markings Threadings'!$B$3:$L$245,3,0),IF(_xlpm.x=0,"",_xlpm.x)),"")</f>
        <v/>
      </c>
      <c r="M336" s="2" t="str">
        <f>IFERROR(_xlfn.LET(_xlpm.x,VLOOKUP($A336,'[1]Markings Threadings'!$B$3:$L$245,7,0),IF(_xlpm.x=0,"",_xlpm.x)),"")</f>
        <v/>
      </c>
      <c r="N336" s="5" t="str">
        <f>IFERROR(_xlfn.LET(_xlpm.x,VLOOKUP($A336,'[1]Markings Threadings'!$B$3:$L$245,8,0),IF(_xlpm.x=0,"",_xlpm.x)),"")</f>
        <v/>
      </c>
      <c r="O336" s="2" t="str">
        <f>IFERROR(_xlfn.LET(_xlpm.x,VLOOKUP($A336,'[1]Markings Threadings'!$B$3:$L$245,10,0),IF(_xlpm.x=0,"",_xlpm.x)),"")</f>
        <v/>
      </c>
      <c r="P336" s="5" t="str">
        <f>IFERROR(_xlfn.LET(_xlpm.x,VLOOKUP($A336,'[1]Markings Threadings'!$B$3:$L$245,11,0),IF(_xlpm.x=0,"",_xlpm.x)),"")</f>
        <v/>
      </c>
      <c r="Q336" s="1" t="str">
        <f>IFERROR(_xlfn.LET(_xlpm.x,VLOOKUP($A336,'[1]Markings Threadings'!$B$3:$L$245,4,0),IF(_xlpm.x=0,"",_xlpm.x)),"")</f>
        <v/>
      </c>
      <c r="R336" s="1" t="str">
        <f>IFERROR(_xlfn.LET(_xlpm.x,VLOOKUP($A336,'[1]Markings Threadings'!$B$3:$L$245,5,0),IF(_xlpm.x=0,"",_xlpm.x)),"")</f>
        <v/>
      </c>
      <c r="S336" s="1" t="str">
        <f>IFERROR(_xlfn.LET(_xlpm.x,VLOOKUP($A336,'[1]Markings Threadings'!$B$3:$L$245,6,0),IF(_xlpm.x=0,"",_xlpm.x)),"")</f>
        <v/>
      </c>
      <c r="T336" s="6" t="str">
        <f>IFERROR(_xlfn.LET(_xlpm.x,VLOOKUP($C336,[1]Summary!$A$2:$J$118,4,0),IF(_xlpm.x=0,"",_xlpm.x)),"")</f>
        <v/>
      </c>
      <c r="U336" s="6" t="str">
        <f>IFERROR(_xlfn.LET(_xlpm.x,VLOOKUP($C336,[1]Summary!$A$2:$J$118,5,0),IF(_xlpm.x=0,"",_xlpm.x)),"")</f>
        <v/>
      </c>
      <c r="V336" s="6" t="str">
        <f>IFERROR(_xlfn.LET(_xlpm.x,VLOOKUP($C336,[1]Summary!$A$2:$J$118,6,0),IF(_xlpm.x=0,"",_xlpm.x)),"")</f>
        <v/>
      </c>
      <c r="W336" s="6" t="str">
        <f>IFERROR(_xlfn.LET(_xlpm.x,VLOOKUP($C336,[1]Summary!$A$2:$J$118,7,0),IF(_xlpm.x=0,"",_xlpm.x)),"")</f>
        <v/>
      </c>
      <c r="X336" s="6" t="str">
        <f>IFERROR(_xlfn.LET(_xlpm.x,VLOOKUP($C336,[1]Summary!$A$2:$J$118,8,0),IF(_xlpm.x=0,"",_xlpm.x)),"")</f>
        <v/>
      </c>
      <c r="Y336" s="6" t="str">
        <f>IFERROR(_xlfn.LET(_xlpm.x,VLOOKUP($C336,[1]Summary!$A$2:$J$118,9,0),IF(_xlpm.x=0,"",_xlpm.x)),"")</f>
        <v/>
      </c>
      <c r="Z336" s="6" t="str">
        <f>IFERROR(_xlfn.LET(_xlpm.x,VLOOKUP($C336,[1]Summary!$A$2:$J$118,10,0),IF(_xlpm.x=0,"",_xlpm.x)),"")</f>
        <v/>
      </c>
    </row>
    <row r="337" spans="1:26" x14ac:dyDescent="0.25">
      <c r="A337" s="2">
        <v>1000000004003</v>
      </c>
      <c r="B337" s="5" t="s">
        <v>611</v>
      </c>
      <c r="C337" s="2">
        <v>3000000002131</v>
      </c>
      <c r="D337" s="5" t="s">
        <v>612</v>
      </c>
      <c r="E337" s="1">
        <v>4</v>
      </c>
      <c r="F337" s="1" t="s">
        <v>47</v>
      </c>
      <c r="G337" s="1">
        <v>4</v>
      </c>
      <c r="H337" s="1">
        <v>2</v>
      </c>
      <c r="I337" s="1">
        <v>2</v>
      </c>
      <c r="J337" s="1"/>
      <c r="K337" s="1">
        <v>50</v>
      </c>
      <c r="L337" s="1" t="str">
        <f>IFERROR(_xlfn.LET(_xlpm.x,VLOOKUP($A337,'[1]Markings Threadings'!$B$3:$L$245,3,0),IF(_xlpm.x=0,"",_xlpm.x)),"")</f>
        <v>Yellow</v>
      </c>
      <c r="M337" s="2">
        <f>IFERROR(_xlfn.LET(_xlpm.x,VLOOKUP($A337,'[1]Markings Threadings'!$B$3:$L$245,7,0),IF(_xlpm.x=0,"",_xlpm.x)),"")</f>
        <v>5000000000561</v>
      </c>
      <c r="N337" s="5" t="str">
        <f>IFERROR(_xlfn.LET(_xlpm.x,VLOOKUP($A337,'[1]Markings Threadings'!$B$3:$L$245,8,0),IF(_xlpm.x=0,"",_xlpm.x)),"")</f>
        <v>v2 - Poultry Solutions Chick Starter, 50</v>
      </c>
      <c r="O337" s="2">
        <f>IFERROR(_xlfn.LET(_xlpm.x,VLOOKUP($A337,'[1]Markings Threadings'!$B$3:$L$245,10,0),IF(_xlpm.x=0,"",_xlpm.x)),"")</f>
        <v>5000000000125</v>
      </c>
      <c r="P337" s="5" t="str">
        <f>IFERROR(_xlfn.LET(_xlpm.x,VLOOKUP($A337,'[1]Markings Threadings'!$B$3:$L$245,11,0),IF(_xlpm.x=0,"",_xlpm.x)),"")</f>
        <v>Tag Poultry Solutions Chick Starter</v>
      </c>
      <c r="Q337" s="1">
        <f>IFERROR(_xlfn.LET(_xlpm.x,VLOOKUP($A337,'[1]Markings Threadings'!$B$3:$L$245,4,0),IF(_xlpm.x=0,"",_xlpm.x)),"")</f>
        <v>4003</v>
      </c>
      <c r="R337" s="1" t="str">
        <f>IFERROR(_xlfn.LET(_xlpm.x,VLOOKUP($A337,'[1]Markings Threadings'!$B$3:$L$245,5,0),IF(_xlpm.x=0,"",_xlpm.x)),"")</f>
        <v/>
      </c>
      <c r="S337" s="1" t="str">
        <f>IFERROR(_xlfn.LET(_xlpm.x,VLOOKUP($A337,'[1]Markings Threadings'!$B$3:$L$245,6,0),IF(_xlpm.x=0,"",_xlpm.x)),"")</f>
        <v/>
      </c>
      <c r="T337" s="6" t="str">
        <f>IFERROR(_xlfn.LET(_xlpm.x,VLOOKUP($C337,[1]Summary!$A$2:$J$118,4,0),IF(_xlpm.x=0,"",_xlpm.x)),"")</f>
        <v/>
      </c>
      <c r="U337" s="6" t="str">
        <f>IFERROR(_xlfn.LET(_xlpm.x,VLOOKUP($C337,[1]Summary!$A$2:$J$118,5,0),IF(_xlpm.x=0,"",_xlpm.x)),"")</f>
        <v/>
      </c>
      <c r="V337" s="6" t="str">
        <f>IFERROR(_xlfn.LET(_xlpm.x,VLOOKUP($C337,[1]Summary!$A$2:$J$118,6,0),IF(_xlpm.x=0,"",_xlpm.x)),"")</f>
        <v/>
      </c>
      <c r="W337" s="6" t="str">
        <f>IFERROR(_xlfn.LET(_xlpm.x,VLOOKUP($C337,[1]Summary!$A$2:$J$118,7,0),IF(_xlpm.x=0,"",_xlpm.x)),"")</f>
        <v/>
      </c>
      <c r="X337" s="6" t="str">
        <f>IFERROR(_xlfn.LET(_xlpm.x,VLOOKUP($C337,[1]Summary!$A$2:$J$118,8,0),IF(_xlpm.x=0,"",_xlpm.x)),"")</f>
        <v/>
      </c>
      <c r="Y337" s="6" t="str">
        <f>IFERROR(_xlfn.LET(_xlpm.x,VLOOKUP($C337,[1]Summary!$A$2:$J$118,9,0),IF(_xlpm.x=0,"",_xlpm.x)),"")</f>
        <v/>
      </c>
      <c r="Z337" s="6" t="str">
        <f>IFERROR(_xlfn.LET(_xlpm.x,VLOOKUP($C337,[1]Summary!$A$2:$J$118,10,0),IF(_xlpm.x=0,"",_xlpm.x)),"")</f>
        <v/>
      </c>
    </row>
    <row r="338" spans="1:26" x14ac:dyDescent="0.25">
      <c r="A338" s="2">
        <v>1000000004004</v>
      </c>
      <c r="B338" s="5" t="s">
        <v>613</v>
      </c>
      <c r="C338" s="2">
        <v>3000000002132</v>
      </c>
      <c r="D338" s="5" t="s">
        <v>614</v>
      </c>
      <c r="E338" s="1">
        <v>4</v>
      </c>
      <c r="F338" s="1" t="s">
        <v>47</v>
      </c>
      <c r="G338" s="1">
        <v>4</v>
      </c>
      <c r="H338" s="1">
        <v>2</v>
      </c>
      <c r="I338" s="1">
        <v>2</v>
      </c>
      <c r="J338" s="1"/>
      <c r="K338" s="1">
        <v>50</v>
      </c>
      <c r="L338" s="1" t="str">
        <f>IFERROR(_xlfn.LET(_xlpm.x,VLOOKUP($A338,'[1]Markings Threadings'!$B$3:$L$245,3,0),IF(_xlpm.x=0,"",_xlpm.x)),"")</f>
        <v>White Blue</v>
      </c>
      <c r="M338" s="2">
        <f>IFERROR(_xlfn.LET(_xlpm.x,VLOOKUP($A338,'[1]Markings Threadings'!$B$3:$L$245,7,0),IF(_xlpm.x=0,"",_xlpm.x)),"")</f>
        <v>5000000000561</v>
      </c>
      <c r="N338" s="5" t="str">
        <f>IFERROR(_xlfn.LET(_xlpm.x,VLOOKUP($A338,'[1]Markings Threadings'!$B$3:$L$245,8,0),IF(_xlpm.x=0,"",_xlpm.x)),"")</f>
        <v>v2 - Poultry Solutions Chick Starter, 50</v>
      </c>
      <c r="O338" s="2">
        <f>IFERROR(_xlfn.LET(_xlpm.x,VLOOKUP($A338,'[1]Markings Threadings'!$B$3:$L$245,10,0),IF(_xlpm.x=0,"",_xlpm.x)),"")</f>
        <v>5000000000125</v>
      </c>
      <c r="P338" s="5" t="str">
        <f>IFERROR(_xlfn.LET(_xlpm.x,VLOOKUP($A338,'[1]Markings Threadings'!$B$3:$L$245,11,0),IF(_xlpm.x=0,"",_xlpm.x)),"")</f>
        <v>Tag Poultry Solutions Chick Starter</v>
      </c>
      <c r="Q338" s="1">
        <f>IFERROR(_xlfn.LET(_xlpm.x,VLOOKUP($A338,'[1]Markings Threadings'!$B$3:$L$245,4,0),IF(_xlpm.x=0,"",_xlpm.x)),"")</f>
        <v>4004</v>
      </c>
      <c r="R338" s="1" t="str">
        <f>IFERROR(_xlfn.LET(_xlpm.x,VLOOKUP($A338,'[1]Markings Threadings'!$B$3:$L$245,5,0),IF(_xlpm.x=0,"",_xlpm.x)),"")</f>
        <v/>
      </c>
      <c r="S338" s="1" t="str">
        <f>IFERROR(_xlfn.LET(_xlpm.x,VLOOKUP($A338,'[1]Markings Threadings'!$B$3:$L$245,6,0),IF(_xlpm.x=0,"",_xlpm.x)),"")</f>
        <v/>
      </c>
      <c r="T338" s="6" t="str">
        <f>IFERROR(_xlfn.LET(_xlpm.x,VLOOKUP($C338,[1]Summary!$A$2:$J$118,4,0),IF(_xlpm.x=0,"",_xlpm.x)),"")</f>
        <v/>
      </c>
      <c r="U338" s="6" t="str">
        <f>IFERROR(_xlfn.LET(_xlpm.x,VLOOKUP($C338,[1]Summary!$A$2:$J$118,5,0),IF(_xlpm.x=0,"",_xlpm.x)),"")</f>
        <v/>
      </c>
      <c r="V338" s="6" t="str">
        <f>IFERROR(_xlfn.LET(_xlpm.x,VLOOKUP($C338,[1]Summary!$A$2:$J$118,6,0),IF(_xlpm.x=0,"",_xlpm.x)),"")</f>
        <v/>
      </c>
      <c r="W338" s="6" t="str">
        <f>IFERROR(_xlfn.LET(_xlpm.x,VLOOKUP($C338,[1]Summary!$A$2:$J$118,7,0),IF(_xlpm.x=0,"",_xlpm.x)),"")</f>
        <v/>
      </c>
      <c r="X338" s="6" t="str">
        <f>IFERROR(_xlfn.LET(_xlpm.x,VLOOKUP($C338,[1]Summary!$A$2:$J$118,8,0),IF(_xlpm.x=0,"",_xlpm.x)),"")</f>
        <v/>
      </c>
      <c r="Y338" s="6" t="str">
        <f>IFERROR(_xlfn.LET(_xlpm.x,VLOOKUP($C338,[1]Summary!$A$2:$J$118,9,0),IF(_xlpm.x=0,"",_xlpm.x)),"")</f>
        <v/>
      </c>
      <c r="Z338" s="6" t="str">
        <f>IFERROR(_xlfn.LET(_xlpm.x,VLOOKUP($C338,[1]Summary!$A$2:$J$118,10,0),IF(_xlpm.x=0,"",_xlpm.x)),"")</f>
        <v/>
      </c>
    </row>
    <row r="339" spans="1:26" x14ac:dyDescent="0.25">
      <c r="A339" s="2">
        <v>1000000004082</v>
      </c>
      <c r="B339" s="5" t="s">
        <v>615</v>
      </c>
      <c r="C339" s="2">
        <v>3000000002141</v>
      </c>
      <c r="D339" s="5" t="s">
        <v>616</v>
      </c>
      <c r="E339" s="1">
        <v>4</v>
      </c>
      <c r="F339" s="1" t="s">
        <v>47</v>
      </c>
      <c r="G339" s="1">
        <v>4</v>
      </c>
      <c r="H339" s="1">
        <v>2</v>
      </c>
      <c r="I339" s="1">
        <v>2</v>
      </c>
      <c r="J339" s="1"/>
      <c r="K339" s="1">
        <v>50</v>
      </c>
      <c r="L339" s="1" t="str">
        <f>IFERROR(_xlfn.LET(_xlpm.x,VLOOKUP($A339,'[1]Markings Threadings'!$B$3:$L$245,3,0),IF(_xlpm.x=0,"",_xlpm.x)),"")</f>
        <v>Blue</v>
      </c>
      <c r="M339" s="2" t="str">
        <f>IFERROR(_xlfn.LET(_xlpm.x,VLOOKUP($A339,'[1]Markings Threadings'!$B$3:$L$245,7,0),IF(_xlpm.x=0,"",_xlpm.x)),"")</f>
        <v/>
      </c>
      <c r="N339" s="5" t="str">
        <f>IFERROR(_xlfn.LET(_xlpm.x,VLOOKUP($A339,'[1]Markings Threadings'!$B$3:$L$245,8,0),IF(_xlpm.x=0,"",_xlpm.x)),"")</f>
        <v/>
      </c>
      <c r="O339" s="2" t="str">
        <f>IFERROR(_xlfn.LET(_xlpm.x,VLOOKUP($A339,'[1]Markings Threadings'!$B$3:$L$245,10,0),IF(_xlpm.x=0,"",_xlpm.x)),"")</f>
        <v/>
      </c>
      <c r="P339" s="5" t="str">
        <f>IFERROR(_xlfn.LET(_xlpm.x,VLOOKUP($A339,'[1]Markings Threadings'!$B$3:$L$245,11,0),IF(_xlpm.x=0,"",_xlpm.x)),"")</f>
        <v/>
      </c>
      <c r="Q339" s="1">
        <f>IFERROR(_xlfn.LET(_xlpm.x,VLOOKUP($A339,'[1]Markings Threadings'!$B$3:$L$245,4,0),IF(_xlpm.x=0,"",_xlpm.x)),"")</f>
        <v>4082</v>
      </c>
      <c r="R339" s="1" t="str">
        <f>IFERROR(_xlfn.LET(_xlpm.x,VLOOKUP($A339,'[1]Markings Threadings'!$B$3:$L$245,5,0),IF(_xlpm.x=0,"",_xlpm.x)),"")</f>
        <v/>
      </c>
      <c r="S339" s="1" t="str">
        <f>IFERROR(_xlfn.LET(_xlpm.x,VLOOKUP($A339,'[1]Markings Threadings'!$B$3:$L$245,6,0),IF(_xlpm.x=0,"",_xlpm.x)),"")</f>
        <v/>
      </c>
      <c r="T339" s="6" t="str">
        <f>IFERROR(_xlfn.LET(_xlpm.x,VLOOKUP($C339,[1]Summary!$A$2:$J$118,4,0),IF(_xlpm.x=0,"",_xlpm.x)),"")</f>
        <v/>
      </c>
      <c r="U339" s="6" t="str">
        <f>IFERROR(_xlfn.LET(_xlpm.x,VLOOKUP($C339,[1]Summary!$A$2:$J$118,5,0),IF(_xlpm.x=0,"",_xlpm.x)),"")</f>
        <v/>
      </c>
      <c r="V339" s="6" t="str">
        <f>IFERROR(_xlfn.LET(_xlpm.x,VLOOKUP($C339,[1]Summary!$A$2:$J$118,6,0),IF(_xlpm.x=0,"",_xlpm.x)),"")</f>
        <v/>
      </c>
      <c r="W339" s="6">
        <f>IFERROR(_xlfn.LET(_xlpm.x,VLOOKUP($C339,[1]Summary!$A$2:$J$118,7,0),IF(_xlpm.x=0,"",_xlpm.x)),"")</f>
        <v>7.9994879999999995</v>
      </c>
      <c r="X339" s="6" t="str">
        <f>IFERROR(_xlfn.LET(_xlpm.x,VLOOKUP($C339,[1]Summary!$A$2:$J$118,8,0),IF(_xlpm.x=0,"",_xlpm.x)),"")</f>
        <v/>
      </c>
      <c r="Y339" s="6">
        <f>IFERROR(_xlfn.LET(_xlpm.x,VLOOKUP($C339,[1]Summary!$A$2:$J$118,9,0),IF(_xlpm.x=0,"",_xlpm.x)),"")</f>
        <v>6.4757760000000006</v>
      </c>
      <c r="Z339" s="6" t="str">
        <f>IFERROR(_xlfn.LET(_xlpm.x,VLOOKUP($C339,[1]Summary!$A$2:$J$118,10,0),IF(_xlpm.x=0,"",_xlpm.x)),"")</f>
        <v/>
      </c>
    </row>
    <row r="340" spans="1:26" x14ac:dyDescent="0.25">
      <c r="A340" s="2">
        <v>1000000004083</v>
      </c>
      <c r="B340" s="5" t="s">
        <v>617</v>
      </c>
      <c r="C340" s="2">
        <v>3000000002142</v>
      </c>
      <c r="D340" s="5" t="s">
        <v>618</v>
      </c>
      <c r="E340" s="1">
        <v>4</v>
      </c>
      <c r="F340" s="1" t="s">
        <v>47</v>
      </c>
      <c r="G340" s="1">
        <v>4</v>
      </c>
      <c r="H340" s="1">
        <v>2</v>
      </c>
      <c r="I340" s="1">
        <v>2</v>
      </c>
      <c r="J340" s="1"/>
      <c r="K340" s="1">
        <v>50</v>
      </c>
      <c r="L340" s="1" t="str">
        <f>IFERROR(_xlfn.LET(_xlpm.x,VLOOKUP($A340,'[1]Markings Threadings'!$B$3:$L$245,3,0),IF(_xlpm.x=0,"",_xlpm.x)),"")</f>
        <v/>
      </c>
      <c r="M340" s="2" t="str">
        <f>IFERROR(_xlfn.LET(_xlpm.x,VLOOKUP($A340,'[1]Markings Threadings'!$B$3:$L$245,7,0),IF(_xlpm.x=0,"",_xlpm.x)),"")</f>
        <v/>
      </c>
      <c r="N340" s="5" t="str">
        <f>IFERROR(_xlfn.LET(_xlpm.x,VLOOKUP($A340,'[1]Markings Threadings'!$B$3:$L$245,8,0),IF(_xlpm.x=0,"",_xlpm.x)),"")</f>
        <v/>
      </c>
      <c r="O340" s="2" t="str">
        <f>IFERROR(_xlfn.LET(_xlpm.x,VLOOKUP($A340,'[1]Markings Threadings'!$B$3:$L$245,10,0),IF(_xlpm.x=0,"",_xlpm.x)),"")</f>
        <v/>
      </c>
      <c r="P340" s="5" t="str">
        <f>IFERROR(_xlfn.LET(_xlpm.x,VLOOKUP($A340,'[1]Markings Threadings'!$B$3:$L$245,11,0),IF(_xlpm.x=0,"",_xlpm.x)),"")</f>
        <v/>
      </c>
      <c r="Q340" s="1" t="str">
        <f>IFERROR(_xlfn.LET(_xlpm.x,VLOOKUP($A340,'[1]Markings Threadings'!$B$3:$L$245,4,0),IF(_xlpm.x=0,"",_xlpm.x)),"")</f>
        <v/>
      </c>
      <c r="R340" s="1" t="str">
        <f>IFERROR(_xlfn.LET(_xlpm.x,VLOOKUP($A340,'[1]Markings Threadings'!$B$3:$L$245,5,0),IF(_xlpm.x=0,"",_xlpm.x)),"")</f>
        <v/>
      </c>
      <c r="S340" s="1" t="str">
        <f>IFERROR(_xlfn.LET(_xlpm.x,VLOOKUP($A340,'[1]Markings Threadings'!$B$3:$L$245,6,0),IF(_xlpm.x=0,"",_xlpm.x)),"")</f>
        <v/>
      </c>
      <c r="T340" s="6" t="str">
        <f>IFERROR(_xlfn.LET(_xlpm.x,VLOOKUP($C340,[1]Summary!$A$2:$J$118,4,0),IF(_xlpm.x=0,"",_xlpm.x)),"")</f>
        <v/>
      </c>
      <c r="U340" s="6" t="str">
        <f>IFERROR(_xlfn.LET(_xlpm.x,VLOOKUP($C340,[1]Summary!$A$2:$J$118,5,0),IF(_xlpm.x=0,"",_xlpm.x)),"")</f>
        <v/>
      </c>
      <c r="V340" s="6" t="str">
        <f>IFERROR(_xlfn.LET(_xlpm.x,VLOOKUP($C340,[1]Summary!$A$2:$J$118,6,0),IF(_xlpm.x=0,"",_xlpm.x)),"")</f>
        <v/>
      </c>
      <c r="W340" s="6" t="str">
        <f>IFERROR(_xlfn.LET(_xlpm.x,VLOOKUP($C340,[1]Summary!$A$2:$J$118,7,0),IF(_xlpm.x=0,"",_xlpm.x)),"")</f>
        <v/>
      </c>
      <c r="X340" s="6" t="str">
        <f>IFERROR(_xlfn.LET(_xlpm.x,VLOOKUP($C340,[1]Summary!$A$2:$J$118,8,0),IF(_xlpm.x=0,"",_xlpm.x)),"")</f>
        <v/>
      </c>
      <c r="Y340" s="6" t="str">
        <f>IFERROR(_xlfn.LET(_xlpm.x,VLOOKUP($C340,[1]Summary!$A$2:$J$118,9,0),IF(_xlpm.x=0,"",_xlpm.x)),"")</f>
        <v/>
      </c>
      <c r="Z340" s="6" t="str">
        <f>IFERROR(_xlfn.LET(_xlpm.x,VLOOKUP($C340,[1]Summary!$A$2:$J$118,10,0),IF(_xlpm.x=0,"",_xlpm.x)),"")</f>
        <v/>
      </c>
    </row>
    <row r="341" spans="1:26" x14ac:dyDescent="0.25">
      <c r="A341" s="2">
        <v>1000000004084</v>
      </c>
      <c r="B341" s="5" t="s">
        <v>619</v>
      </c>
      <c r="C341" s="2">
        <v>3000000002143</v>
      </c>
      <c r="D341" s="5" t="s">
        <v>620</v>
      </c>
      <c r="E341" s="1">
        <v>4</v>
      </c>
      <c r="F341" s="1" t="s">
        <v>67</v>
      </c>
      <c r="G341" s="1">
        <v>4</v>
      </c>
      <c r="H341" s="1">
        <v>2</v>
      </c>
      <c r="I341" s="1">
        <v>2</v>
      </c>
      <c r="J341" s="1"/>
      <c r="K341" s="1">
        <v>50</v>
      </c>
      <c r="L341" s="1" t="str">
        <f>IFERROR(_xlfn.LET(_xlpm.x,VLOOKUP($A341,'[1]Markings Threadings'!$B$3:$L$245,3,0),IF(_xlpm.x=0,"",_xlpm.x)),"")</f>
        <v>Blue</v>
      </c>
      <c r="M341" s="2">
        <f>IFERROR(_xlfn.LET(_xlpm.x,VLOOKUP($A341,'[1]Markings Threadings'!$B$3:$L$245,7,0),IF(_xlpm.x=0,"",_xlpm.x)),"")</f>
        <v>5000000000562</v>
      </c>
      <c r="N341" s="5" t="str">
        <f>IFERROR(_xlfn.LET(_xlpm.x,VLOOKUP($A341,'[1]Markings Threadings'!$B$3:$L$245,8,0),IF(_xlpm.x=0,"",_xlpm.x)),"")</f>
        <v>Sack Poultry Sol Chick Growex 1, 50kg</v>
      </c>
      <c r="O341" s="2">
        <f>IFERROR(_xlfn.LET(_xlpm.x,VLOOKUP($A341,'[1]Markings Threadings'!$B$3:$L$245,10,0),IF(_xlpm.x=0,"",_xlpm.x)),"")</f>
        <v>5000000000122</v>
      </c>
      <c r="P341" s="5" t="str">
        <f>IFERROR(_xlfn.LET(_xlpm.x,VLOOKUP($A341,'[1]Markings Threadings'!$B$3:$L$245,11,0),IF(_xlpm.x=0,"",_xlpm.x)),"")</f>
        <v>Tag Poultry Solutions Chick Grower</v>
      </c>
      <c r="Q341" s="1">
        <f>IFERROR(_xlfn.LET(_xlpm.x,VLOOKUP($A341,'[1]Markings Threadings'!$B$3:$L$245,4,0),IF(_xlpm.x=0,"",_xlpm.x)),"")</f>
        <v>4084</v>
      </c>
      <c r="R341" s="1" t="str">
        <f>IFERROR(_xlfn.LET(_xlpm.x,VLOOKUP($A341,'[1]Markings Threadings'!$B$3:$L$245,5,0),IF(_xlpm.x=0,"",_xlpm.x)),"")</f>
        <v/>
      </c>
      <c r="S341" s="1" t="str">
        <f>IFERROR(_xlfn.LET(_xlpm.x,VLOOKUP($A341,'[1]Markings Threadings'!$B$3:$L$245,6,0),IF(_xlpm.x=0,"",_xlpm.x)),"")</f>
        <v/>
      </c>
      <c r="T341" s="6" t="str">
        <f>IFERROR(_xlfn.LET(_xlpm.x,VLOOKUP($C341,[1]Summary!$A$2:$J$118,4,0),IF(_xlpm.x=0,"",_xlpm.x)),"")</f>
        <v/>
      </c>
      <c r="U341" s="6" t="str">
        <f>IFERROR(_xlfn.LET(_xlpm.x,VLOOKUP($C341,[1]Summary!$A$2:$J$118,5,0),IF(_xlpm.x=0,"",_xlpm.x)),"")</f>
        <v/>
      </c>
      <c r="V341" s="6" t="str">
        <f>IFERROR(_xlfn.LET(_xlpm.x,VLOOKUP($C341,[1]Summary!$A$2:$J$118,6,0),IF(_xlpm.x=0,"",_xlpm.x)),"")</f>
        <v/>
      </c>
      <c r="W341" s="6">
        <f>IFERROR(_xlfn.LET(_xlpm.x,VLOOKUP($C341,[1]Summary!$A$2:$J$118,7,0),IF(_xlpm.x=0,"",_xlpm.x)),"")</f>
        <v>7.3407066352941177</v>
      </c>
      <c r="X341" s="6" t="str">
        <f>IFERROR(_xlfn.LET(_xlpm.x,VLOOKUP($C341,[1]Summary!$A$2:$J$118,8,0),IF(_xlpm.x=0,"",_xlpm.x)),"")</f>
        <v/>
      </c>
      <c r="Y341" s="6" t="str">
        <f>IFERROR(_xlfn.LET(_xlpm.x,VLOOKUP($C341,[1]Summary!$A$2:$J$118,9,0),IF(_xlpm.x=0,"",_xlpm.x)),"")</f>
        <v/>
      </c>
      <c r="Z341" s="6" t="str">
        <f>IFERROR(_xlfn.LET(_xlpm.x,VLOOKUP($C341,[1]Summary!$A$2:$J$118,10,0),IF(_xlpm.x=0,"",_xlpm.x)),"")</f>
        <v/>
      </c>
    </row>
    <row r="342" spans="1:26" x14ac:dyDescent="0.25">
      <c r="A342" s="2">
        <v>1000000004085</v>
      </c>
      <c r="B342" s="5" t="s">
        <v>621</v>
      </c>
      <c r="C342" s="2">
        <v>3000000002144</v>
      </c>
      <c r="D342" s="5" t="s">
        <v>622</v>
      </c>
      <c r="E342" s="1">
        <v>4</v>
      </c>
      <c r="F342" s="1" t="s">
        <v>54</v>
      </c>
      <c r="G342" s="1">
        <v>4</v>
      </c>
      <c r="H342" s="1">
        <v>2</v>
      </c>
      <c r="I342" s="1">
        <v>2</v>
      </c>
      <c r="J342" s="1"/>
      <c r="K342" s="1">
        <v>50</v>
      </c>
      <c r="L342" s="1" t="str">
        <f>IFERROR(_xlfn.LET(_xlpm.x,VLOOKUP($A342,'[1]Markings Threadings'!$B$3:$L$245,3,0),IF(_xlpm.x=0,"",_xlpm.x)),"")</f>
        <v/>
      </c>
      <c r="M342" s="2" t="str">
        <f>IFERROR(_xlfn.LET(_xlpm.x,VLOOKUP($A342,'[1]Markings Threadings'!$B$3:$L$245,7,0),IF(_xlpm.x=0,"",_xlpm.x)),"")</f>
        <v/>
      </c>
      <c r="N342" s="5" t="str">
        <f>IFERROR(_xlfn.LET(_xlpm.x,VLOOKUP($A342,'[1]Markings Threadings'!$B$3:$L$245,8,0),IF(_xlpm.x=0,"",_xlpm.x)),"")</f>
        <v/>
      </c>
      <c r="O342" s="2" t="str">
        <f>IFERROR(_xlfn.LET(_xlpm.x,VLOOKUP($A342,'[1]Markings Threadings'!$B$3:$L$245,10,0),IF(_xlpm.x=0,"",_xlpm.x)),"")</f>
        <v/>
      </c>
      <c r="P342" s="5" t="str">
        <f>IFERROR(_xlfn.LET(_xlpm.x,VLOOKUP($A342,'[1]Markings Threadings'!$B$3:$L$245,11,0),IF(_xlpm.x=0,"",_xlpm.x)),"")</f>
        <v/>
      </c>
      <c r="Q342" s="1" t="str">
        <f>IFERROR(_xlfn.LET(_xlpm.x,VLOOKUP($A342,'[1]Markings Threadings'!$B$3:$L$245,4,0),IF(_xlpm.x=0,"",_xlpm.x)),"")</f>
        <v/>
      </c>
      <c r="R342" s="1" t="str">
        <f>IFERROR(_xlfn.LET(_xlpm.x,VLOOKUP($A342,'[1]Markings Threadings'!$B$3:$L$245,5,0),IF(_xlpm.x=0,"",_xlpm.x)),"")</f>
        <v/>
      </c>
      <c r="S342" s="1" t="str">
        <f>IFERROR(_xlfn.LET(_xlpm.x,VLOOKUP($A342,'[1]Markings Threadings'!$B$3:$L$245,6,0),IF(_xlpm.x=0,"",_xlpm.x)),"")</f>
        <v/>
      </c>
      <c r="T342" s="6" t="str">
        <f>IFERROR(_xlfn.LET(_xlpm.x,VLOOKUP($C342,[1]Summary!$A$2:$J$118,4,0),IF(_xlpm.x=0,"",_xlpm.x)),"")</f>
        <v/>
      </c>
      <c r="U342" s="6" t="str">
        <f>IFERROR(_xlfn.LET(_xlpm.x,VLOOKUP($C342,[1]Summary!$A$2:$J$118,5,0),IF(_xlpm.x=0,"",_xlpm.x)),"")</f>
        <v/>
      </c>
      <c r="V342" s="6" t="str">
        <f>IFERROR(_xlfn.LET(_xlpm.x,VLOOKUP($C342,[1]Summary!$A$2:$J$118,6,0),IF(_xlpm.x=0,"",_xlpm.x)),"")</f>
        <v/>
      </c>
      <c r="W342" s="6" t="str">
        <f>IFERROR(_xlfn.LET(_xlpm.x,VLOOKUP($C342,[1]Summary!$A$2:$J$118,7,0),IF(_xlpm.x=0,"",_xlpm.x)),"")</f>
        <v/>
      </c>
      <c r="X342" s="6" t="str">
        <f>IFERROR(_xlfn.LET(_xlpm.x,VLOOKUP($C342,[1]Summary!$A$2:$J$118,8,0),IF(_xlpm.x=0,"",_xlpm.x)),"")</f>
        <v/>
      </c>
      <c r="Y342" s="6" t="str">
        <f>IFERROR(_xlfn.LET(_xlpm.x,VLOOKUP($C342,[1]Summary!$A$2:$J$118,9,0),IF(_xlpm.x=0,"",_xlpm.x)),"")</f>
        <v/>
      </c>
      <c r="Z342" s="6" t="str">
        <f>IFERROR(_xlfn.LET(_xlpm.x,VLOOKUP($C342,[1]Summary!$A$2:$J$118,10,0),IF(_xlpm.x=0,"",_xlpm.x)),"")</f>
        <v/>
      </c>
    </row>
    <row r="343" spans="1:26" x14ac:dyDescent="0.25">
      <c r="A343" s="2">
        <v>1000000004086</v>
      </c>
      <c r="B343" s="5" t="s">
        <v>623</v>
      </c>
      <c r="C343" s="2">
        <v>3000000002145</v>
      </c>
      <c r="D343" s="5" t="s">
        <v>624</v>
      </c>
      <c r="E343" s="1">
        <v>4</v>
      </c>
      <c r="F343" s="1" t="s">
        <v>54</v>
      </c>
      <c r="G343" s="1">
        <v>4</v>
      </c>
      <c r="H343" s="1">
        <v>2</v>
      </c>
      <c r="I343" s="1">
        <v>2</v>
      </c>
      <c r="J343" s="1"/>
      <c r="K343" s="1">
        <v>50</v>
      </c>
      <c r="L343" s="1" t="str">
        <f>IFERROR(_xlfn.LET(_xlpm.x,VLOOKUP($A343,'[1]Markings Threadings'!$B$3:$L$245,3,0),IF(_xlpm.x=0,"",_xlpm.x)),"")</f>
        <v/>
      </c>
      <c r="M343" s="2" t="str">
        <f>IFERROR(_xlfn.LET(_xlpm.x,VLOOKUP($A343,'[1]Markings Threadings'!$B$3:$L$245,7,0),IF(_xlpm.x=0,"",_xlpm.x)),"")</f>
        <v/>
      </c>
      <c r="N343" s="5" t="str">
        <f>IFERROR(_xlfn.LET(_xlpm.x,VLOOKUP($A343,'[1]Markings Threadings'!$B$3:$L$245,8,0),IF(_xlpm.x=0,"",_xlpm.x)),"")</f>
        <v/>
      </c>
      <c r="O343" s="2" t="str">
        <f>IFERROR(_xlfn.LET(_xlpm.x,VLOOKUP($A343,'[1]Markings Threadings'!$B$3:$L$245,10,0),IF(_xlpm.x=0,"",_xlpm.x)),"")</f>
        <v/>
      </c>
      <c r="P343" s="5" t="str">
        <f>IFERROR(_xlfn.LET(_xlpm.x,VLOOKUP($A343,'[1]Markings Threadings'!$B$3:$L$245,11,0),IF(_xlpm.x=0,"",_xlpm.x)),"")</f>
        <v/>
      </c>
      <c r="Q343" s="1" t="str">
        <f>IFERROR(_xlfn.LET(_xlpm.x,VLOOKUP($A343,'[1]Markings Threadings'!$B$3:$L$245,4,0),IF(_xlpm.x=0,"",_xlpm.x)),"")</f>
        <v/>
      </c>
      <c r="R343" s="1" t="str">
        <f>IFERROR(_xlfn.LET(_xlpm.x,VLOOKUP($A343,'[1]Markings Threadings'!$B$3:$L$245,5,0),IF(_xlpm.x=0,"",_xlpm.x)),"")</f>
        <v/>
      </c>
      <c r="S343" s="1" t="str">
        <f>IFERROR(_xlfn.LET(_xlpm.x,VLOOKUP($A343,'[1]Markings Threadings'!$B$3:$L$245,6,0),IF(_xlpm.x=0,"",_xlpm.x)),"")</f>
        <v/>
      </c>
      <c r="T343" s="6" t="str">
        <f>IFERROR(_xlfn.LET(_xlpm.x,VLOOKUP($C343,[1]Summary!$A$2:$J$118,4,0),IF(_xlpm.x=0,"",_xlpm.x)),"")</f>
        <v/>
      </c>
      <c r="U343" s="6" t="str">
        <f>IFERROR(_xlfn.LET(_xlpm.x,VLOOKUP($C343,[1]Summary!$A$2:$J$118,5,0),IF(_xlpm.x=0,"",_xlpm.x)),"")</f>
        <v/>
      </c>
      <c r="V343" s="6" t="str">
        <f>IFERROR(_xlfn.LET(_xlpm.x,VLOOKUP($C343,[1]Summary!$A$2:$J$118,6,0),IF(_xlpm.x=0,"",_xlpm.x)),"")</f>
        <v/>
      </c>
      <c r="W343" s="6" t="str">
        <f>IFERROR(_xlfn.LET(_xlpm.x,VLOOKUP($C343,[1]Summary!$A$2:$J$118,7,0),IF(_xlpm.x=0,"",_xlpm.x)),"")</f>
        <v/>
      </c>
      <c r="X343" s="6" t="str">
        <f>IFERROR(_xlfn.LET(_xlpm.x,VLOOKUP($C343,[1]Summary!$A$2:$J$118,8,0),IF(_xlpm.x=0,"",_xlpm.x)),"")</f>
        <v/>
      </c>
      <c r="Y343" s="6" t="str">
        <f>IFERROR(_xlfn.LET(_xlpm.x,VLOOKUP($C343,[1]Summary!$A$2:$J$118,9,0),IF(_xlpm.x=0,"",_xlpm.x)),"")</f>
        <v/>
      </c>
      <c r="Z343" s="6" t="str">
        <f>IFERROR(_xlfn.LET(_xlpm.x,VLOOKUP($C343,[1]Summary!$A$2:$J$118,10,0),IF(_xlpm.x=0,"",_xlpm.x)),"")</f>
        <v/>
      </c>
    </row>
    <row r="344" spans="1:26" x14ac:dyDescent="0.25">
      <c r="A344" s="2">
        <v>1000000004087</v>
      </c>
      <c r="B344" s="5" t="s">
        <v>625</v>
      </c>
      <c r="C344" s="2">
        <v>3000000002146</v>
      </c>
      <c r="D344" s="5" t="s">
        <v>626</v>
      </c>
      <c r="E344" s="1">
        <v>4</v>
      </c>
      <c r="F344" s="1" t="s">
        <v>54</v>
      </c>
      <c r="G344" s="1">
        <v>4</v>
      </c>
      <c r="H344" s="1">
        <v>2</v>
      </c>
      <c r="I344" s="1">
        <v>2</v>
      </c>
      <c r="J344" s="1"/>
      <c r="K344" s="1">
        <v>50</v>
      </c>
      <c r="L344" s="1" t="str">
        <f>IFERROR(_xlfn.LET(_xlpm.x,VLOOKUP($A344,'[1]Markings Threadings'!$B$3:$L$245,3,0),IF(_xlpm.x=0,"",_xlpm.x)),"")</f>
        <v/>
      </c>
      <c r="M344" s="2" t="str">
        <f>IFERROR(_xlfn.LET(_xlpm.x,VLOOKUP($A344,'[1]Markings Threadings'!$B$3:$L$245,7,0),IF(_xlpm.x=0,"",_xlpm.x)),"")</f>
        <v/>
      </c>
      <c r="N344" s="5" t="str">
        <f>IFERROR(_xlfn.LET(_xlpm.x,VLOOKUP($A344,'[1]Markings Threadings'!$B$3:$L$245,8,0),IF(_xlpm.x=0,"",_xlpm.x)),"")</f>
        <v/>
      </c>
      <c r="O344" s="2" t="str">
        <f>IFERROR(_xlfn.LET(_xlpm.x,VLOOKUP($A344,'[1]Markings Threadings'!$B$3:$L$245,10,0),IF(_xlpm.x=0,"",_xlpm.x)),"")</f>
        <v/>
      </c>
      <c r="P344" s="5" t="str">
        <f>IFERROR(_xlfn.LET(_xlpm.x,VLOOKUP($A344,'[1]Markings Threadings'!$B$3:$L$245,11,0),IF(_xlpm.x=0,"",_xlpm.x)),"")</f>
        <v/>
      </c>
      <c r="Q344" s="1" t="str">
        <f>IFERROR(_xlfn.LET(_xlpm.x,VLOOKUP($A344,'[1]Markings Threadings'!$B$3:$L$245,4,0),IF(_xlpm.x=0,"",_xlpm.x)),"")</f>
        <v/>
      </c>
      <c r="R344" s="1" t="str">
        <f>IFERROR(_xlfn.LET(_xlpm.x,VLOOKUP($A344,'[1]Markings Threadings'!$B$3:$L$245,5,0),IF(_xlpm.x=0,"",_xlpm.x)),"")</f>
        <v/>
      </c>
      <c r="S344" s="1" t="str">
        <f>IFERROR(_xlfn.LET(_xlpm.x,VLOOKUP($A344,'[1]Markings Threadings'!$B$3:$L$245,6,0),IF(_xlpm.x=0,"",_xlpm.x)),"")</f>
        <v/>
      </c>
      <c r="T344" s="6" t="str">
        <f>IFERROR(_xlfn.LET(_xlpm.x,VLOOKUP($C344,[1]Summary!$A$2:$J$118,4,0),IF(_xlpm.x=0,"",_xlpm.x)),"")</f>
        <v/>
      </c>
      <c r="U344" s="6" t="str">
        <f>IFERROR(_xlfn.LET(_xlpm.x,VLOOKUP($C344,[1]Summary!$A$2:$J$118,5,0),IF(_xlpm.x=0,"",_xlpm.x)),"")</f>
        <v/>
      </c>
      <c r="V344" s="6" t="str">
        <f>IFERROR(_xlfn.LET(_xlpm.x,VLOOKUP($C344,[1]Summary!$A$2:$J$118,6,0),IF(_xlpm.x=0,"",_xlpm.x)),"")</f>
        <v/>
      </c>
      <c r="W344" s="6" t="str">
        <f>IFERROR(_xlfn.LET(_xlpm.x,VLOOKUP($C344,[1]Summary!$A$2:$J$118,7,0),IF(_xlpm.x=0,"",_xlpm.x)),"")</f>
        <v/>
      </c>
      <c r="X344" s="6" t="str">
        <f>IFERROR(_xlfn.LET(_xlpm.x,VLOOKUP($C344,[1]Summary!$A$2:$J$118,8,0),IF(_xlpm.x=0,"",_xlpm.x)),"")</f>
        <v/>
      </c>
      <c r="Y344" s="6" t="str">
        <f>IFERROR(_xlfn.LET(_xlpm.x,VLOOKUP($C344,[1]Summary!$A$2:$J$118,9,0),IF(_xlpm.x=0,"",_xlpm.x)),"")</f>
        <v/>
      </c>
      <c r="Z344" s="6" t="str">
        <f>IFERROR(_xlfn.LET(_xlpm.x,VLOOKUP($C344,[1]Summary!$A$2:$J$118,10,0),IF(_xlpm.x=0,"",_xlpm.x)),"")</f>
        <v/>
      </c>
    </row>
    <row r="345" spans="1:26" x14ac:dyDescent="0.25">
      <c r="A345" s="2">
        <v>1000000004101</v>
      </c>
      <c r="B345" s="5" t="s">
        <v>627</v>
      </c>
      <c r="C345" s="2">
        <v>3000000002141</v>
      </c>
      <c r="D345" s="5" t="s">
        <v>616</v>
      </c>
      <c r="E345" s="1">
        <v>4</v>
      </c>
      <c r="F345" s="1" t="s">
        <v>47</v>
      </c>
      <c r="G345" s="1">
        <v>4</v>
      </c>
      <c r="H345" s="1">
        <v>2</v>
      </c>
      <c r="I345" s="1">
        <v>2</v>
      </c>
      <c r="J345" s="1"/>
      <c r="K345" s="1">
        <v>1</v>
      </c>
      <c r="L345" s="1" t="str">
        <f>IFERROR(_xlfn.LET(_xlpm.x,VLOOKUP($A345,'[1]Markings Threadings'!$B$3:$L$245,3,0),IF(_xlpm.x=0,"",_xlpm.x)),"")</f>
        <v/>
      </c>
      <c r="M345" s="2" t="str">
        <f>IFERROR(_xlfn.LET(_xlpm.x,VLOOKUP($A345,'[1]Markings Threadings'!$B$3:$L$245,7,0),IF(_xlpm.x=0,"",_xlpm.x)),"")</f>
        <v/>
      </c>
      <c r="N345" s="5" t="str">
        <f>IFERROR(_xlfn.LET(_xlpm.x,VLOOKUP($A345,'[1]Markings Threadings'!$B$3:$L$245,8,0),IF(_xlpm.x=0,"",_xlpm.x)),"")</f>
        <v/>
      </c>
      <c r="O345" s="2" t="str">
        <f>IFERROR(_xlfn.LET(_xlpm.x,VLOOKUP($A345,'[1]Markings Threadings'!$B$3:$L$245,10,0),IF(_xlpm.x=0,"",_xlpm.x)),"")</f>
        <v/>
      </c>
      <c r="P345" s="5" t="str">
        <f>IFERROR(_xlfn.LET(_xlpm.x,VLOOKUP($A345,'[1]Markings Threadings'!$B$3:$L$245,11,0),IF(_xlpm.x=0,"",_xlpm.x)),"")</f>
        <v/>
      </c>
      <c r="Q345" s="1" t="str">
        <f>IFERROR(_xlfn.LET(_xlpm.x,VLOOKUP($A345,'[1]Markings Threadings'!$B$3:$L$245,4,0),IF(_xlpm.x=0,"",_xlpm.x)),"")</f>
        <v/>
      </c>
      <c r="R345" s="1" t="str">
        <f>IFERROR(_xlfn.LET(_xlpm.x,VLOOKUP($A345,'[1]Markings Threadings'!$B$3:$L$245,5,0),IF(_xlpm.x=0,"",_xlpm.x)),"")</f>
        <v/>
      </c>
      <c r="S345" s="1" t="str">
        <f>IFERROR(_xlfn.LET(_xlpm.x,VLOOKUP($A345,'[1]Markings Threadings'!$B$3:$L$245,6,0),IF(_xlpm.x=0,"",_xlpm.x)),"")</f>
        <v/>
      </c>
      <c r="T345" s="6" t="str">
        <f>IFERROR(_xlfn.LET(_xlpm.x,VLOOKUP($C345,[1]Summary!$A$2:$J$118,4,0),IF(_xlpm.x=0,"",_xlpm.x)),"")</f>
        <v/>
      </c>
      <c r="U345" s="6" t="str">
        <f>IFERROR(_xlfn.LET(_xlpm.x,VLOOKUP($C345,[1]Summary!$A$2:$J$118,5,0),IF(_xlpm.x=0,"",_xlpm.x)),"")</f>
        <v/>
      </c>
      <c r="V345" s="6" t="str">
        <f>IFERROR(_xlfn.LET(_xlpm.x,VLOOKUP($C345,[1]Summary!$A$2:$J$118,6,0),IF(_xlpm.x=0,"",_xlpm.x)),"")</f>
        <v/>
      </c>
      <c r="W345" s="6">
        <f>IFERROR(_xlfn.LET(_xlpm.x,VLOOKUP($C345,[1]Summary!$A$2:$J$118,7,0),IF(_xlpm.x=0,"",_xlpm.x)),"")</f>
        <v>7.9994879999999995</v>
      </c>
      <c r="X345" s="6" t="str">
        <f>IFERROR(_xlfn.LET(_xlpm.x,VLOOKUP($C345,[1]Summary!$A$2:$J$118,8,0),IF(_xlpm.x=0,"",_xlpm.x)),"")</f>
        <v/>
      </c>
      <c r="Y345" s="6">
        <f>IFERROR(_xlfn.LET(_xlpm.x,VLOOKUP($C345,[1]Summary!$A$2:$J$118,9,0),IF(_xlpm.x=0,"",_xlpm.x)),"")</f>
        <v>6.4757760000000006</v>
      </c>
      <c r="Z345" s="6" t="str">
        <f>IFERROR(_xlfn.LET(_xlpm.x,VLOOKUP($C345,[1]Summary!$A$2:$J$118,10,0),IF(_xlpm.x=0,"",_xlpm.x)),"")</f>
        <v/>
      </c>
    </row>
    <row r="346" spans="1:26" x14ac:dyDescent="0.25">
      <c r="A346" s="2">
        <v>1000000004103</v>
      </c>
      <c r="B346" s="5" t="s">
        <v>628</v>
      </c>
      <c r="C346" s="2">
        <v>3000000002142</v>
      </c>
      <c r="D346" s="5" t="s">
        <v>618</v>
      </c>
      <c r="E346" s="1">
        <v>4</v>
      </c>
      <c r="F346" s="1" t="s">
        <v>47</v>
      </c>
      <c r="G346" s="1">
        <v>4</v>
      </c>
      <c r="H346" s="1">
        <v>2</v>
      </c>
      <c r="I346" s="1">
        <v>2</v>
      </c>
      <c r="J346" s="1"/>
      <c r="K346" s="1">
        <v>1</v>
      </c>
      <c r="L346" s="1" t="str">
        <f>IFERROR(_xlfn.LET(_xlpm.x,VLOOKUP($A346,'[1]Markings Threadings'!$B$3:$L$245,3,0),IF(_xlpm.x=0,"",_xlpm.x)),"")</f>
        <v/>
      </c>
      <c r="M346" s="2" t="str">
        <f>IFERROR(_xlfn.LET(_xlpm.x,VLOOKUP($A346,'[1]Markings Threadings'!$B$3:$L$245,7,0),IF(_xlpm.x=0,"",_xlpm.x)),"")</f>
        <v/>
      </c>
      <c r="N346" s="5" t="str">
        <f>IFERROR(_xlfn.LET(_xlpm.x,VLOOKUP($A346,'[1]Markings Threadings'!$B$3:$L$245,8,0),IF(_xlpm.x=0,"",_xlpm.x)),"")</f>
        <v/>
      </c>
      <c r="O346" s="2" t="str">
        <f>IFERROR(_xlfn.LET(_xlpm.x,VLOOKUP($A346,'[1]Markings Threadings'!$B$3:$L$245,10,0),IF(_xlpm.x=0,"",_xlpm.x)),"")</f>
        <v/>
      </c>
      <c r="P346" s="5" t="str">
        <f>IFERROR(_xlfn.LET(_xlpm.x,VLOOKUP($A346,'[1]Markings Threadings'!$B$3:$L$245,11,0),IF(_xlpm.x=0,"",_xlpm.x)),"")</f>
        <v/>
      </c>
      <c r="Q346" s="1" t="str">
        <f>IFERROR(_xlfn.LET(_xlpm.x,VLOOKUP($A346,'[1]Markings Threadings'!$B$3:$L$245,4,0),IF(_xlpm.x=0,"",_xlpm.x)),"")</f>
        <v/>
      </c>
      <c r="R346" s="1" t="str">
        <f>IFERROR(_xlfn.LET(_xlpm.x,VLOOKUP($A346,'[1]Markings Threadings'!$B$3:$L$245,5,0),IF(_xlpm.x=0,"",_xlpm.x)),"")</f>
        <v/>
      </c>
      <c r="S346" s="1" t="str">
        <f>IFERROR(_xlfn.LET(_xlpm.x,VLOOKUP($A346,'[1]Markings Threadings'!$B$3:$L$245,6,0),IF(_xlpm.x=0,"",_xlpm.x)),"")</f>
        <v/>
      </c>
      <c r="T346" s="6" t="str">
        <f>IFERROR(_xlfn.LET(_xlpm.x,VLOOKUP($C346,[1]Summary!$A$2:$J$118,4,0),IF(_xlpm.x=0,"",_xlpm.x)),"")</f>
        <v/>
      </c>
      <c r="U346" s="6" t="str">
        <f>IFERROR(_xlfn.LET(_xlpm.x,VLOOKUP($C346,[1]Summary!$A$2:$J$118,5,0),IF(_xlpm.x=0,"",_xlpm.x)),"")</f>
        <v/>
      </c>
      <c r="V346" s="6" t="str">
        <f>IFERROR(_xlfn.LET(_xlpm.x,VLOOKUP($C346,[1]Summary!$A$2:$J$118,6,0),IF(_xlpm.x=0,"",_xlpm.x)),"")</f>
        <v/>
      </c>
      <c r="W346" s="6" t="str">
        <f>IFERROR(_xlfn.LET(_xlpm.x,VLOOKUP($C346,[1]Summary!$A$2:$J$118,7,0),IF(_xlpm.x=0,"",_xlpm.x)),"")</f>
        <v/>
      </c>
      <c r="X346" s="6" t="str">
        <f>IFERROR(_xlfn.LET(_xlpm.x,VLOOKUP($C346,[1]Summary!$A$2:$J$118,8,0),IF(_xlpm.x=0,"",_xlpm.x)),"")</f>
        <v/>
      </c>
      <c r="Y346" s="6" t="str">
        <f>IFERROR(_xlfn.LET(_xlpm.x,VLOOKUP($C346,[1]Summary!$A$2:$J$118,9,0),IF(_xlpm.x=0,"",_xlpm.x)),"")</f>
        <v/>
      </c>
      <c r="Z346" s="6" t="str">
        <f>IFERROR(_xlfn.LET(_xlpm.x,VLOOKUP($C346,[1]Summary!$A$2:$J$118,10,0),IF(_xlpm.x=0,"",_xlpm.x)),"")</f>
        <v/>
      </c>
    </row>
    <row r="347" spans="1:26" x14ac:dyDescent="0.25">
      <c r="A347" s="2">
        <v>1000000004104</v>
      </c>
      <c r="B347" s="5" t="s">
        <v>629</v>
      </c>
      <c r="C347" s="2">
        <v>3000000002143</v>
      </c>
      <c r="D347" s="5" t="s">
        <v>620</v>
      </c>
      <c r="E347" s="1">
        <v>4</v>
      </c>
      <c r="F347" s="1" t="s">
        <v>67</v>
      </c>
      <c r="G347" s="1">
        <v>4</v>
      </c>
      <c r="H347" s="1">
        <v>2</v>
      </c>
      <c r="I347" s="1">
        <v>2</v>
      </c>
      <c r="J347" s="1"/>
      <c r="K347" s="1">
        <v>1</v>
      </c>
      <c r="L347" s="1" t="str">
        <f>IFERROR(_xlfn.LET(_xlpm.x,VLOOKUP($A347,'[1]Markings Threadings'!$B$3:$L$245,3,0),IF(_xlpm.x=0,"",_xlpm.x)),"")</f>
        <v/>
      </c>
      <c r="M347" s="2" t="str">
        <f>IFERROR(_xlfn.LET(_xlpm.x,VLOOKUP($A347,'[1]Markings Threadings'!$B$3:$L$245,7,0),IF(_xlpm.x=0,"",_xlpm.x)),"")</f>
        <v/>
      </c>
      <c r="N347" s="5" t="str">
        <f>IFERROR(_xlfn.LET(_xlpm.x,VLOOKUP($A347,'[1]Markings Threadings'!$B$3:$L$245,8,0),IF(_xlpm.x=0,"",_xlpm.x)),"")</f>
        <v/>
      </c>
      <c r="O347" s="2" t="str">
        <f>IFERROR(_xlfn.LET(_xlpm.x,VLOOKUP($A347,'[1]Markings Threadings'!$B$3:$L$245,10,0),IF(_xlpm.x=0,"",_xlpm.x)),"")</f>
        <v/>
      </c>
      <c r="P347" s="5" t="str">
        <f>IFERROR(_xlfn.LET(_xlpm.x,VLOOKUP($A347,'[1]Markings Threadings'!$B$3:$L$245,11,0),IF(_xlpm.x=0,"",_xlpm.x)),"")</f>
        <v/>
      </c>
      <c r="Q347" s="1" t="str">
        <f>IFERROR(_xlfn.LET(_xlpm.x,VLOOKUP($A347,'[1]Markings Threadings'!$B$3:$L$245,4,0),IF(_xlpm.x=0,"",_xlpm.x)),"")</f>
        <v/>
      </c>
      <c r="R347" s="1" t="str">
        <f>IFERROR(_xlfn.LET(_xlpm.x,VLOOKUP($A347,'[1]Markings Threadings'!$B$3:$L$245,5,0),IF(_xlpm.x=0,"",_xlpm.x)),"")</f>
        <v/>
      </c>
      <c r="S347" s="1" t="str">
        <f>IFERROR(_xlfn.LET(_xlpm.x,VLOOKUP($A347,'[1]Markings Threadings'!$B$3:$L$245,6,0),IF(_xlpm.x=0,"",_xlpm.x)),"")</f>
        <v/>
      </c>
      <c r="T347" s="6" t="str">
        <f>IFERROR(_xlfn.LET(_xlpm.x,VLOOKUP($C347,[1]Summary!$A$2:$J$118,4,0),IF(_xlpm.x=0,"",_xlpm.x)),"")</f>
        <v/>
      </c>
      <c r="U347" s="6" t="str">
        <f>IFERROR(_xlfn.LET(_xlpm.x,VLOOKUP($C347,[1]Summary!$A$2:$J$118,5,0),IF(_xlpm.x=0,"",_xlpm.x)),"")</f>
        <v/>
      </c>
      <c r="V347" s="6" t="str">
        <f>IFERROR(_xlfn.LET(_xlpm.x,VLOOKUP($C347,[1]Summary!$A$2:$J$118,6,0),IF(_xlpm.x=0,"",_xlpm.x)),"")</f>
        <v/>
      </c>
      <c r="W347" s="6">
        <f>IFERROR(_xlfn.LET(_xlpm.x,VLOOKUP($C347,[1]Summary!$A$2:$J$118,7,0),IF(_xlpm.x=0,"",_xlpm.x)),"")</f>
        <v>7.3407066352941177</v>
      </c>
      <c r="X347" s="6" t="str">
        <f>IFERROR(_xlfn.LET(_xlpm.x,VLOOKUP($C347,[1]Summary!$A$2:$J$118,8,0),IF(_xlpm.x=0,"",_xlpm.x)),"")</f>
        <v/>
      </c>
      <c r="Y347" s="6" t="str">
        <f>IFERROR(_xlfn.LET(_xlpm.x,VLOOKUP($C347,[1]Summary!$A$2:$J$118,9,0),IF(_xlpm.x=0,"",_xlpm.x)),"")</f>
        <v/>
      </c>
      <c r="Z347" s="6" t="str">
        <f>IFERROR(_xlfn.LET(_xlpm.x,VLOOKUP($C347,[1]Summary!$A$2:$J$118,10,0),IF(_xlpm.x=0,"",_xlpm.x)),"")</f>
        <v/>
      </c>
    </row>
    <row r="348" spans="1:26" x14ac:dyDescent="0.25">
      <c r="A348" s="2">
        <v>1000000004105</v>
      </c>
      <c r="B348" s="5" t="s">
        <v>630</v>
      </c>
      <c r="C348" s="2">
        <v>3000000002144</v>
      </c>
      <c r="D348" s="5" t="s">
        <v>622</v>
      </c>
      <c r="E348" s="1">
        <v>4</v>
      </c>
      <c r="F348" s="1" t="s">
        <v>54</v>
      </c>
      <c r="G348" s="1">
        <v>4</v>
      </c>
      <c r="H348" s="1">
        <v>2</v>
      </c>
      <c r="I348" s="1">
        <v>2</v>
      </c>
      <c r="J348" s="1"/>
      <c r="K348" s="1">
        <v>1</v>
      </c>
      <c r="L348" s="1" t="str">
        <f>IFERROR(_xlfn.LET(_xlpm.x,VLOOKUP($A348,'[1]Markings Threadings'!$B$3:$L$245,3,0),IF(_xlpm.x=0,"",_xlpm.x)),"")</f>
        <v/>
      </c>
      <c r="M348" s="2" t="str">
        <f>IFERROR(_xlfn.LET(_xlpm.x,VLOOKUP($A348,'[1]Markings Threadings'!$B$3:$L$245,7,0),IF(_xlpm.x=0,"",_xlpm.x)),"")</f>
        <v/>
      </c>
      <c r="N348" s="5" t="str">
        <f>IFERROR(_xlfn.LET(_xlpm.x,VLOOKUP($A348,'[1]Markings Threadings'!$B$3:$L$245,8,0),IF(_xlpm.x=0,"",_xlpm.x)),"")</f>
        <v/>
      </c>
      <c r="O348" s="2" t="str">
        <f>IFERROR(_xlfn.LET(_xlpm.x,VLOOKUP($A348,'[1]Markings Threadings'!$B$3:$L$245,10,0),IF(_xlpm.x=0,"",_xlpm.x)),"")</f>
        <v/>
      </c>
      <c r="P348" s="5" t="str">
        <f>IFERROR(_xlfn.LET(_xlpm.x,VLOOKUP($A348,'[1]Markings Threadings'!$B$3:$L$245,11,0),IF(_xlpm.x=0,"",_xlpm.x)),"")</f>
        <v/>
      </c>
      <c r="Q348" s="1" t="str">
        <f>IFERROR(_xlfn.LET(_xlpm.x,VLOOKUP($A348,'[1]Markings Threadings'!$B$3:$L$245,4,0),IF(_xlpm.x=0,"",_xlpm.x)),"")</f>
        <v/>
      </c>
      <c r="R348" s="1" t="str">
        <f>IFERROR(_xlfn.LET(_xlpm.x,VLOOKUP($A348,'[1]Markings Threadings'!$B$3:$L$245,5,0),IF(_xlpm.x=0,"",_xlpm.x)),"")</f>
        <v/>
      </c>
      <c r="S348" s="1" t="str">
        <f>IFERROR(_xlfn.LET(_xlpm.x,VLOOKUP($A348,'[1]Markings Threadings'!$B$3:$L$245,6,0),IF(_xlpm.x=0,"",_xlpm.x)),"")</f>
        <v/>
      </c>
      <c r="T348" s="6" t="str">
        <f>IFERROR(_xlfn.LET(_xlpm.x,VLOOKUP($C348,[1]Summary!$A$2:$J$118,4,0),IF(_xlpm.x=0,"",_xlpm.x)),"")</f>
        <v/>
      </c>
      <c r="U348" s="6" t="str">
        <f>IFERROR(_xlfn.LET(_xlpm.x,VLOOKUP($C348,[1]Summary!$A$2:$J$118,5,0),IF(_xlpm.x=0,"",_xlpm.x)),"")</f>
        <v/>
      </c>
      <c r="V348" s="6" t="str">
        <f>IFERROR(_xlfn.LET(_xlpm.x,VLOOKUP($C348,[1]Summary!$A$2:$J$118,6,0),IF(_xlpm.x=0,"",_xlpm.x)),"")</f>
        <v/>
      </c>
      <c r="W348" s="6" t="str">
        <f>IFERROR(_xlfn.LET(_xlpm.x,VLOOKUP($C348,[1]Summary!$A$2:$J$118,7,0),IF(_xlpm.x=0,"",_xlpm.x)),"")</f>
        <v/>
      </c>
      <c r="X348" s="6" t="str">
        <f>IFERROR(_xlfn.LET(_xlpm.x,VLOOKUP($C348,[1]Summary!$A$2:$J$118,8,0),IF(_xlpm.x=0,"",_xlpm.x)),"")</f>
        <v/>
      </c>
      <c r="Y348" s="6" t="str">
        <f>IFERROR(_xlfn.LET(_xlpm.x,VLOOKUP($C348,[1]Summary!$A$2:$J$118,9,0),IF(_xlpm.x=0,"",_xlpm.x)),"")</f>
        <v/>
      </c>
      <c r="Z348" s="6" t="str">
        <f>IFERROR(_xlfn.LET(_xlpm.x,VLOOKUP($C348,[1]Summary!$A$2:$J$118,10,0),IF(_xlpm.x=0,"",_xlpm.x)),"")</f>
        <v/>
      </c>
    </row>
    <row r="349" spans="1:26" x14ac:dyDescent="0.25">
      <c r="A349" s="2">
        <v>1000000004106</v>
      </c>
      <c r="B349" s="5" t="s">
        <v>631</v>
      </c>
      <c r="C349" s="2">
        <v>3000000002145</v>
      </c>
      <c r="D349" s="5" t="s">
        <v>624</v>
      </c>
      <c r="E349" s="1">
        <v>4</v>
      </c>
      <c r="F349" s="1" t="s">
        <v>54</v>
      </c>
      <c r="G349" s="1">
        <v>4</v>
      </c>
      <c r="H349" s="1">
        <v>2</v>
      </c>
      <c r="I349" s="1">
        <v>2</v>
      </c>
      <c r="J349" s="1"/>
      <c r="K349" s="1">
        <v>1</v>
      </c>
      <c r="L349" s="1" t="str">
        <f>IFERROR(_xlfn.LET(_xlpm.x,VLOOKUP($A349,'[1]Markings Threadings'!$B$3:$L$245,3,0),IF(_xlpm.x=0,"",_xlpm.x)),"")</f>
        <v/>
      </c>
      <c r="M349" s="2" t="str">
        <f>IFERROR(_xlfn.LET(_xlpm.x,VLOOKUP($A349,'[1]Markings Threadings'!$B$3:$L$245,7,0),IF(_xlpm.x=0,"",_xlpm.x)),"")</f>
        <v/>
      </c>
      <c r="N349" s="5" t="str">
        <f>IFERROR(_xlfn.LET(_xlpm.x,VLOOKUP($A349,'[1]Markings Threadings'!$B$3:$L$245,8,0),IF(_xlpm.x=0,"",_xlpm.x)),"")</f>
        <v/>
      </c>
      <c r="O349" s="2" t="str">
        <f>IFERROR(_xlfn.LET(_xlpm.x,VLOOKUP($A349,'[1]Markings Threadings'!$B$3:$L$245,10,0),IF(_xlpm.x=0,"",_xlpm.x)),"")</f>
        <v/>
      </c>
      <c r="P349" s="5" t="str">
        <f>IFERROR(_xlfn.LET(_xlpm.x,VLOOKUP($A349,'[1]Markings Threadings'!$B$3:$L$245,11,0),IF(_xlpm.x=0,"",_xlpm.x)),"")</f>
        <v/>
      </c>
      <c r="Q349" s="1" t="str">
        <f>IFERROR(_xlfn.LET(_xlpm.x,VLOOKUP($A349,'[1]Markings Threadings'!$B$3:$L$245,4,0),IF(_xlpm.x=0,"",_xlpm.x)),"")</f>
        <v/>
      </c>
      <c r="R349" s="1" t="str">
        <f>IFERROR(_xlfn.LET(_xlpm.x,VLOOKUP($A349,'[1]Markings Threadings'!$B$3:$L$245,5,0),IF(_xlpm.x=0,"",_xlpm.x)),"")</f>
        <v/>
      </c>
      <c r="S349" s="1" t="str">
        <f>IFERROR(_xlfn.LET(_xlpm.x,VLOOKUP($A349,'[1]Markings Threadings'!$B$3:$L$245,6,0),IF(_xlpm.x=0,"",_xlpm.x)),"")</f>
        <v/>
      </c>
      <c r="T349" s="6" t="str">
        <f>IFERROR(_xlfn.LET(_xlpm.x,VLOOKUP($C349,[1]Summary!$A$2:$J$118,4,0),IF(_xlpm.x=0,"",_xlpm.x)),"")</f>
        <v/>
      </c>
      <c r="U349" s="6" t="str">
        <f>IFERROR(_xlfn.LET(_xlpm.x,VLOOKUP($C349,[1]Summary!$A$2:$J$118,5,0),IF(_xlpm.x=0,"",_xlpm.x)),"")</f>
        <v/>
      </c>
      <c r="V349" s="6" t="str">
        <f>IFERROR(_xlfn.LET(_xlpm.x,VLOOKUP($C349,[1]Summary!$A$2:$J$118,6,0),IF(_xlpm.x=0,"",_xlpm.x)),"")</f>
        <v/>
      </c>
      <c r="W349" s="6" t="str">
        <f>IFERROR(_xlfn.LET(_xlpm.x,VLOOKUP($C349,[1]Summary!$A$2:$J$118,7,0),IF(_xlpm.x=0,"",_xlpm.x)),"")</f>
        <v/>
      </c>
      <c r="X349" s="6" t="str">
        <f>IFERROR(_xlfn.LET(_xlpm.x,VLOOKUP($C349,[1]Summary!$A$2:$J$118,8,0),IF(_xlpm.x=0,"",_xlpm.x)),"")</f>
        <v/>
      </c>
      <c r="Y349" s="6" t="str">
        <f>IFERROR(_xlfn.LET(_xlpm.x,VLOOKUP($C349,[1]Summary!$A$2:$J$118,9,0),IF(_xlpm.x=0,"",_xlpm.x)),"")</f>
        <v/>
      </c>
      <c r="Z349" s="6" t="str">
        <f>IFERROR(_xlfn.LET(_xlpm.x,VLOOKUP($C349,[1]Summary!$A$2:$J$118,10,0),IF(_xlpm.x=0,"",_xlpm.x)),"")</f>
        <v/>
      </c>
    </row>
    <row r="350" spans="1:26" x14ac:dyDescent="0.25">
      <c r="A350" s="2">
        <v>1000000004107</v>
      </c>
      <c r="B350" s="5" t="s">
        <v>632</v>
      </c>
      <c r="C350" s="2">
        <v>3000000002146</v>
      </c>
      <c r="D350" s="5" t="s">
        <v>626</v>
      </c>
      <c r="E350" s="1">
        <v>4</v>
      </c>
      <c r="F350" s="1" t="s">
        <v>54</v>
      </c>
      <c r="G350" s="1">
        <v>4</v>
      </c>
      <c r="H350" s="1">
        <v>2</v>
      </c>
      <c r="I350" s="1">
        <v>2</v>
      </c>
      <c r="J350" s="1"/>
      <c r="K350" s="1">
        <v>1</v>
      </c>
      <c r="L350" s="1" t="str">
        <f>IFERROR(_xlfn.LET(_xlpm.x,VLOOKUP($A350,'[1]Markings Threadings'!$B$3:$L$245,3,0),IF(_xlpm.x=0,"",_xlpm.x)),"")</f>
        <v/>
      </c>
      <c r="M350" s="2" t="str">
        <f>IFERROR(_xlfn.LET(_xlpm.x,VLOOKUP($A350,'[1]Markings Threadings'!$B$3:$L$245,7,0),IF(_xlpm.x=0,"",_xlpm.x)),"")</f>
        <v/>
      </c>
      <c r="N350" s="5" t="str">
        <f>IFERROR(_xlfn.LET(_xlpm.x,VLOOKUP($A350,'[1]Markings Threadings'!$B$3:$L$245,8,0),IF(_xlpm.x=0,"",_xlpm.x)),"")</f>
        <v/>
      </c>
      <c r="O350" s="2" t="str">
        <f>IFERROR(_xlfn.LET(_xlpm.x,VLOOKUP($A350,'[1]Markings Threadings'!$B$3:$L$245,10,0),IF(_xlpm.x=0,"",_xlpm.x)),"")</f>
        <v/>
      </c>
      <c r="P350" s="5" t="str">
        <f>IFERROR(_xlfn.LET(_xlpm.x,VLOOKUP($A350,'[1]Markings Threadings'!$B$3:$L$245,11,0),IF(_xlpm.x=0,"",_xlpm.x)),"")</f>
        <v/>
      </c>
      <c r="Q350" s="1" t="str">
        <f>IFERROR(_xlfn.LET(_xlpm.x,VLOOKUP($A350,'[1]Markings Threadings'!$B$3:$L$245,4,0),IF(_xlpm.x=0,"",_xlpm.x)),"")</f>
        <v/>
      </c>
      <c r="R350" s="1" t="str">
        <f>IFERROR(_xlfn.LET(_xlpm.x,VLOOKUP($A350,'[1]Markings Threadings'!$B$3:$L$245,5,0),IF(_xlpm.x=0,"",_xlpm.x)),"")</f>
        <v/>
      </c>
      <c r="S350" s="1" t="str">
        <f>IFERROR(_xlfn.LET(_xlpm.x,VLOOKUP($A350,'[1]Markings Threadings'!$B$3:$L$245,6,0),IF(_xlpm.x=0,"",_xlpm.x)),"")</f>
        <v/>
      </c>
      <c r="T350" s="6" t="str">
        <f>IFERROR(_xlfn.LET(_xlpm.x,VLOOKUP($C350,[1]Summary!$A$2:$J$118,4,0),IF(_xlpm.x=0,"",_xlpm.x)),"")</f>
        <v/>
      </c>
      <c r="U350" s="6" t="str">
        <f>IFERROR(_xlfn.LET(_xlpm.x,VLOOKUP($C350,[1]Summary!$A$2:$J$118,5,0),IF(_xlpm.x=0,"",_xlpm.x)),"")</f>
        <v/>
      </c>
      <c r="V350" s="6" t="str">
        <f>IFERROR(_xlfn.LET(_xlpm.x,VLOOKUP($C350,[1]Summary!$A$2:$J$118,6,0),IF(_xlpm.x=0,"",_xlpm.x)),"")</f>
        <v/>
      </c>
      <c r="W350" s="6" t="str">
        <f>IFERROR(_xlfn.LET(_xlpm.x,VLOOKUP($C350,[1]Summary!$A$2:$J$118,7,0),IF(_xlpm.x=0,"",_xlpm.x)),"")</f>
        <v/>
      </c>
      <c r="X350" s="6" t="str">
        <f>IFERROR(_xlfn.LET(_xlpm.x,VLOOKUP($C350,[1]Summary!$A$2:$J$118,8,0),IF(_xlpm.x=0,"",_xlpm.x)),"")</f>
        <v/>
      </c>
      <c r="Y350" s="6" t="str">
        <f>IFERROR(_xlfn.LET(_xlpm.x,VLOOKUP($C350,[1]Summary!$A$2:$J$118,9,0),IF(_xlpm.x=0,"",_xlpm.x)),"")</f>
        <v/>
      </c>
      <c r="Z350" s="6" t="str">
        <f>IFERROR(_xlfn.LET(_xlpm.x,VLOOKUP($C350,[1]Summary!$A$2:$J$118,10,0),IF(_xlpm.x=0,"",_xlpm.x)),"")</f>
        <v/>
      </c>
    </row>
    <row r="351" spans="1:26" x14ac:dyDescent="0.25">
      <c r="A351" s="2">
        <v>1000000004132</v>
      </c>
      <c r="B351" s="5" t="s">
        <v>633</v>
      </c>
      <c r="C351" s="2">
        <v>3000000000607</v>
      </c>
      <c r="D351" s="5" t="s">
        <v>634</v>
      </c>
      <c r="E351" s="1">
        <v>3</v>
      </c>
      <c r="F351" s="1" t="s">
        <v>86</v>
      </c>
      <c r="G351" s="1">
        <v>4</v>
      </c>
      <c r="H351" s="1">
        <v>1.5</v>
      </c>
      <c r="I351" s="1">
        <v>1.5</v>
      </c>
      <c r="J351" s="1"/>
      <c r="K351" s="1">
        <v>25</v>
      </c>
      <c r="L351" s="1" t="str">
        <f>IFERROR(_xlfn.LET(_xlpm.x,VLOOKUP($A351,'[1]Markings Threadings'!$B$3:$L$245,3,0),IF(_xlpm.x=0,"",_xlpm.x)),"")</f>
        <v>White</v>
      </c>
      <c r="M351" s="2" t="str">
        <f>IFERROR(_xlfn.LET(_xlpm.x,VLOOKUP($A351,'[1]Markings Threadings'!$B$3:$L$245,7,0),IF(_xlpm.x=0,"",_xlpm.x)),"")</f>
        <v/>
      </c>
      <c r="N351" s="5" t="str">
        <f>IFERROR(_xlfn.LET(_xlpm.x,VLOOKUP($A351,'[1]Markings Threadings'!$B$3:$L$245,8,0),IF(_xlpm.x=0,"",_xlpm.x)),"")</f>
        <v/>
      </c>
      <c r="O351" s="2" t="str">
        <f>IFERROR(_xlfn.LET(_xlpm.x,VLOOKUP($A351,'[1]Markings Threadings'!$B$3:$L$245,10,0),IF(_xlpm.x=0,"",_xlpm.x)),"")</f>
        <v/>
      </c>
      <c r="P351" s="5" t="str">
        <f>IFERROR(_xlfn.LET(_xlpm.x,VLOOKUP($A351,'[1]Markings Threadings'!$B$3:$L$245,11,0),IF(_xlpm.x=0,"",_xlpm.x)),"")</f>
        <v/>
      </c>
      <c r="Q351" s="1" t="str">
        <f>IFERROR(_xlfn.LET(_xlpm.x,VLOOKUP($A351,'[1]Markings Threadings'!$B$3:$L$245,4,0),IF(_xlpm.x=0,"",_xlpm.x)),"")</f>
        <v/>
      </c>
      <c r="R351" s="1" t="str">
        <f>IFERROR(_xlfn.LET(_xlpm.x,VLOOKUP($A351,'[1]Markings Threadings'!$B$3:$L$245,5,0),IF(_xlpm.x=0,"",_xlpm.x)),"")</f>
        <v/>
      </c>
      <c r="S351" s="1" t="str">
        <f>IFERROR(_xlfn.LET(_xlpm.x,VLOOKUP($A351,'[1]Markings Threadings'!$B$3:$L$245,6,0),IF(_xlpm.x=0,"",_xlpm.x)),"")</f>
        <v/>
      </c>
      <c r="T351" s="6" t="str">
        <f>IFERROR(_xlfn.LET(_xlpm.x,VLOOKUP($C351,[1]Summary!$A$2:$J$118,4,0),IF(_xlpm.x=0,"",_xlpm.x)),"")</f>
        <v/>
      </c>
      <c r="U351" s="6" t="str">
        <f>IFERROR(_xlfn.LET(_xlpm.x,VLOOKUP($C351,[1]Summary!$A$2:$J$118,5,0),IF(_xlpm.x=0,"",_xlpm.x)),"")</f>
        <v/>
      </c>
      <c r="V351" s="6">
        <f>IFERROR(_xlfn.LET(_xlpm.x,VLOOKUP($C351,[1]Summary!$A$2:$J$118,6,0),IF(_xlpm.x=0,"",_xlpm.x)),"")</f>
        <v>6.4433175048231517</v>
      </c>
      <c r="W351" s="6" t="str">
        <f>IFERROR(_xlfn.LET(_xlpm.x,VLOOKUP($C351,[1]Summary!$A$2:$J$118,7,0),IF(_xlpm.x=0,"",_xlpm.x)),"")</f>
        <v/>
      </c>
      <c r="X351" s="6" t="str">
        <f>IFERROR(_xlfn.LET(_xlpm.x,VLOOKUP($C351,[1]Summary!$A$2:$J$118,8,0),IF(_xlpm.x=0,"",_xlpm.x)),"")</f>
        <v/>
      </c>
      <c r="Y351" s="6">
        <f>IFERROR(_xlfn.LET(_xlpm.x,VLOOKUP($C351,[1]Summary!$A$2:$J$118,9,0),IF(_xlpm.x=0,"",_xlpm.x)),"")</f>
        <v>6.1153110743801644</v>
      </c>
      <c r="Z351" s="6" t="str">
        <f>IFERROR(_xlfn.LET(_xlpm.x,VLOOKUP($C351,[1]Summary!$A$2:$J$118,10,0),IF(_xlpm.x=0,"",_xlpm.x)),"")</f>
        <v/>
      </c>
    </row>
    <row r="352" spans="1:26" x14ac:dyDescent="0.25">
      <c r="A352" s="2">
        <v>1000000004161</v>
      </c>
      <c r="B352" s="5" t="s">
        <v>635</v>
      </c>
      <c r="C352" s="2">
        <v>3000000002181</v>
      </c>
      <c r="D352" s="5" t="s">
        <v>636</v>
      </c>
      <c r="E352" s="1">
        <v>4</v>
      </c>
      <c r="F352" s="1" t="s">
        <v>54</v>
      </c>
      <c r="G352" s="1">
        <v>4</v>
      </c>
      <c r="H352" s="1">
        <v>2</v>
      </c>
      <c r="I352" s="1">
        <v>2</v>
      </c>
      <c r="J352" s="1"/>
      <c r="K352" s="1">
        <v>50</v>
      </c>
      <c r="L352" s="1" t="str">
        <f>IFERROR(_xlfn.LET(_xlpm.x,VLOOKUP($A352,'[1]Markings Threadings'!$B$3:$L$245,3,0),IF(_xlpm.x=0,"",_xlpm.x)),"")</f>
        <v>Green</v>
      </c>
      <c r="M352" s="2">
        <f>IFERROR(_xlfn.LET(_xlpm.x,VLOOKUP($A352,'[1]Markings Threadings'!$B$3:$L$245,7,0),IF(_xlpm.x=0,"",_xlpm.x)),"")</f>
        <v>5000000000563</v>
      </c>
      <c r="N352" s="5" t="str">
        <f>IFERROR(_xlfn.LET(_xlpm.x,VLOOKUP($A352,'[1]Markings Threadings'!$B$3:$L$245,8,0),IF(_xlpm.x=0,"",_xlpm.x)),"")</f>
        <v>Sack Poultry Solutions Pre-Lay 50kg</v>
      </c>
      <c r="O352" s="2">
        <f>IFERROR(_xlfn.LET(_xlpm.x,VLOOKUP($A352,'[1]Markings Threadings'!$B$3:$L$245,10,0),IF(_xlpm.x=0,"",_xlpm.x)),"")</f>
        <v>5000000000615</v>
      </c>
      <c r="P352" s="5" t="str">
        <f>IFERROR(_xlfn.LET(_xlpm.x,VLOOKUP($A352,'[1]Markings Threadings'!$B$3:$L$245,11,0),IF(_xlpm.x=0,"",_xlpm.x)),"")</f>
        <v>Tag Poultry Solutions Pre-Lay Crumble</v>
      </c>
      <c r="Q352" s="1">
        <f>IFERROR(_xlfn.LET(_xlpm.x,VLOOKUP($A352,'[1]Markings Threadings'!$B$3:$L$245,4,0),IF(_xlpm.x=0,"",_xlpm.x)),"")</f>
        <v>4161</v>
      </c>
      <c r="R352" s="1" t="str">
        <f>IFERROR(_xlfn.LET(_xlpm.x,VLOOKUP($A352,'[1]Markings Threadings'!$B$3:$L$245,5,0),IF(_xlpm.x=0,"",_xlpm.x)),"")</f>
        <v/>
      </c>
      <c r="S352" s="1" t="str">
        <f>IFERROR(_xlfn.LET(_xlpm.x,VLOOKUP($A352,'[1]Markings Threadings'!$B$3:$L$245,6,0),IF(_xlpm.x=0,"",_xlpm.x)),"")</f>
        <v/>
      </c>
      <c r="T352" s="6" t="str">
        <f>IFERROR(_xlfn.LET(_xlpm.x,VLOOKUP($C352,[1]Summary!$A$2:$J$118,4,0),IF(_xlpm.x=0,"",_xlpm.x)),"")</f>
        <v/>
      </c>
      <c r="U352" s="6" t="str">
        <f>IFERROR(_xlfn.LET(_xlpm.x,VLOOKUP($C352,[1]Summary!$A$2:$J$118,5,0),IF(_xlpm.x=0,"",_xlpm.x)),"")</f>
        <v/>
      </c>
      <c r="V352" s="6" t="str">
        <f>IFERROR(_xlfn.LET(_xlpm.x,VLOOKUP($C352,[1]Summary!$A$2:$J$118,6,0),IF(_xlpm.x=0,"",_xlpm.x)),"")</f>
        <v/>
      </c>
      <c r="W352" s="6">
        <f>IFERROR(_xlfn.LET(_xlpm.x,VLOOKUP($C352,[1]Summary!$A$2:$J$118,7,0),IF(_xlpm.x=0,"",_xlpm.x)),"")</f>
        <v>8.7799258536585327</v>
      </c>
      <c r="X352" s="6" t="str">
        <f>IFERROR(_xlfn.LET(_xlpm.x,VLOOKUP($C352,[1]Summary!$A$2:$J$118,8,0),IF(_xlpm.x=0,"",_xlpm.x)),"")</f>
        <v/>
      </c>
      <c r="Y352" s="6" t="str">
        <f>IFERROR(_xlfn.LET(_xlpm.x,VLOOKUP($C352,[1]Summary!$A$2:$J$118,9,0),IF(_xlpm.x=0,"",_xlpm.x)),"")</f>
        <v/>
      </c>
      <c r="Z352" s="6" t="str">
        <f>IFERROR(_xlfn.LET(_xlpm.x,VLOOKUP($C352,[1]Summary!$A$2:$J$118,10,0),IF(_xlpm.x=0,"",_xlpm.x)),"")</f>
        <v/>
      </c>
    </row>
    <row r="353" spans="1:26" x14ac:dyDescent="0.25">
      <c r="A353" s="2">
        <v>1000000004162</v>
      </c>
      <c r="B353" s="5" t="s">
        <v>637</v>
      </c>
      <c r="C353" s="2">
        <v>3000000002183</v>
      </c>
      <c r="D353" s="5" t="s">
        <v>638</v>
      </c>
      <c r="E353" s="1">
        <v>4</v>
      </c>
      <c r="F353" s="1" t="s">
        <v>54</v>
      </c>
      <c r="G353" s="1">
        <v>4</v>
      </c>
      <c r="H353" s="1">
        <v>2</v>
      </c>
      <c r="I353" s="1">
        <v>2</v>
      </c>
      <c r="J353" s="1"/>
      <c r="K353" s="1">
        <v>50</v>
      </c>
      <c r="L353" s="1" t="str">
        <f>IFERROR(_xlfn.LET(_xlpm.x,VLOOKUP($A353,'[1]Markings Threadings'!$B$3:$L$245,3,0),IF(_xlpm.x=0,"",_xlpm.x)),"")</f>
        <v>Green</v>
      </c>
      <c r="M353" s="2">
        <f>IFERROR(_xlfn.LET(_xlpm.x,VLOOKUP($A353,'[1]Markings Threadings'!$B$3:$L$245,7,0),IF(_xlpm.x=0,"",_xlpm.x)),"")</f>
        <v>5000000000564</v>
      </c>
      <c r="N353" s="5" t="str">
        <f>IFERROR(_xlfn.LET(_xlpm.x,VLOOKUP($A353,'[1]Markings Threadings'!$B$3:$L$245,8,0),IF(_xlpm.x=0,"",_xlpm.x)),"")</f>
        <v>Sack Poultry Solutions Chicken Layer 1</v>
      </c>
      <c r="O353" s="2">
        <f>IFERROR(_xlfn.LET(_xlpm.x,VLOOKUP($A353,'[1]Markings Threadings'!$B$3:$L$245,10,0),IF(_xlpm.x=0,"",_xlpm.x)),"")</f>
        <v>5000000000116</v>
      </c>
      <c r="P353" s="5" t="str">
        <f>IFERROR(_xlfn.LET(_xlpm.x,VLOOKUP($A353,'[1]Markings Threadings'!$B$3:$L$245,11,0),IF(_xlpm.x=0,"",_xlpm.x)),"")</f>
        <v>Tag Poultry Solutions Chicken Layer 1</v>
      </c>
      <c r="Q353" s="1">
        <f>IFERROR(_xlfn.LET(_xlpm.x,VLOOKUP($A353,'[1]Markings Threadings'!$B$3:$L$245,4,0),IF(_xlpm.x=0,"",_xlpm.x)),"")</f>
        <v>4162</v>
      </c>
      <c r="R353" s="1" t="str">
        <f>IFERROR(_xlfn.LET(_xlpm.x,VLOOKUP($A353,'[1]Markings Threadings'!$B$3:$L$245,5,0),IF(_xlpm.x=0,"",_xlpm.x)),"")</f>
        <v/>
      </c>
      <c r="S353" s="1" t="str">
        <f>IFERROR(_xlfn.LET(_xlpm.x,VLOOKUP($A353,'[1]Markings Threadings'!$B$3:$L$245,6,0),IF(_xlpm.x=0,"",_xlpm.x)),"")</f>
        <v/>
      </c>
      <c r="T353" s="6" t="str">
        <f>IFERROR(_xlfn.LET(_xlpm.x,VLOOKUP($C353,[1]Summary!$A$2:$J$118,4,0),IF(_xlpm.x=0,"",_xlpm.x)),"")</f>
        <v/>
      </c>
      <c r="U353" s="6" t="str">
        <f>IFERROR(_xlfn.LET(_xlpm.x,VLOOKUP($C353,[1]Summary!$A$2:$J$118,5,0),IF(_xlpm.x=0,"",_xlpm.x)),"")</f>
        <v/>
      </c>
      <c r="V353" s="6" t="str">
        <f>IFERROR(_xlfn.LET(_xlpm.x,VLOOKUP($C353,[1]Summary!$A$2:$J$118,6,0),IF(_xlpm.x=0,"",_xlpm.x)),"")</f>
        <v/>
      </c>
      <c r="W353" s="6" t="str">
        <f>IFERROR(_xlfn.LET(_xlpm.x,VLOOKUP($C353,[1]Summary!$A$2:$J$118,7,0),IF(_xlpm.x=0,"",_xlpm.x)),"")</f>
        <v/>
      </c>
      <c r="X353" s="6" t="str">
        <f>IFERROR(_xlfn.LET(_xlpm.x,VLOOKUP($C353,[1]Summary!$A$2:$J$118,8,0),IF(_xlpm.x=0,"",_xlpm.x)),"")</f>
        <v/>
      </c>
      <c r="Y353" s="6" t="str">
        <f>IFERROR(_xlfn.LET(_xlpm.x,VLOOKUP($C353,[1]Summary!$A$2:$J$118,9,0),IF(_xlpm.x=0,"",_xlpm.x)),"")</f>
        <v/>
      </c>
      <c r="Z353" s="6" t="str">
        <f>IFERROR(_xlfn.LET(_xlpm.x,VLOOKUP($C353,[1]Summary!$A$2:$J$118,10,0),IF(_xlpm.x=0,"",_xlpm.x)),"")</f>
        <v/>
      </c>
    </row>
    <row r="354" spans="1:26" x14ac:dyDescent="0.25">
      <c r="A354" s="2">
        <v>1000000004163</v>
      </c>
      <c r="B354" s="5" t="s">
        <v>639</v>
      </c>
      <c r="C354" s="2">
        <v>3000000002182</v>
      </c>
      <c r="D354" s="5" t="s">
        <v>640</v>
      </c>
      <c r="E354" s="1">
        <v>4</v>
      </c>
      <c r="F354" s="1" t="s">
        <v>54</v>
      </c>
      <c r="G354" s="1">
        <v>4</v>
      </c>
      <c r="H354" s="1">
        <v>2</v>
      </c>
      <c r="I354" s="1">
        <v>2</v>
      </c>
      <c r="J354" s="1"/>
      <c r="K354" s="1">
        <v>50</v>
      </c>
      <c r="L354" s="1" t="str">
        <f>IFERROR(_xlfn.LET(_xlpm.x,VLOOKUP($A354,'[1]Markings Threadings'!$B$3:$L$245,3,0),IF(_xlpm.x=0,"",_xlpm.x)),"")</f>
        <v/>
      </c>
      <c r="M354" s="2" t="str">
        <f>IFERROR(_xlfn.LET(_xlpm.x,VLOOKUP($A354,'[1]Markings Threadings'!$B$3:$L$245,7,0),IF(_xlpm.x=0,"",_xlpm.x)),"")</f>
        <v/>
      </c>
      <c r="N354" s="5" t="str">
        <f>IFERROR(_xlfn.LET(_xlpm.x,VLOOKUP($A354,'[1]Markings Threadings'!$B$3:$L$245,8,0),IF(_xlpm.x=0,"",_xlpm.x)),"")</f>
        <v/>
      </c>
      <c r="O354" s="2" t="str">
        <f>IFERROR(_xlfn.LET(_xlpm.x,VLOOKUP($A354,'[1]Markings Threadings'!$B$3:$L$245,10,0),IF(_xlpm.x=0,"",_xlpm.x)),"")</f>
        <v/>
      </c>
      <c r="P354" s="5" t="str">
        <f>IFERROR(_xlfn.LET(_xlpm.x,VLOOKUP($A354,'[1]Markings Threadings'!$B$3:$L$245,11,0),IF(_xlpm.x=0,"",_xlpm.x)),"")</f>
        <v/>
      </c>
      <c r="Q354" s="1" t="str">
        <f>IFERROR(_xlfn.LET(_xlpm.x,VLOOKUP($A354,'[1]Markings Threadings'!$B$3:$L$245,4,0),IF(_xlpm.x=0,"",_xlpm.x)),"")</f>
        <v/>
      </c>
      <c r="R354" s="1" t="str">
        <f>IFERROR(_xlfn.LET(_xlpm.x,VLOOKUP($A354,'[1]Markings Threadings'!$B$3:$L$245,5,0),IF(_xlpm.x=0,"",_xlpm.x)),"")</f>
        <v/>
      </c>
      <c r="S354" s="1" t="str">
        <f>IFERROR(_xlfn.LET(_xlpm.x,VLOOKUP($A354,'[1]Markings Threadings'!$B$3:$L$245,6,0),IF(_xlpm.x=0,"",_xlpm.x)),"")</f>
        <v/>
      </c>
      <c r="T354" s="6" t="str">
        <f>IFERROR(_xlfn.LET(_xlpm.x,VLOOKUP($C354,[1]Summary!$A$2:$J$118,4,0),IF(_xlpm.x=0,"",_xlpm.x)),"")</f>
        <v/>
      </c>
      <c r="U354" s="6" t="str">
        <f>IFERROR(_xlfn.LET(_xlpm.x,VLOOKUP($C354,[1]Summary!$A$2:$J$118,5,0),IF(_xlpm.x=0,"",_xlpm.x)),"")</f>
        <v/>
      </c>
      <c r="V354" s="6" t="str">
        <f>IFERROR(_xlfn.LET(_xlpm.x,VLOOKUP($C354,[1]Summary!$A$2:$J$118,6,0),IF(_xlpm.x=0,"",_xlpm.x)),"")</f>
        <v/>
      </c>
      <c r="W354" s="6" t="str">
        <f>IFERROR(_xlfn.LET(_xlpm.x,VLOOKUP($C354,[1]Summary!$A$2:$J$118,7,0),IF(_xlpm.x=0,"",_xlpm.x)),"")</f>
        <v/>
      </c>
      <c r="X354" s="6" t="str">
        <f>IFERROR(_xlfn.LET(_xlpm.x,VLOOKUP($C354,[1]Summary!$A$2:$J$118,8,0),IF(_xlpm.x=0,"",_xlpm.x)),"")</f>
        <v/>
      </c>
      <c r="Y354" s="6" t="str">
        <f>IFERROR(_xlfn.LET(_xlpm.x,VLOOKUP($C354,[1]Summary!$A$2:$J$118,9,0),IF(_xlpm.x=0,"",_xlpm.x)),"")</f>
        <v/>
      </c>
      <c r="Z354" s="6" t="str">
        <f>IFERROR(_xlfn.LET(_xlpm.x,VLOOKUP($C354,[1]Summary!$A$2:$J$118,10,0),IF(_xlpm.x=0,"",_xlpm.x)),"")</f>
        <v/>
      </c>
    </row>
    <row r="355" spans="1:26" x14ac:dyDescent="0.25">
      <c r="A355" s="2">
        <v>1000000004166</v>
      </c>
      <c r="B355" s="5" t="s">
        <v>641</v>
      </c>
      <c r="C355" s="2">
        <v>3000000002184</v>
      </c>
      <c r="D355" s="5" t="s">
        <v>642</v>
      </c>
      <c r="E355" s="1">
        <v>4</v>
      </c>
      <c r="F355" s="1" t="s">
        <v>54</v>
      </c>
      <c r="G355" s="1">
        <v>4</v>
      </c>
      <c r="H355" s="1">
        <v>2</v>
      </c>
      <c r="I355" s="1">
        <v>2</v>
      </c>
      <c r="J355" s="1"/>
      <c r="K355" s="1">
        <v>50</v>
      </c>
      <c r="L355" s="1" t="str">
        <f>IFERROR(_xlfn.LET(_xlpm.x,VLOOKUP($A355,'[1]Markings Threadings'!$B$3:$L$245,3,0),IF(_xlpm.x=0,"",_xlpm.x)),"")</f>
        <v/>
      </c>
      <c r="M355" s="2" t="str">
        <f>IFERROR(_xlfn.LET(_xlpm.x,VLOOKUP($A355,'[1]Markings Threadings'!$B$3:$L$245,7,0),IF(_xlpm.x=0,"",_xlpm.x)),"")</f>
        <v/>
      </c>
      <c r="N355" s="5" t="str">
        <f>IFERROR(_xlfn.LET(_xlpm.x,VLOOKUP($A355,'[1]Markings Threadings'!$B$3:$L$245,8,0),IF(_xlpm.x=0,"",_xlpm.x)),"")</f>
        <v/>
      </c>
      <c r="O355" s="2" t="str">
        <f>IFERROR(_xlfn.LET(_xlpm.x,VLOOKUP($A355,'[1]Markings Threadings'!$B$3:$L$245,10,0),IF(_xlpm.x=0,"",_xlpm.x)),"")</f>
        <v/>
      </c>
      <c r="P355" s="5" t="str">
        <f>IFERROR(_xlfn.LET(_xlpm.x,VLOOKUP($A355,'[1]Markings Threadings'!$B$3:$L$245,11,0),IF(_xlpm.x=0,"",_xlpm.x)),"")</f>
        <v/>
      </c>
      <c r="Q355" s="1" t="str">
        <f>IFERROR(_xlfn.LET(_xlpm.x,VLOOKUP($A355,'[1]Markings Threadings'!$B$3:$L$245,4,0),IF(_xlpm.x=0,"",_xlpm.x)),"")</f>
        <v/>
      </c>
      <c r="R355" s="1" t="str">
        <f>IFERROR(_xlfn.LET(_xlpm.x,VLOOKUP($A355,'[1]Markings Threadings'!$B$3:$L$245,5,0),IF(_xlpm.x=0,"",_xlpm.x)),"")</f>
        <v/>
      </c>
      <c r="S355" s="1" t="str">
        <f>IFERROR(_xlfn.LET(_xlpm.x,VLOOKUP($A355,'[1]Markings Threadings'!$B$3:$L$245,6,0),IF(_xlpm.x=0,"",_xlpm.x)),"")</f>
        <v/>
      </c>
      <c r="T355" s="6" t="str">
        <f>IFERROR(_xlfn.LET(_xlpm.x,VLOOKUP($C355,[1]Summary!$A$2:$J$118,4,0),IF(_xlpm.x=0,"",_xlpm.x)),"")</f>
        <v/>
      </c>
      <c r="U355" s="6" t="str">
        <f>IFERROR(_xlfn.LET(_xlpm.x,VLOOKUP($C355,[1]Summary!$A$2:$J$118,5,0),IF(_xlpm.x=0,"",_xlpm.x)),"")</f>
        <v/>
      </c>
      <c r="V355" s="6" t="str">
        <f>IFERROR(_xlfn.LET(_xlpm.x,VLOOKUP($C355,[1]Summary!$A$2:$J$118,6,0),IF(_xlpm.x=0,"",_xlpm.x)),"")</f>
        <v/>
      </c>
      <c r="W355" s="6" t="str">
        <f>IFERROR(_xlfn.LET(_xlpm.x,VLOOKUP($C355,[1]Summary!$A$2:$J$118,7,0),IF(_xlpm.x=0,"",_xlpm.x)),"")</f>
        <v/>
      </c>
      <c r="X355" s="6" t="str">
        <f>IFERROR(_xlfn.LET(_xlpm.x,VLOOKUP($C355,[1]Summary!$A$2:$J$118,8,0),IF(_xlpm.x=0,"",_xlpm.x)),"")</f>
        <v/>
      </c>
      <c r="Y355" s="6" t="str">
        <f>IFERROR(_xlfn.LET(_xlpm.x,VLOOKUP($C355,[1]Summary!$A$2:$J$118,9,0),IF(_xlpm.x=0,"",_xlpm.x)),"")</f>
        <v/>
      </c>
      <c r="Z355" s="6" t="str">
        <f>IFERROR(_xlfn.LET(_xlpm.x,VLOOKUP($C355,[1]Summary!$A$2:$J$118,10,0),IF(_xlpm.x=0,"",_xlpm.x)),"")</f>
        <v/>
      </c>
    </row>
    <row r="356" spans="1:26" x14ac:dyDescent="0.25">
      <c r="A356" s="2">
        <v>1000000004168</v>
      </c>
      <c r="B356" s="5" t="s">
        <v>643</v>
      </c>
      <c r="C356" s="2">
        <v>3000000002184</v>
      </c>
      <c r="D356" s="5" t="s">
        <v>642</v>
      </c>
      <c r="E356" s="1">
        <v>4</v>
      </c>
      <c r="F356" s="1" t="s">
        <v>54</v>
      </c>
      <c r="G356" s="1">
        <v>4</v>
      </c>
      <c r="H356" s="1">
        <v>2</v>
      </c>
      <c r="I356" s="1">
        <v>2</v>
      </c>
      <c r="J356" s="1"/>
      <c r="K356" s="1">
        <v>1</v>
      </c>
      <c r="L356" s="1" t="str">
        <f>IFERROR(_xlfn.LET(_xlpm.x,VLOOKUP($A356,'[1]Markings Threadings'!$B$3:$L$245,3,0),IF(_xlpm.x=0,"",_xlpm.x)),"")</f>
        <v/>
      </c>
      <c r="M356" s="2" t="str">
        <f>IFERROR(_xlfn.LET(_xlpm.x,VLOOKUP($A356,'[1]Markings Threadings'!$B$3:$L$245,7,0),IF(_xlpm.x=0,"",_xlpm.x)),"")</f>
        <v/>
      </c>
      <c r="N356" s="5" t="str">
        <f>IFERROR(_xlfn.LET(_xlpm.x,VLOOKUP($A356,'[1]Markings Threadings'!$B$3:$L$245,8,0),IF(_xlpm.x=0,"",_xlpm.x)),"")</f>
        <v/>
      </c>
      <c r="O356" s="2" t="str">
        <f>IFERROR(_xlfn.LET(_xlpm.x,VLOOKUP($A356,'[1]Markings Threadings'!$B$3:$L$245,10,0),IF(_xlpm.x=0,"",_xlpm.x)),"")</f>
        <v/>
      </c>
      <c r="P356" s="5" t="str">
        <f>IFERROR(_xlfn.LET(_xlpm.x,VLOOKUP($A356,'[1]Markings Threadings'!$B$3:$L$245,11,0),IF(_xlpm.x=0,"",_xlpm.x)),"")</f>
        <v/>
      </c>
      <c r="Q356" s="1" t="str">
        <f>IFERROR(_xlfn.LET(_xlpm.x,VLOOKUP($A356,'[1]Markings Threadings'!$B$3:$L$245,4,0),IF(_xlpm.x=0,"",_xlpm.x)),"")</f>
        <v/>
      </c>
      <c r="R356" s="1" t="str">
        <f>IFERROR(_xlfn.LET(_xlpm.x,VLOOKUP($A356,'[1]Markings Threadings'!$B$3:$L$245,5,0),IF(_xlpm.x=0,"",_xlpm.x)),"")</f>
        <v/>
      </c>
      <c r="S356" s="1" t="str">
        <f>IFERROR(_xlfn.LET(_xlpm.x,VLOOKUP($A356,'[1]Markings Threadings'!$B$3:$L$245,6,0),IF(_xlpm.x=0,"",_xlpm.x)),"")</f>
        <v/>
      </c>
      <c r="T356" s="6" t="str">
        <f>IFERROR(_xlfn.LET(_xlpm.x,VLOOKUP($C356,[1]Summary!$A$2:$J$118,4,0),IF(_xlpm.x=0,"",_xlpm.x)),"")</f>
        <v/>
      </c>
      <c r="U356" s="6" t="str">
        <f>IFERROR(_xlfn.LET(_xlpm.x,VLOOKUP($C356,[1]Summary!$A$2:$J$118,5,0),IF(_xlpm.x=0,"",_xlpm.x)),"")</f>
        <v/>
      </c>
      <c r="V356" s="6" t="str">
        <f>IFERROR(_xlfn.LET(_xlpm.x,VLOOKUP($C356,[1]Summary!$A$2:$J$118,6,0),IF(_xlpm.x=0,"",_xlpm.x)),"")</f>
        <v/>
      </c>
      <c r="W356" s="6" t="str">
        <f>IFERROR(_xlfn.LET(_xlpm.x,VLOOKUP($C356,[1]Summary!$A$2:$J$118,7,0),IF(_xlpm.x=0,"",_xlpm.x)),"")</f>
        <v/>
      </c>
      <c r="X356" s="6" t="str">
        <f>IFERROR(_xlfn.LET(_xlpm.x,VLOOKUP($C356,[1]Summary!$A$2:$J$118,8,0),IF(_xlpm.x=0,"",_xlpm.x)),"")</f>
        <v/>
      </c>
      <c r="Y356" s="6" t="str">
        <f>IFERROR(_xlfn.LET(_xlpm.x,VLOOKUP($C356,[1]Summary!$A$2:$J$118,9,0),IF(_xlpm.x=0,"",_xlpm.x)),"")</f>
        <v/>
      </c>
      <c r="Z356" s="6" t="str">
        <f>IFERROR(_xlfn.LET(_xlpm.x,VLOOKUP($C356,[1]Summary!$A$2:$J$118,10,0),IF(_xlpm.x=0,"",_xlpm.x)),"")</f>
        <v/>
      </c>
    </row>
    <row r="357" spans="1:26" x14ac:dyDescent="0.25">
      <c r="A357" s="2">
        <v>1000000004173</v>
      </c>
      <c r="B357" s="5" t="s">
        <v>644</v>
      </c>
      <c r="C357" s="2">
        <v>3000000002191</v>
      </c>
      <c r="D357" s="5" t="s">
        <v>645</v>
      </c>
      <c r="E357" s="1">
        <v>4</v>
      </c>
      <c r="F357" s="1" t="s">
        <v>54</v>
      </c>
      <c r="G357" s="1">
        <v>4</v>
      </c>
      <c r="H357" s="1">
        <v>2</v>
      </c>
      <c r="I357" s="1">
        <v>2</v>
      </c>
      <c r="J357" s="1"/>
      <c r="K357" s="1">
        <v>50</v>
      </c>
      <c r="L357" s="1" t="str">
        <f>IFERROR(_xlfn.LET(_xlpm.x,VLOOKUP($A357,'[1]Markings Threadings'!$B$3:$L$245,3,0),IF(_xlpm.x=0,"",_xlpm.x)),"")</f>
        <v/>
      </c>
      <c r="M357" s="2" t="str">
        <f>IFERROR(_xlfn.LET(_xlpm.x,VLOOKUP($A357,'[1]Markings Threadings'!$B$3:$L$245,7,0),IF(_xlpm.x=0,"",_xlpm.x)),"")</f>
        <v/>
      </c>
      <c r="N357" s="5" t="str">
        <f>IFERROR(_xlfn.LET(_xlpm.x,VLOOKUP($A357,'[1]Markings Threadings'!$B$3:$L$245,8,0),IF(_xlpm.x=0,"",_xlpm.x)),"")</f>
        <v/>
      </c>
      <c r="O357" s="2" t="str">
        <f>IFERROR(_xlfn.LET(_xlpm.x,VLOOKUP($A357,'[1]Markings Threadings'!$B$3:$L$245,10,0),IF(_xlpm.x=0,"",_xlpm.x)),"")</f>
        <v/>
      </c>
      <c r="P357" s="5" t="str">
        <f>IFERROR(_xlfn.LET(_xlpm.x,VLOOKUP($A357,'[1]Markings Threadings'!$B$3:$L$245,11,0),IF(_xlpm.x=0,"",_xlpm.x)),"")</f>
        <v/>
      </c>
      <c r="Q357" s="1" t="str">
        <f>IFERROR(_xlfn.LET(_xlpm.x,VLOOKUP($A357,'[1]Markings Threadings'!$B$3:$L$245,4,0),IF(_xlpm.x=0,"",_xlpm.x)),"")</f>
        <v/>
      </c>
      <c r="R357" s="1" t="str">
        <f>IFERROR(_xlfn.LET(_xlpm.x,VLOOKUP($A357,'[1]Markings Threadings'!$B$3:$L$245,5,0),IF(_xlpm.x=0,"",_xlpm.x)),"")</f>
        <v/>
      </c>
      <c r="S357" s="1" t="str">
        <f>IFERROR(_xlfn.LET(_xlpm.x,VLOOKUP($A357,'[1]Markings Threadings'!$B$3:$L$245,6,0),IF(_xlpm.x=0,"",_xlpm.x)),"")</f>
        <v/>
      </c>
      <c r="T357" s="6" t="str">
        <f>IFERROR(_xlfn.LET(_xlpm.x,VLOOKUP($C357,[1]Summary!$A$2:$J$118,4,0),IF(_xlpm.x=0,"",_xlpm.x)),"")</f>
        <v/>
      </c>
      <c r="U357" s="6" t="str">
        <f>IFERROR(_xlfn.LET(_xlpm.x,VLOOKUP($C357,[1]Summary!$A$2:$J$118,5,0),IF(_xlpm.x=0,"",_xlpm.x)),"")</f>
        <v/>
      </c>
      <c r="V357" s="6" t="str">
        <f>IFERROR(_xlfn.LET(_xlpm.x,VLOOKUP($C357,[1]Summary!$A$2:$J$118,6,0),IF(_xlpm.x=0,"",_xlpm.x)),"")</f>
        <v/>
      </c>
      <c r="W357" s="6" t="str">
        <f>IFERROR(_xlfn.LET(_xlpm.x,VLOOKUP($C357,[1]Summary!$A$2:$J$118,7,0),IF(_xlpm.x=0,"",_xlpm.x)),"")</f>
        <v/>
      </c>
      <c r="X357" s="6" t="str">
        <f>IFERROR(_xlfn.LET(_xlpm.x,VLOOKUP($C357,[1]Summary!$A$2:$J$118,8,0),IF(_xlpm.x=0,"",_xlpm.x)),"")</f>
        <v/>
      </c>
      <c r="Y357" s="6" t="str">
        <f>IFERROR(_xlfn.LET(_xlpm.x,VLOOKUP($C357,[1]Summary!$A$2:$J$118,9,0),IF(_xlpm.x=0,"",_xlpm.x)),"")</f>
        <v/>
      </c>
      <c r="Z357" s="6" t="str">
        <f>IFERROR(_xlfn.LET(_xlpm.x,VLOOKUP($C357,[1]Summary!$A$2:$J$118,10,0),IF(_xlpm.x=0,"",_xlpm.x)),"")</f>
        <v/>
      </c>
    </row>
    <row r="358" spans="1:26" x14ac:dyDescent="0.25">
      <c r="A358" s="2">
        <v>1000000004174</v>
      </c>
      <c r="B358" s="5" t="s">
        <v>646</v>
      </c>
      <c r="C358" s="2">
        <v>3000000002192</v>
      </c>
      <c r="D358" s="5" t="s">
        <v>647</v>
      </c>
      <c r="E358" s="1">
        <v>4</v>
      </c>
      <c r="F358" s="1" t="s">
        <v>54</v>
      </c>
      <c r="G358" s="1">
        <v>4</v>
      </c>
      <c r="H358" s="1">
        <v>2</v>
      </c>
      <c r="I358" s="1">
        <v>2</v>
      </c>
      <c r="J358" s="1"/>
      <c r="K358" s="1">
        <v>50</v>
      </c>
      <c r="L358" s="1" t="str">
        <f>IFERROR(_xlfn.LET(_xlpm.x,VLOOKUP($A358,'[1]Markings Threadings'!$B$3:$L$245,3,0),IF(_xlpm.x=0,"",_xlpm.x)),"")</f>
        <v/>
      </c>
      <c r="M358" s="2" t="str">
        <f>IFERROR(_xlfn.LET(_xlpm.x,VLOOKUP($A358,'[1]Markings Threadings'!$B$3:$L$245,7,0),IF(_xlpm.x=0,"",_xlpm.x)),"")</f>
        <v/>
      </c>
      <c r="N358" s="5" t="str">
        <f>IFERROR(_xlfn.LET(_xlpm.x,VLOOKUP($A358,'[1]Markings Threadings'!$B$3:$L$245,8,0),IF(_xlpm.x=0,"",_xlpm.x)),"")</f>
        <v/>
      </c>
      <c r="O358" s="2" t="str">
        <f>IFERROR(_xlfn.LET(_xlpm.x,VLOOKUP($A358,'[1]Markings Threadings'!$B$3:$L$245,10,0),IF(_xlpm.x=0,"",_xlpm.x)),"")</f>
        <v/>
      </c>
      <c r="P358" s="5" t="str">
        <f>IFERROR(_xlfn.LET(_xlpm.x,VLOOKUP($A358,'[1]Markings Threadings'!$B$3:$L$245,11,0),IF(_xlpm.x=0,"",_xlpm.x)),"")</f>
        <v/>
      </c>
      <c r="Q358" s="1" t="str">
        <f>IFERROR(_xlfn.LET(_xlpm.x,VLOOKUP($A358,'[1]Markings Threadings'!$B$3:$L$245,4,0),IF(_xlpm.x=0,"",_xlpm.x)),"")</f>
        <v/>
      </c>
      <c r="R358" s="1" t="str">
        <f>IFERROR(_xlfn.LET(_xlpm.x,VLOOKUP($A358,'[1]Markings Threadings'!$B$3:$L$245,5,0),IF(_xlpm.x=0,"",_xlpm.x)),"")</f>
        <v/>
      </c>
      <c r="S358" s="1" t="str">
        <f>IFERROR(_xlfn.LET(_xlpm.x,VLOOKUP($A358,'[1]Markings Threadings'!$B$3:$L$245,6,0),IF(_xlpm.x=0,"",_xlpm.x)),"")</f>
        <v/>
      </c>
      <c r="T358" s="6" t="str">
        <f>IFERROR(_xlfn.LET(_xlpm.x,VLOOKUP($C358,[1]Summary!$A$2:$J$118,4,0),IF(_xlpm.x=0,"",_xlpm.x)),"")</f>
        <v/>
      </c>
      <c r="U358" s="6" t="str">
        <f>IFERROR(_xlfn.LET(_xlpm.x,VLOOKUP($C358,[1]Summary!$A$2:$J$118,5,0),IF(_xlpm.x=0,"",_xlpm.x)),"")</f>
        <v/>
      </c>
      <c r="V358" s="6" t="str">
        <f>IFERROR(_xlfn.LET(_xlpm.x,VLOOKUP($C358,[1]Summary!$A$2:$J$118,6,0),IF(_xlpm.x=0,"",_xlpm.x)),"")</f>
        <v/>
      </c>
      <c r="W358" s="6" t="str">
        <f>IFERROR(_xlfn.LET(_xlpm.x,VLOOKUP($C358,[1]Summary!$A$2:$J$118,7,0),IF(_xlpm.x=0,"",_xlpm.x)),"")</f>
        <v/>
      </c>
      <c r="X358" s="6" t="str">
        <f>IFERROR(_xlfn.LET(_xlpm.x,VLOOKUP($C358,[1]Summary!$A$2:$J$118,8,0),IF(_xlpm.x=0,"",_xlpm.x)),"")</f>
        <v/>
      </c>
      <c r="Y358" s="6" t="str">
        <f>IFERROR(_xlfn.LET(_xlpm.x,VLOOKUP($C358,[1]Summary!$A$2:$J$118,9,0),IF(_xlpm.x=0,"",_xlpm.x)),"")</f>
        <v/>
      </c>
      <c r="Z358" s="6" t="str">
        <f>IFERROR(_xlfn.LET(_xlpm.x,VLOOKUP($C358,[1]Summary!$A$2:$J$118,10,0),IF(_xlpm.x=0,"",_xlpm.x)),"")</f>
        <v/>
      </c>
    </row>
    <row r="359" spans="1:26" x14ac:dyDescent="0.25">
      <c r="A359" s="2">
        <v>1000000004175</v>
      </c>
      <c r="B359" s="5" t="s">
        <v>648</v>
      </c>
      <c r="C359" s="2">
        <v>3000000002193</v>
      </c>
      <c r="D359" s="5" t="s">
        <v>649</v>
      </c>
      <c r="E359" s="1">
        <v>4</v>
      </c>
      <c r="F359" s="1" t="s">
        <v>54</v>
      </c>
      <c r="G359" s="1">
        <v>4</v>
      </c>
      <c r="H359" s="1">
        <v>2</v>
      </c>
      <c r="I359" s="1">
        <v>2</v>
      </c>
      <c r="J359" s="1"/>
      <c r="K359" s="1">
        <v>50</v>
      </c>
      <c r="L359" s="1" t="str">
        <f>IFERROR(_xlfn.LET(_xlpm.x,VLOOKUP($A359,'[1]Markings Threadings'!$B$3:$L$245,3,0),IF(_xlpm.x=0,"",_xlpm.x)),"")</f>
        <v/>
      </c>
      <c r="M359" s="2" t="str">
        <f>IFERROR(_xlfn.LET(_xlpm.x,VLOOKUP($A359,'[1]Markings Threadings'!$B$3:$L$245,7,0),IF(_xlpm.x=0,"",_xlpm.x)),"")</f>
        <v/>
      </c>
      <c r="N359" s="5" t="str">
        <f>IFERROR(_xlfn.LET(_xlpm.x,VLOOKUP($A359,'[1]Markings Threadings'!$B$3:$L$245,8,0),IF(_xlpm.x=0,"",_xlpm.x)),"")</f>
        <v/>
      </c>
      <c r="O359" s="2" t="str">
        <f>IFERROR(_xlfn.LET(_xlpm.x,VLOOKUP($A359,'[1]Markings Threadings'!$B$3:$L$245,10,0),IF(_xlpm.x=0,"",_xlpm.x)),"")</f>
        <v/>
      </c>
      <c r="P359" s="5" t="str">
        <f>IFERROR(_xlfn.LET(_xlpm.x,VLOOKUP($A359,'[1]Markings Threadings'!$B$3:$L$245,11,0),IF(_xlpm.x=0,"",_xlpm.x)),"")</f>
        <v/>
      </c>
      <c r="Q359" s="1" t="str">
        <f>IFERROR(_xlfn.LET(_xlpm.x,VLOOKUP($A359,'[1]Markings Threadings'!$B$3:$L$245,4,0),IF(_xlpm.x=0,"",_xlpm.x)),"")</f>
        <v/>
      </c>
      <c r="R359" s="1" t="str">
        <f>IFERROR(_xlfn.LET(_xlpm.x,VLOOKUP($A359,'[1]Markings Threadings'!$B$3:$L$245,5,0),IF(_xlpm.x=0,"",_xlpm.x)),"")</f>
        <v/>
      </c>
      <c r="S359" s="1" t="str">
        <f>IFERROR(_xlfn.LET(_xlpm.x,VLOOKUP($A359,'[1]Markings Threadings'!$B$3:$L$245,6,0),IF(_xlpm.x=0,"",_xlpm.x)),"")</f>
        <v/>
      </c>
      <c r="T359" s="6" t="str">
        <f>IFERROR(_xlfn.LET(_xlpm.x,VLOOKUP($C359,[1]Summary!$A$2:$J$118,4,0),IF(_xlpm.x=0,"",_xlpm.x)),"")</f>
        <v/>
      </c>
      <c r="U359" s="6" t="str">
        <f>IFERROR(_xlfn.LET(_xlpm.x,VLOOKUP($C359,[1]Summary!$A$2:$J$118,5,0),IF(_xlpm.x=0,"",_xlpm.x)),"")</f>
        <v/>
      </c>
      <c r="V359" s="6" t="str">
        <f>IFERROR(_xlfn.LET(_xlpm.x,VLOOKUP($C359,[1]Summary!$A$2:$J$118,6,0),IF(_xlpm.x=0,"",_xlpm.x)),"")</f>
        <v/>
      </c>
      <c r="W359" s="6" t="str">
        <f>IFERROR(_xlfn.LET(_xlpm.x,VLOOKUP($C359,[1]Summary!$A$2:$J$118,7,0),IF(_xlpm.x=0,"",_xlpm.x)),"")</f>
        <v/>
      </c>
      <c r="X359" s="6" t="str">
        <f>IFERROR(_xlfn.LET(_xlpm.x,VLOOKUP($C359,[1]Summary!$A$2:$J$118,8,0),IF(_xlpm.x=0,"",_xlpm.x)),"")</f>
        <v/>
      </c>
      <c r="Y359" s="6" t="str">
        <f>IFERROR(_xlfn.LET(_xlpm.x,VLOOKUP($C359,[1]Summary!$A$2:$J$118,9,0),IF(_xlpm.x=0,"",_xlpm.x)),"")</f>
        <v/>
      </c>
      <c r="Z359" s="6" t="str">
        <f>IFERROR(_xlfn.LET(_xlpm.x,VLOOKUP($C359,[1]Summary!$A$2:$J$118,10,0),IF(_xlpm.x=0,"",_xlpm.x)),"")</f>
        <v/>
      </c>
    </row>
  </sheetData>
  <conditionalFormatting sqref="L2:Z359">
    <cfRule type="containsBlanks" dxfId="0" priority="1">
      <formula>LEN(TRIM(L2))=0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Marc Ancheta (PH)</dc:creator>
  <cp:lastModifiedBy>John Marc Ancheta (PH)</cp:lastModifiedBy>
  <dcterms:created xsi:type="dcterms:W3CDTF">2026-02-27T03:45:24Z</dcterms:created>
  <dcterms:modified xsi:type="dcterms:W3CDTF">2026-03-06T02:41:12Z</dcterms:modified>
</cp:coreProperties>
</file>