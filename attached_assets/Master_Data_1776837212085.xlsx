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ncheta005\Downloads\"/>
    </mc:Choice>
  </mc:AlternateContent>
  <xr:revisionPtr revIDLastSave="0" documentId="13_ncr:1_{E6F8DDD1-30EE-41FB-AFA5-CDA7ECB173DC}" xr6:coauthVersionLast="47" xr6:coauthVersionMax="47" xr10:uidLastSave="{00000000-0000-0000-0000-000000000000}"/>
  <bookViews>
    <workbookView xWindow="-8732" yWindow="-16692" windowWidth="39836" windowHeight="16093" xr2:uid="{F31DF1C4-6592-42C2-8432-DF26B0A26B7C}"/>
  </bookViews>
  <sheets>
    <sheet name="Master Data" sheetId="1" r:id="rId1"/>
  </sheets>
  <definedNames>
    <definedName name="_xlnm._FilterDatabase" localSheetId="0" hidden="1">'Master Data'!$A$1:$AD$358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H358" i="1" a="1"/>
  <c r="H358" i="1" s="1"/>
  <c r="G358" i="1" a="1"/>
  <c r="G358" i="1" s="1"/>
  <c r="H357" i="1" a="1"/>
  <c r="H357" i="1" s="1"/>
  <c r="G357" i="1" a="1"/>
  <c r="G357" i="1" s="1"/>
  <c r="H356" i="1" a="1"/>
  <c r="H356" i="1" s="1"/>
  <c r="G356" i="1"/>
  <c r="G356" i="1" a="1"/>
  <c r="H355" i="1" a="1"/>
  <c r="H355" i="1" s="1"/>
  <c r="G355" i="1" a="1"/>
  <c r="G355" i="1" s="1"/>
  <c r="H354" i="1" a="1"/>
  <c r="H354" i="1" s="1"/>
  <c r="G354" i="1"/>
  <c r="G354" i="1" a="1"/>
  <c r="H353" i="1" a="1"/>
  <c r="H353" i="1" s="1"/>
  <c r="G353" i="1" a="1"/>
  <c r="G353" i="1" s="1"/>
  <c r="H352" i="1" a="1"/>
  <c r="H352" i="1" s="1"/>
  <c r="G352" i="1" a="1"/>
  <c r="G352" i="1" s="1"/>
  <c r="H351" i="1"/>
  <c r="H351" i="1" a="1"/>
  <c r="G351" i="1" a="1"/>
  <c r="G351" i="1" s="1"/>
  <c r="H350" i="1" a="1"/>
  <c r="H350" i="1" s="1"/>
  <c r="G350" i="1" a="1"/>
  <c r="G350" i="1" s="1"/>
  <c r="H349" i="1"/>
  <c r="H349" i="1" a="1"/>
  <c r="G349" i="1" a="1"/>
  <c r="G349" i="1" s="1"/>
  <c r="H348" i="1" a="1"/>
  <c r="H348" i="1" s="1"/>
  <c r="G348" i="1" a="1"/>
  <c r="G348" i="1" s="1"/>
  <c r="H347" i="1" a="1"/>
  <c r="H347" i="1" s="1"/>
  <c r="G347" i="1"/>
  <c r="G347" i="1" a="1"/>
  <c r="H346" i="1" a="1"/>
  <c r="H346" i="1" s="1"/>
  <c r="G346" i="1" a="1"/>
  <c r="G346" i="1" s="1"/>
  <c r="H345" i="1" a="1"/>
  <c r="H345" i="1" s="1"/>
  <c r="G345" i="1"/>
  <c r="G345" i="1" a="1"/>
  <c r="H344" i="1" a="1"/>
  <c r="H344" i="1" s="1"/>
  <c r="G344" i="1"/>
  <c r="G344" i="1" a="1"/>
  <c r="H343" i="1" a="1"/>
  <c r="H343" i="1" s="1"/>
  <c r="G343" i="1" a="1"/>
  <c r="G343" i="1" s="1"/>
  <c r="H342" i="1" a="1"/>
  <c r="H342" i="1" s="1"/>
  <c r="G342" i="1" a="1"/>
  <c r="G342" i="1" s="1"/>
  <c r="H341" i="1"/>
  <c r="H341" i="1" a="1"/>
  <c r="G341" i="1" a="1"/>
  <c r="G341" i="1" s="1"/>
  <c r="H340" i="1" a="1"/>
  <c r="H340" i="1" s="1"/>
  <c r="G340" i="1"/>
  <c r="G340" i="1" a="1"/>
  <c r="H339" i="1"/>
  <c r="H339" i="1" a="1"/>
  <c r="G339" i="1" a="1"/>
  <c r="G339" i="1" s="1"/>
  <c r="H338" i="1" a="1"/>
  <c r="H338" i="1" s="1"/>
  <c r="G338" i="1"/>
  <c r="G338" i="1" a="1"/>
  <c r="H337" i="1" a="1"/>
  <c r="H337" i="1" s="1"/>
  <c r="G337" i="1" a="1"/>
  <c r="G337" i="1" s="1"/>
  <c r="H336" i="1" a="1"/>
  <c r="H336" i="1" s="1"/>
  <c r="G336" i="1" a="1"/>
  <c r="G336" i="1" s="1"/>
  <c r="H335" i="1"/>
  <c r="H335" i="1" a="1"/>
  <c r="G335" i="1" a="1"/>
  <c r="G335" i="1" s="1"/>
  <c r="H334" i="1" a="1"/>
  <c r="H334" i="1" s="1"/>
  <c r="G334" i="1" a="1"/>
  <c r="G334" i="1" s="1"/>
  <c r="H333" i="1"/>
  <c r="H333" i="1" a="1"/>
  <c r="G333" i="1" a="1"/>
  <c r="G333" i="1" s="1"/>
  <c r="H332" i="1" a="1"/>
  <c r="H332" i="1" s="1"/>
  <c r="G332" i="1" a="1"/>
  <c r="G332" i="1" s="1"/>
  <c r="H331" i="1" a="1"/>
  <c r="H331" i="1" s="1"/>
  <c r="G331" i="1"/>
  <c r="G331" i="1" a="1"/>
  <c r="H330" i="1" a="1"/>
  <c r="H330" i="1" s="1"/>
  <c r="G330" i="1" a="1"/>
  <c r="G330" i="1" s="1"/>
  <c r="H329" i="1"/>
  <c r="H329" i="1" a="1"/>
  <c r="G329" i="1"/>
  <c r="G329" i="1" a="1"/>
  <c r="H328" i="1" a="1"/>
  <c r="H328" i="1" s="1"/>
  <c r="G328" i="1" a="1"/>
  <c r="G328" i="1" s="1"/>
  <c r="H327" i="1" a="1"/>
  <c r="H327" i="1" s="1"/>
  <c r="G327" i="1" a="1"/>
  <c r="G327" i="1" s="1"/>
  <c r="H326" i="1" a="1"/>
  <c r="H326" i="1" s="1"/>
  <c r="G326" i="1" a="1"/>
  <c r="G326" i="1" s="1"/>
  <c r="H325" i="1" a="1"/>
  <c r="H325" i="1" s="1"/>
  <c r="G325" i="1" a="1"/>
  <c r="G325" i="1" s="1"/>
  <c r="H324" i="1" a="1"/>
  <c r="H324" i="1" s="1"/>
  <c r="G324" i="1"/>
  <c r="G324" i="1" a="1"/>
  <c r="H323" i="1" a="1"/>
  <c r="H323" i="1" s="1"/>
  <c r="G323" i="1" a="1"/>
  <c r="G323" i="1" s="1"/>
  <c r="H322" i="1" a="1"/>
  <c r="H322" i="1" s="1"/>
  <c r="G322" i="1"/>
  <c r="G322" i="1" a="1"/>
  <c r="H321" i="1" a="1"/>
  <c r="H321" i="1" s="1"/>
  <c r="G321" i="1" a="1"/>
  <c r="G321" i="1" s="1"/>
  <c r="H320" i="1" a="1"/>
  <c r="H320" i="1" s="1"/>
  <c r="G320" i="1" a="1"/>
  <c r="G320" i="1" s="1"/>
  <c r="H319" i="1"/>
  <c r="H319" i="1" a="1"/>
  <c r="G319" i="1" a="1"/>
  <c r="G319" i="1" s="1"/>
  <c r="H318" i="1" a="1"/>
  <c r="H318" i="1" s="1"/>
  <c r="G318" i="1" a="1"/>
  <c r="G318" i="1" s="1"/>
  <c r="H317" i="1"/>
  <c r="H317" i="1" a="1"/>
  <c r="G317" i="1" a="1"/>
  <c r="G317" i="1" s="1"/>
  <c r="H316" i="1" a="1"/>
  <c r="H316" i="1" s="1"/>
  <c r="G316" i="1" a="1"/>
  <c r="G316" i="1" s="1"/>
  <c r="H315" i="1" a="1"/>
  <c r="H315" i="1" s="1"/>
  <c r="G315" i="1"/>
  <c r="G315" i="1" a="1"/>
  <c r="H314" i="1" a="1"/>
  <c r="H314" i="1" s="1"/>
  <c r="G314" i="1" a="1"/>
  <c r="G314" i="1" s="1"/>
  <c r="H313" i="1" a="1"/>
  <c r="H313" i="1" s="1"/>
  <c r="G313" i="1"/>
  <c r="G313" i="1" a="1"/>
  <c r="H312" i="1" a="1"/>
  <c r="H312" i="1" s="1"/>
  <c r="G312" i="1" a="1"/>
  <c r="G312" i="1" s="1"/>
  <c r="H311" i="1" a="1"/>
  <c r="H311" i="1" s="1"/>
  <c r="G311" i="1"/>
  <c r="G311" i="1" a="1"/>
  <c r="H310" i="1" a="1"/>
  <c r="H310" i="1" s="1"/>
  <c r="G310" i="1" a="1"/>
  <c r="G310" i="1" s="1"/>
  <c r="H309" i="1" a="1"/>
  <c r="H309" i="1" s="1"/>
  <c r="G309" i="1" a="1"/>
  <c r="G309" i="1" s="1"/>
  <c r="H308" i="1" a="1"/>
  <c r="H308" i="1" s="1"/>
  <c r="G308" i="1"/>
  <c r="G308" i="1" a="1"/>
  <c r="H307" i="1" a="1"/>
  <c r="H307" i="1" s="1"/>
  <c r="G307" i="1" a="1"/>
  <c r="G307" i="1" s="1"/>
  <c r="H306" i="1" a="1"/>
  <c r="H306" i="1" s="1"/>
  <c r="G306" i="1"/>
  <c r="G306" i="1" a="1"/>
  <c r="H305" i="1" a="1"/>
  <c r="H305" i="1" s="1"/>
  <c r="G305" i="1" a="1"/>
  <c r="G305" i="1" s="1"/>
  <c r="H304" i="1" a="1"/>
  <c r="H304" i="1" s="1"/>
  <c r="G304" i="1" a="1"/>
  <c r="G304" i="1" s="1"/>
  <c r="H303" i="1"/>
  <c r="H303" i="1" a="1"/>
  <c r="G303" i="1"/>
  <c r="G303" i="1" a="1"/>
  <c r="H302" i="1" a="1"/>
  <c r="H302" i="1" s="1"/>
  <c r="G302" i="1" a="1"/>
  <c r="G302" i="1" s="1"/>
  <c r="H301" i="1"/>
  <c r="H301" i="1" a="1"/>
  <c r="G301" i="1" a="1"/>
  <c r="G301" i="1" s="1"/>
  <c r="H300" i="1" a="1"/>
  <c r="H300" i="1" s="1"/>
  <c r="G300" i="1" a="1"/>
  <c r="G300" i="1" s="1"/>
  <c r="H299" i="1" a="1"/>
  <c r="H299" i="1" s="1"/>
  <c r="G299" i="1"/>
  <c r="G299" i="1" a="1"/>
  <c r="H298" i="1" a="1"/>
  <c r="H298" i="1" s="1"/>
  <c r="G298" i="1"/>
  <c r="G298" i="1" a="1"/>
  <c r="H297" i="1" a="1"/>
  <c r="H297" i="1" s="1"/>
  <c r="G297" i="1"/>
  <c r="G297" i="1" a="1"/>
  <c r="H296" i="1" a="1"/>
  <c r="H296" i="1" s="1"/>
  <c r="G296" i="1" a="1"/>
  <c r="G296" i="1" s="1"/>
  <c r="H295" i="1" a="1"/>
  <c r="H295" i="1" s="1"/>
  <c r="G295" i="1" a="1"/>
  <c r="G295" i="1" s="1"/>
  <c r="H294" i="1" a="1"/>
  <c r="H294" i="1" s="1"/>
  <c r="G294" i="1" a="1"/>
  <c r="G294" i="1" s="1"/>
  <c r="H293" i="1" a="1"/>
  <c r="H293" i="1" s="1"/>
  <c r="G293" i="1" a="1"/>
  <c r="G293" i="1" s="1"/>
  <c r="H292" i="1" a="1"/>
  <c r="H292" i="1" s="1"/>
  <c r="G292" i="1"/>
  <c r="G292" i="1" a="1"/>
  <c r="H291" i="1" a="1"/>
  <c r="H291" i="1" s="1"/>
  <c r="G291" i="1"/>
  <c r="G291" i="1" a="1"/>
  <c r="H290" i="1" a="1"/>
  <c r="H290" i="1" s="1"/>
  <c r="G290" i="1" a="1"/>
  <c r="G290" i="1" s="1"/>
  <c r="H289" i="1" a="1"/>
  <c r="H289" i="1" s="1"/>
  <c r="G289" i="1"/>
  <c r="G289" i="1" a="1"/>
  <c r="H288" i="1" a="1"/>
  <c r="H288" i="1" s="1"/>
  <c r="G288" i="1" a="1"/>
  <c r="G288" i="1" s="1"/>
  <c r="H287" i="1"/>
  <c r="H287" i="1" a="1"/>
  <c r="G287" i="1" a="1"/>
  <c r="G287" i="1" s="1"/>
  <c r="H286" i="1" a="1"/>
  <c r="H286" i="1" s="1"/>
  <c r="G286" i="1"/>
  <c r="G286" i="1" a="1"/>
  <c r="H285" i="1" a="1"/>
  <c r="H285" i="1" s="1"/>
  <c r="G285" i="1" a="1"/>
  <c r="G285" i="1" s="1"/>
  <c r="H284" i="1" a="1"/>
  <c r="H284" i="1" s="1"/>
  <c r="G284" i="1" a="1"/>
  <c r="G284" i="1" s="1"/>
  <c r="H283" i="1"/>
  <c r="H283" i="1" a="1"/>
  <c r="G283" i="1"/>
  <c r="G283" i="1" a="1"/>
  <c r="H282" i="1" a="1"/>
  <c r="H282" i="1" s="1"/>
  <c r="G282" i="1" a="1"/>
  <c r="G282" i="1" s="1"/>
  <c r="H281" i="1" a="1"/>
  <c r="H281" i="1" s="1"/>
  <c r="G281" i="1" a="1"/>
  <c r="G281" i="1" s="1"/>
  <c r="H280" i="1" a="1"/>
  <c r="H280" i="1" s="1"/>
  <c r="G280" i="1" a="1"/>
  <c r="G280" i="1" s="1"/>
  <c r="H279" i="1" a="1"/>
  <c r="H279" i="1" s="1"/>
  <c r="G279" i="1"/>
  <c r="G279" i="1" a="1"/>
  <c r="H278" i="1" a="1"/>
  <c r="H278" i="1" s="1"/>
  <c r="G278" i="1" a="1"/>
  <c r="G278" i="1" s="1"/>
  <c r="H277" i="1" a="1"/>
  <c r="H277" i="1" s="1"/>
  <c r="G277" i="1" a="1"/>
  <c r="G277" i="1" s="1"/>
  <c r="H276" i="1" a="1"/>
  <c r="H276" i="1" s="1"/>
  <c r="G276" i="1"/>
  <c r="G276" i="1" a="1"/>
  <c r="H275" i="1" a="1"/>
  <c r="H275" i="1" s="1"/>
  <c r="G275" i="1" a="1"/>
  <c r="G275" i="1" s="1"/>
  <c r="H274" i="1" a="1"/>
  <c r="H274" i="1" s="1"/>
  <c r="G274" i="1"/>
  <c r="G274" i="1" a="1"/>
  <c r="H273" i="1" a="1"/>
  <c r="H273" i="1" s="1"/>
  <c r="G273" i="1" a="1"/>
  <c r="G273" i="1" s="1"/>
  <c r="H272" i="1" a="1"/>
  <c r="H272" i="1" s="1"/>
  <c r="G272" i="1"/>
  <c r="G272" i="1" a="1"/>
  <c r="H271" i="1"/>
  <c r="H271" i="1" a="1"/>
  <c r="G271" i="1" a="1"/>
  <c r="G271" i="1" s="1"/>
  <c r="H270" i="1" a="1"/>
  <c r="H270" i="1" s="1"/>
  <c r="G270" i="1" a="1"/>
  <c r="G270" i="1" s="1"/>
  <c r="H269" i="1" a="1"/>
  <c r="H269" i="1" s="1"/>
  <c r="G269" i="1" a="1"/>
  <c r="G269" i="1" s="1"/>
  <c r="H268" i="1" a="1"/>
  <c r="H268" i="1" s="1"/>
  <c r="G268" i="1" a="1"/>
  <c r="G268" i="1" s="1"/>
  <c r="H267" i="1" a="1"/>
  <c r="H267" i="1" s="1"/>
  <c r="G267" i="1"/>
  <c r="G267" i="1" a="1"/>
  <c r="H266" i="1" a="1"/>
  <c r="H266" i="1" s="1"/>
  <c r="G266" i="1" a="1"/>
  <c r="G266" i="1" s="1"/>
  <c r="H265" i="1" a="1"/>
  <c r="H265" i="1" s="1"/>
  <c r="G265" i="1"/>
  <c r="G265" i="1" a="1"/>
  <c r="H264" i="1" a="1"/>
  <c r="H264" i="1" s="1"/>
  <c r="G264" i="1" a="1"/>
  <c r="G264" i="1" s="1"/>
  <c r="H263" i="1" a="1"/>
  <c r="H263" i="1" s="1"/>
  <c r="G263" i="1" a="1"/>
  <c r="G263" i="1" s="1"/>
  <c r="H262" i="1" a="1"/>
  <c r="H262" i="1" s="1"/>
  <c r="G262" i="1" a="1"/>
  <c r="G262" i="1" s="1"/>
  <c r="H261" i="1" a="1"/>
  <c r="H261" i="1" s="1"/>
  <c r="G261" i="1" a="1"/>
  <c r="G261" i="1" s="1"/>
  <c r="H260" i="1" a="1"/>
  <c r="H260" i="1" s="1"/>
  <c r="G260" i="1"/>
  <c r="G260" i="1" a="1"/>
  <c r="H259" i="1"/>
  <c r="H259" i="1" a="1"/>
  <c r="G259" i="1" a="1"/>
  <c r="G259" i="1" s="1"/>
  <c r="H258" i="1" a="1"/>
  <c r="H258" i="1" s="1"/>
  <c r="G258" i="1" a="1"/>
  <c r="G258" i="1" s="1"/>
  <c r="H257" i="1" a="1"/>
  <c r="H257" i="1" s="1"/>
  <c r="G257" i="1"/>
  <c r="G257" i="1" a="1"/>
  <c r="H256" i="1" a="1"/>
  <c r="H256" i="1" s="1"/>
  <c r="G256" i="1" a="1"/>
  <c r="G256" i="1" s="1"/>
  <c r="H255" i="1"/>
  <c r="H255" i="1" a="1"/>
  <c r="G255" i="1" a="1"/>
  <c r="G255" i="1" s="1"/>
  <c r="H254" i="1" a="1"/>
  <c r="H254" i="1" s="1"/>
  <c r="G254" i="1" a="1"/>
  <c r="G254" i="1" s="1"/>
  <c r="H253" i="1" a="1"/>
  <c r="H253" i="1" s="1"/>
  <c r="G253" i="1" a="1"/>
  <c r="G253" i="1" s="1"/>
  <c r="H252" i="1" a="1"/>
  <c r="H252" i="1" s="1"/>
  <c r="G252" i="1"/>
  <c r="G252" i="1" a="1"/>
  <c r="H251" i="1" a="1"/>
  <c r="H251" i="1" s="1"/>
  <c r="G251" i="1"/>
  <c r="G251" i="1" a="1"/>
  <c r="H250" i="1" a="1"/>
  <c r="H250" i="1" s="1"/>
  <c r="G250" i="1"/>
  <c r="G250" i="1" a="1"/>
  <c r="H249" i="1" a="1"/>
  <c r="H249" i="1" s="1"/>
  <c r="G249" i="1" a="1"/>
  <c r="G249" i="1" s="1"/>
  <c r="H248" i="1" a="1"/>
  <c r="H248" i="1" s="1"/>
  <c r="G248" i="1" a="1"/>
  <c r="G248" i="1" s="1"/>
  <c r="H247" i="1"/>
  <c r="H247" i="1" a="1"/>
  <c r="G247" i="1" a="1"/>
  <c r="G247" i="1" s="1"/>
  <c r="H246" i="1" a="1"/>
  <c r="H246" i="1" s="1"/>
  <c r="G246" i="1" a="1"/>
  <c r="G246" i="1" s="1"/>
  <c r="H245" i="1" a="1"/>
  <c r="H245" i="1" s="1"/>
  <c r="G245" i="1"/>
  <c r="G245" i="1" a="1"/>
  <c r="H244" i="1" a="1"/>
  <c r="H244" i="1" s="1"/>
  <c r="G244" i="1"/>
  <c r="G244" i="1" a="1"/>
  <c r="H243" i="1" a="1"/>
  <c r="H243" i="1" s="1"/>
  <c r="G243" i="1" a="1"/>
  <c r="G243" i="1" s="1"/>
  <c r="H242" i="1" a="1"/>
  <c r="H242" i="1" s="1"/>
  <c r="G242" i="1" a="1"/>
  <c r="G242" i="1" s="1"/>
  <c r="H241" i="1" a="1"/>
  <c r="H241" i="1" s="1"/>
  <c r="G241" i="1" a="1"/>
  <c r="G241" i="1" s="1"/>
  <c r="H240" i="1" a="1"/>
  <c r="H240" i="1" s="1"/>
  <c r="G240" i="1"/>
  <c r="G240" i="1" a="1"/>
  <c r="H239" i="1"/>
  <c r="H239" i="1" a="1"/>
  <c r="G239" i="1" a="1"/>
  <c r="G239" i="1" s="1"/>
  <c r="H238" i="1" a="1"/>
  <c r="H238" i="1" s="1"/>
  <c r="G238" i="1"/>
  <c r="G238" i="1" a="1"/>
  <c r="H237" i="1" a="1"/>
  <c r="H237" i="1" s="1"/>
  <c r="G237" i="1" a="1"/>
  <c r="G237" i="1" s="1"/>
  <c r="H236" i="1" a="1"/>
  <c r="H236" i="1" s="1"/>
  <c r="G236" i="1" a="1"/>
  <c r="G236" i="1" s="1"/>
  <c r="H235" i="1" a="1"/>
  <c r="H235" i="1" s="1"/>
  <c r="G235" i="1"/>
  <c r="G235" i="1" a="1"/>
  <c r="H234" i="1" a="1"/>
  <c r="H234" i="1" s="1"/>
  <c r="G234" i="1" a="1"/>
  <c r="G234" i="1" s="1"/>
  <c r="H233" i="1" a="1"/>
  <c r="H233" i="1" s="1"/>
  <c r="G233" i="1"/>
  <c r="G233" i="1" a="1"/>
  <c r="H232" i="1" a="1"/>
  <c r="H232" i="1" s="1"/>
  <c r="G232" i="1" a="1"/>
  <c r="G232" i="1" s="1"/>
  <c r="H231" i="1" a="1"/>
  <c r="H231" i="1" s="1"/>
  <c r="G231" i="1" a="1"/>
  <c r="G231" i="1" s="1"/>
  <c r="H230" i="1" a="1"/>
  <c r="H230" i="1" s="1"/>
  <c r="G230" i="1" a="1"/>
  <c r="G230" i="1" s="1"/>
  <c r="H229" i="1" a="1"/>
  <c r="H229" i="1" s="1"/>
  <c r="G229" i="1" a="1"/>
  <c r="G229" i="1" s="1"/>
  <c r="H228" i="1" a="1"/>
  <c r="H228" i="1" s="1"/>
  <c r="G228" i="1"/>
  <c r="G228" i="1" a="1"/>
  <c r="H227" i="1" a="1"/>
  <c r="H227" i="1" s="1"/>
  <c r="G227" i="1" a="1"/>
  <c r="G227" i="1" s="1"/>
  <c r="H226" i="1" a="1"/>
  <c r="H226" i="1" s="1"/>
  <c r="G226" i="1"/>
  <c r="G226" i="1" a="1"/>
  <c r="H225" i="1" a="1"/>
  <c r="H225" i="1" s="1"/>
  <c r="G225" i="1" a="1"/>
  <c r="G225" i="1" s="1"/>
  <c r="H224" i="1" a="1"/>
  <c r="H224" i="1" s="1"/>
  <c r="G224" i="1" a="1"/>
  <c r="G224" i="1" s="1"/>
  <c r="H223" i="1"/>
  <c r="H223" i="1" a="1"/>
  <c r="G223" i="1" a="1"/>
  <c r="G223" i="1" s="1"/>
  <c r="H222" i="1" a="1"/>
  <c r="H222" i="1" s="1"/>
  <c r="G222" i="1" a="1"/>
  <c r="G222" i="1" s="1"/>
  <c r="H221" i="1" a="1"/>
  <c r="H221" i="1" s="1"/>
  <c r="G221" i="1" a="1"/>
  <c r="G221" i="1" s="1"/>
  <c r="H220" i="1" a="1"/>
  <c r="H220" i="1" s="1"/>
  <c r="G220" i="1" a="1"/>
  <c r="G220" i="1" s="1"/>
  <c r="H219" i="1" a="1"/>
  <c r="H219" i="1" s="1"/>
  <c r="G219" i="1"/>
  <c r="G219" i="1" a="1"/>
  <c r="H218" i="1" a="1"/>
  <c r="H218" i="1" s="1"/>
  <c r="G218" i="1" a="1"/>
  <c r="G218" i="1" s="1"/>
  <c r="H217" i="1" a="1"/>
  <c r="H217" i="1" s="1"/>
  <c r="G217" i="1" a="1"/>
  <c r="G217" i="1" s="1"/>
  <c r="H216" i="1" a="1"/>
  <c r="H216" i="1" s="1"/>
  <c r="G216" i="1"/>
  <c r="G216" i="1" a="1"/>
  <c r="H215" i="1" a="1"/>
  <c r="H215" i="1" s="1"/>
  <c r="G215" i="1" a="1"/>
  <c r="G215" i="1" s="1"/>
  <c r="H214" i="1" a="1"/>
  <c r="H214" i="1" s="1"/>
  <c r="G214" i="1" a="1"/>
  <c r="G214" i="1" s="1"/>
  <c r="H213" i="1"/>
  <c r="H213" i="1" a="1"/>
  <c r="G213" i="1" a="1"/>
  <c r="G213" i="1" s="1"/>
  <c r="H212" i="1" a="1"/>
  <c r="H212" i="1" s="1"/>
  <c r="G212" i="1"/>
  <c r="G212" i="1" a="1"/>
  <c r="H211" i="1" a="1"/>
  <c r="H211" i="1" s="1"/>
  <c r="G211" i="1" a="1"/>
  <c r="G211" i="1" s="1"/>
  <c r="H210" i="1" a="1"/>
  <c r="H210" i="1" s="1"/>
  <c r="G210" i="1" a="1"/>
  <c r="G210" i="1" s="1"/>
  <c r="H209" i="1" a="1"/>
  <c r="H209" i="1" s="1"/>
  <c r="G209" i="1" a="1"/>
  <c r="G209" i="1" s="1"/>
  <c r="H208" i="1" a="1"/>
  <c r="H208" i="1" s="1"/>
  <c r="G208" i="1" a="1"/>
  <c r="G208" i="1" s="1"/>
  <c r="H207" i="1"/>
  <c r="H207" i="1" a="1"/>
  <c r="G207" i="1"/>
  <c r="G207" i="1" a="1"/>
  <c r="H206" i="1" a="1"/>
  <c r="H206" i="1" s="1"/>
  <c r="G206" i="1" a="1"/>
  <c r="G206" i="1" s="1"/>
  <c r="H205" i="1" a="1"/>
  <c r="H205" i="1" s="1"/>
  <c r="G205" i="1" a="1"/>
  <c r="G205" i="1" s="1"/>
  <c r="H204" i="1" a="1"/>
  <c r="H204" i="1" s="1"/>
  <c r="G204" i="1" a="1"/>
  <c r="G204" i="1" s="1"/>
  <c r="H203" i="1" a="1"/>
  <c r="H203" i="1" s="1"/>
  <c r="G203" i="1"/>
  <c r="G203" i="1" a="1"/>
  <c r="H202" i="1" a="1"/>
  <c r="H202" i="1" s="1"/>
  <c r="G202" i="1" a="1"/>
  <c r="G202" i="1" s="1"/>
  <c r="H201" i="1"/>
  <c r="H201" i="1" a="1"/>
  <c r="G201" i="1" a="1"/>
  <c r="G201" i="1" s="1"/>
  <c r="H200" i="1" a="1"/>
  <c r="H200" i="1" s="1"/>
  <c r="G200" i="1" a="1"/>
  <c r="G200" i="1" s="1"/>
  <c r="H199" i="1" a="1"/>
  <c r="H199" i="1" s="1"/>
  <c r="G199" i="1" a="1"/>
  <c r="G199" i="1" s="1"/>
  <c r="H198" i="1" a="1"/>
  <c r="H198" i="1" s="1"/>
  <c r="G198" i="1" a="1"/>
  <c r="G198" i="1" s="1"/>
  <c r="H197" i="1" a="1"/>
  <c r="H197" i="1" s="1"/>
  <c r="G197" i="1" a="1"/>
  <c r="G197" i="1" s="1"/>
  <c r="H196" i="1" a="1"/>
  <c r="H196" i="1" s="1"/>
  <c r="G196" i="1"/>
  <c r="G196" i="1" a="1"/>
  <c r="H195" i="1" a="1"/>
  <c r="H195" i="1" s="1"/>
  <c r="G195" i="1"/>
  <c r="G195" i="1" a="1"/>
  <c r="H194" i="1" a="1"/>
  <c r="H194" i="1" s="1"/>
  <c r="G194" i="1" a="1"/>
  <c r="G194" i="1" s="1"/>
  <c r="H193" i="1" a="1"/>
  <c r="H193" i="1" s="1"/>
  <c r="G193" i="1" a="1"/>
  <c r="G193" i="1" s="1"/>
  <c r="H192" i="1" a="1"/>
  <c r="H192" i="1" s="1"/>
  <c r="G192" i="1" a="1"/>
  <c r="G192" i="1" s="1"/>
  <c r="H191" i="1"/>
  <c r="H191" i="1" a="1"/>
  <c r="G191" i="1" a="1"/>
  <c r="G191" i="1" s="1"/>
  <c r="H190" i="1" a="1"/>
  <c r="H190" i="1" s="1"/>
  <c r="G190" i="1" a="1"/>
  <c r="G190" i="1" s="1"/>
  <c r="H189" i="1"/>
  <c r="H189" i="1" a="1"/>
  <c r="G189" i="1" a="1"/>
  <c r="G189" i="1" s="1"/>
  <c r="H188" i="1" a="1"/>
  <c r="H188" i="1" s="1"/>
  <c r="G188" i="1" a="1"/>
  <c r="G188" i="1" s="1"/>
  <c r="H187" i="1" a="1"/>
  <c r="H187" i="1" s="1"/>
  <c r="G187" i="1" a="1"/>
  <c r="G187" i="1" s="1"/>
  <c r="H186" i="1" a="1"/>
  <c r="H186" i="1" s="1"/>
  <c r="G186" i="1" a="1"/>
  <c r="G186" i="1" s="1"/>
  <c r="H185" i="1"/>
  <c r="H185" i="1" a="1"/>
  <c r="G185" i="1" a="1"/>
  <c r="G185" i="1" s="1"/>
  <c r="H184" i="1" a="1"/>
  <c r="H184" i="1" s="1"/>
  <c r="G184" i="1" a="1"/>
  <c r="G184" i="1" s="1"/>
  <c r="H183" i="1" a="1"/>
  <c r="H183" i="1" s="1"/>
  <c r="G183" i="1" a="1"/>
  <c r="G183" i="1" s="1"/>
  <c r="H182" i="1"/>
  <c r="H182" i="1" a="1"/>
  <c r="G182" i="1" a="1"/>
  <c r="G182" i="1" s="1"/>
  <c r="H181" i="1" a="1"/>
  <c r="H181" i="1" s="1"/>
  <c r="G181" i="1" a="1"/>
  <c r="G181" i="1" s="1"/>
  <c r="H180" i="1" a="1"/>
  <c r="H180" i="1" s="1"/>
  <c r="G180" i="1" a="1"/>
  <c r="G180" i="1" s="1"/>
  <c r="H179" i="1" a="1"/>
  <c r="H179" i="1" s="1"/>
  <c r="G179" i="1" a="1"/>
  <c r="G179" i="1" s="1"/>
  <c r="H178" i="1" a="1"/>
  <c r="H178" i="1" s="1"/>
  <c r="G178" i="1"/>
  <c r="G178" i="1" a="1"/>
  <c r="H177" i="1" a="1"/>
  <c r="H177" i="1" s="1"/>
  <c r="G177" i="1" a="1"/>
  <c r="G177" i="1" s="1"/>
  <c r="H176" i="1" a="1"/>
  <c r="H176" i="1" s="1"/>
  <c r="G176" i="1"/>
  <c r="G176" i="1" a="1"/>
  <c r="H175" i="1" a="1"/>
  <c r="H175" i="1" s="1"/>
  <c r="G175" i="1" a="1"/>
  <c r="G175" i="1" s="1"/>
  <c r="H174" i="1" a="1"/>
  <c r="H174" i="1" s="1"/>
  <c r="G174" i="1" a="1"/>
  <c r="G174" i="1" s="1"/>
  <c r="H173" i="1"/>
  <c r="H173" i="1" a="1"/>
  <c r="G173" i="1" a="1"/>
  <c r="G173" i="1" s="1"/>
  <c r="H172" i="1" a="1"/>
  <c r="H172" i="1" s="1"/>
  <c r="G172" i="1" a="1"/>
  <c r="G172" i="1" s="1"/>
  <c r="H171" i="1" a="1"/>
  <c r="H171" i="1" s="1"/>
  <c r="G171" i="1" a="1"/>
  <c r="G171" i="1" s="1"/>
  <c r="H170" i="1" a="1"/>
  <c r="H170" i="1" s="1"/>
  <c r="G170" i="1" a="1"/>
  <c r="G170" i="1" s="1"/>
  <c r="H169" i="1" a="1"/>
  <c r="H169" i="1" s="1"/>
  <c r="G169" i="1" a="1"/>
  <c r="G169" i="1" s="1"/>
  <c r="H168" i="1" a="1"/>
  <c r="H168" i="1" s="1"/>
  <c r="G168" i="1" a="1"/>
  <c r="G168" i="1" s="1"/>
  <c r="H167" i="1" a="1"/>
  <c r="H167" i="1" s="1"/>
  <c r="G167" i="1" a="1"/>
  <c r="G167" i="1" s="1"/>
  <c r="H166" i="1"/>
  <c r="H166" i="1" a="1"/>
  <c r="G166" i="1" a="1"/>
  <c r="G166" i="1" s="1"/>
  <c r="H165" i="1" a="1"/>
  <c r="H165" i="1" s="1"/>
  <c r="G165" i="1" a="1"/>
  <c r="G165" i="1" s="1"/>
  <c r="H164" i="1" a="1"/>
  <c r="H164" i="1" s="1"/>
  <c r="G164" i="1" a="1"/>
  <c r="G164" i="1" s="1"/>
  <c r="H163" i="1" a="1"/>
  <c r="H163" i="1" s="1"/>
  <c r="G163" i="1" a="1"/>
  <c r="G163" i="1" s="1"/>
  <c r="H162" i="1" a="1"/>
  <c r="H162" i="1" s="1"/>
  <c r="G162" i="1"/>
  <c r="G162" i="1" a="1"/>
  <c r="H161" i="1" a="1"/>
  <c r="H161" i="1" s="1"/>
  <c r="G161" i="1" a="1"/>
  <c r="G161" i="1" s="1"/>
  <c r="H160" i="1" a="1"/>
  <c r="H160" i="1" s="1"/>
  <c r="G160" i="1" a="1"/>
  <c r="G160" i="1" s="1"/>
  <c r="H159" i="1" a="1"/>
  <c r="H159" i="1" s="1"/>
  <c r="G159" i="1" a="1"/>
  <c r="G159" i="1" s="1"/>
  <c r="H158" i="1" a="1"/>
  <c r="H158" i="1" s="1"/>
  <c r="G158" i="1" a="1"/>
  <c r="G158" i="1" s="1"/>
  <c r="H157" i="1"/>
  <c r="H157" i="1" a="1"/>
  <c r="G157" i="1" a="1"/>
  <c r="G157" i="1" s="1"/>
  <c r="H156" i="1" a="1"/>
  <c r="H156" i="1" s="1"/>
  <c r="G156" i="1" a="1"/>
  <c r="G156" i="1" s="1"/>
  <c r="H155" i="1" a="1"/>
  <c r="H155" i="1" s="1"/>
  <c r="G155" i="1" a="1"/>
  <c r="G155" i="1" s="1"/>
  <c r="H154" i="1" a="1"/>
  <c r="H154" i="1" s="1"/>
  <c r="G154" i="1" a="1"/>
  <c r="G154" i="1" s="1"/>
  <c r="H153" i="1" a="1"/>
  <c r="H153" i="1" s="1"/>
  <c r="G153" i="1" a="1"/>
  <c r="G153" i="1" s="1"/>
  <c r="H152" i="1" a="1"/>
  <c r="H152" i="1" s="1"/>
  <c r="G152" i="1" a="1"/>
  <c r="G152" i="1" s="1"/>
  <c r="H151" i="1" a="1"/>
  <c r="H151" i="1" s="1"/>
  <c r="G151" i="1" a="1"/>
  <c r="G151" i="1" s="1"/>
  <c r="H150" i="1"/>
  <c r="H150" i="1" a="1"/>
  <c r="G150" i="1" a="1"/>
  <c r="G150" i="1" s="1"/>
  <c r="H149" i="1" a="1"/>
  <c r="H149" i="1" s="1"/>
  <c r="G149" i="1" a="1"/>
  <c r="G149" i="1" s="1"/>
  <c r="H148" i="1" a="1"/>
  <c r="H148" i="1" s="1"/>
  <c r="G148" i="1" a="1"/>
  <c r="G148" i="1" s="1"/>
  <c r="H147" i="1" a="1"/>
  <c r="H147" i="1" s="1"/>
  <c r="G147" i="1" a="1"/>
  <c r="G147" i="1" s="1"/>
  <c r="H146" i="1" a="1"/>
  <c r="H146" i="1" s="1"/>
  <c r="G146" i="1"/>
  <c r="G146" i="1" a="1"/>
  <c r="H145" i="1" a="1"/>
  <c r="H145" i="1" s="1"/>
  <c r="G145" i="1" a="1"/>
  <c r="G145" i="1" s="1"/>
  <c r="H144" i="1" a="1"/>
  <c r="H144" i="1" s="1"/>
  <c r="G144" i="1" a="1"/>
  <c r="G144" i="1" s="1"/>
  <c r="H143" i="1" a="1"/>
  <c r="H143" i="1" s="1"/>
  <c r="G143" i="1" a="1"/>
  <c r="G143" i="1" s="1"/>
  <c r="H142" i="1" a="1"/>
  <c r="H142" i="1" s="1"/>
  <c r="G142" i="1"/>
  <c r="G142" i="1" a="1"/>
  <c r="H141" i="1"/>
  <c r="H141" i="1" a="1"/>
  <c r="G141" i="1" a="1"/>
  <c r="G141" i="1" s="1"/>
  <c r="H140" i="1" a="1"/>
  <c r="H140" i="1" s="1"/>
  <c r="G140" i="1" a="1"/>
  <c r="G140" i="1" s="1"/>
  <c r="H139" i="1" a="1"/>
  <c r="H139" i="1" s="1"/>
  <c r="G139" i="1" a="1"/>
  <c r="G139" i="1" s="1"/>
  <c r="H138" i="1" a="1"/>
  <c r="H138" i="1" s="1"/>
  <c r="G138" i="1" a="1"/>
  <c r="G138" i="1" s="1"/>
  <c r="H137" i="1" a="1"/>
  <c r="H137" i="1" s="1"/>
  <c r="G137" i="1" a="1"/>
  <c r="G137" i="1" s="1"/>
  <c r="H136" i="1" a="1"/>
  <c r="H136" i="1" s="1"/>
  <c r="G136" i="1" a="1"/>
  <c r="G136" i="1" s="1"/>
  <c r="H135" i="1" a="1"/>
  <c r="H135" i="1" s="1"/>
  <c r="G135" i="1" a="1"/>
  <c r="G135" i="1" s="1"/>
  <c r="H134" i="1"/>
  <c r="H134" i="1" a="1"/>
  <c r="G134" i="1" a="1"/>
  <c r="G134" i="1" s="1"/>
  <c r="H133" i="1" a="1"/>
  <c r="H133" i="1" s="1"/>
  <c r="G133" i="1" a="1"/>
  <c r="G133" i="1" s="1"/>
  <c r="H132" i="1"/>
  <c r="H132" i="1" a="1"/>
  <c r="G132" i="1" a="1"/>
  <c r="G132" i="1" s="1"/>
  <c r="H131" i="1" a="1"/>
  <c r="H131" i="1" s="1"/>
  <c r="G131" i="1" a="1"/>
  <c r="G131" i="1" s="1"/>
  <c r="H130" i="1" a="1"/>
  <c r="H130" i="1" s="1"/>
  <c r="G130" i="1"/>
  <c r="G130" i="1" a="1"/>
  <c r="H129" i="1" a="1"/>
  <c r="H129" i="1" s="1"/>
  <c r="G129" i="1" a="1"/>
  <c r="G129" i="1" s="1"/>
  <c r="H128" i="1" a="1"/>
  <c r="H128" i="1" s="1"/>
  <c r="G128" i="1" a="1"/>
  <c r="G128" i="1" s="1"/>
  <c r="H127" i="1" a="1"/>
  <c r="H127" i="1" s="1"/>
  <c r="G127" i="1" a="1"/>
  <c r="G127" i="1" s="1"/>
  <c r="H126" i="1" a="1"/>
  <c r="H126" i="1" s="1"/>
  <c r="G126" i="1"/>
  <c r="G126" i="1" a="1"/>
  <c r="H125" i="1"/>
  <c r="H125" i="1" a="1"/>
  <c r="G125" i="1" a="1"/>
  <c r="G125" i="1" s="1"/>
  <c r="H124" i="1" a="1"/>
  <c r="H124" i="1" s="1"/>
  <c r="G124" i="1" a="1"/>
  <c r="G124" i="1" s="1"/>
  <c r="H123" i="1"/>
  <c r="H123" i="1" a="1"/>
  <c r="G123" i="1" a="1"/>
  <c r="G123" i="1" s="1"/>
  <c r="H122" i="1" a="1"/>
  <c r="H122" i="1" s="1"/>
  <c r="G122" i="1" a="1"/>
  <c r="G122" i="1" s="1"/>
  <c r="H121" i="1" a="1"/>
  <c r="H121" i="1" s="1"/>
  <c r="G121" i="1" a="1"/>
  <c r="G121" i="1" s="1"/>
  <c r="H120" i="1" a="1"/>
  <c r="H120" i="1" s="1"/>
  <c r="G120" i="1" a="1"/>
  <c r="G120" i="1" s="1"/>
  <c r="H119" i="1" a="1"/>
  <c r="H119" i="1" s="1"/>
  <c r="G119" i="1" a="1"/>
  <c r="G119" i="1" s="1"/>
  <c r="H118" i="1"/>
  <c r="H118" i="1" a="1"/>
  <c r="G118" i="1" a="1"/>
  <c r="G118" i="1" s="1"/>
  <c r="H117" i="1" a="1"/>
  <c r="H117" i="1" s="1"/>
  <c r="G117" i="1" a="1"/>
  <c r="G117" i="1" s="1"/>
  <c r="H116" i="1"/>
  <c r="H116" i="1" a="1"/>
  <c r="G116" i="1" a="1"/>
  <c r="G116" i="1" s="1"/>
  <c r="H115" i="1" a="1"/>
  <c r="H115" i="1" s="1"/>
  <c r="G115" i="1" a="1"/>
  <c r="G115" i="1" s="1"/>
  <c r="H114" i="1" a="1"/>
  <c r="H114" i="1" s="1"/>
  <c r="G114" i="1"/>
  <c r="G114" i="1" a="1"/>
  <c r="H113" i="1" a="1"/>
  <c r="H113" i="1" s="1"/>
  <c r="G113" i="1" a="1"/>
  <c r="G113" i="1" s="1"/>
  <c r="H112" i="1" a="1"/>
  <c r="H112" i="1" s="1"/>
  <c r="G112" i="1" a="1"/>
  <c r="G112" i="1" s="1"/>
  <c r="H111" i="1" a="1"/>
  <c r="H111" i="1" s="1"/>
  <c r="G111" i="1" a="1"/>
  <c r="G111" i="1" s="1"/>
  <c r="H110" i="1" a="1"/>
  <c r="H110" i="1" s="1"/>
  <c r="G110" i="1" a="1"/>
  <c r="G110" i="1" s="1"/>
  <c r="H109" i="1"/>
  <c r="H109" i="1" a="1"/>
  <c r="G109" i="1" a="1"/>
  <c r="G109" i="1" s="1"/>
  <c r="H108" i="1" a="1"/>
  <c r="H108" i="1" s="1"/>
  <c r="G108" i="1" a="1"/>
  <c r="G108" i="1" s="1"/>
  <c r="H107" i="1"/>
  <c r="H107" i="1" a="1"/>
  <c r="G107" i="1" a="1"/>
  <c r="G107" i="1" s="1"/>
  <c r="H106" i="1" a="1"/>
  <c r="H106" i="1" s="1"/>
  <c r="G106" i="1" a="1"/>
  <c r="G106" i="1" s="1"/>
  <c r="H105" i="1" a="1"/>
  <c r="H105" i="1" s="1"/>
  <c r="G105" i="1" a="1"/>
  <c r="G105" i="1" s="1"/>
  <c r="H104" i="1" a="1"/>
  <c r="H104" i="1" s="1"/>
  <c r="G104" i="1" a="1"/>
  <c r="G104" i="1" s="1"/>
  <c r="H103" i="1" a="1"/>
  <c r="H103" i="1" s="1"/>
  <c r="G103" i="1" a="1"/>
  <c r="G103" i="1" s="1"/>
  <c r="H102" i="1"/>
  <c r="H102" i="1" a="1"/>
  <c r="G102" i="1" a="1"/>
  <c r="G102" i="1" s="1"/>
  <c r="H101" i="1" a="1"/>
  <c r="H101" i="1" s="1"/>
  <c r="G101" i="1" a="1"/>
  <c r="G101" i="1" s="1"/>
  <c r="H100" i="1" a="1"/>
  <c r="H100" i="1" s="1"/>
  <c r="G100" i="1" a="1"/>
  <c r="G100" i="1" s="1"/>
  <c r="H99" i="1" a="1"/>
  <c r="H99" i="1" s="1"/>
  <c r="G99" i="1" a="1"/>
  <c r="G99" i="1" s="1"/>
  <c r="H98" i="1" a="1"/>
  <c r="H98" i="1" s="1"/>
  <c r="G98" i="1"/>
  <c r="G98" i="1" a="1"/>
  <c r="H97" i="1" a="1"/>
  <c r="H97" i="1" s="1"/>
  <c r="G97" i="1" a="1"/>
  <c r="G97" i="1" s="1"/>
  <c r="H96" i="1" a="1"/>
  <c r="H96" i="1" s="1"/>
  <c r="G96" i="1" a="1"/>
  <c r="G96" i="1" s="1"/>
  <c r="H95" i="1" a="1"/>
  <c r="H95" i="1" s="1"/>
  <c r="G95" i="1" a="1"/>
  <c r="G95" i="1" s="1"/>
  <c r="H94" i="1" a="1"/>
  <c r="H94" i="1" s="1"/>
  <c r="G94" i="1" a="1"/>
  <c r="G94" i="1" s="1"/>
  <c r="H93" i="1"/>
  <c r="H93" i="1" a="1"/>
  <c r="G93" i="1" a="1"/>
  <c r="G93" i="1" s="1"/>
  <c r="H92" i="1" a="1"/>
  <c r="H92" i="1" s="1"/>
  <c r="G92" i="1" a="1"/>
  <c r="G92" i="1" s="1"/>
  <c r="H91" i="1" a="1"/>
  <c r="H91" i="1" s="1"/>
  <c r="G91" i="1" a="1"/>
  <c r="G91" i="1" s="1"/>
  <c r="H90" i="1" a="1"/>
  <c r="H90" i="1" s="1"/>
  <c r="G90" i="1" a="1"/>
  <c r="G90" i="1" s="1"/>
  <c r="H89" i="1" a="1"/>
  <c r="H89" i="1" s="1"/>
  <c r="G89" i="1" a="1"/>
  <c r="G89" i="1" s="1"/>
  <c r="H88" i="1" a="1"/>
  <c r="H88" i="1" s="1"/>
  <c r="G88" i="1" a="1"/>
  <c r="G88" i="1" s="1"/>
  <c r="H87" i="1" a="1"/>
  <c r="H87" i="1" s="1"/>
  <c r="G87" i="1" a="1"/>
  <c r="G87" i="1" s="1"/>
  <c r="H86" i="1"/>
  <c r="H86" i="1" a="1"/>
  <c r="G86" i="1" a="1"/>
  <c r="G86" i="1" s="1"/>
  <c r="H85" i="1" a="1"/>
  <c r="H85" i="1" s="1"/>
  <c r="G85" i="1" a="1"/>
  <c r="G85" i="1" s="1"/>
  <c r="H84" i="1" a="1"/>
  <c r="H84" i="1" s="1"/>
  <c r="G84" i="1" a="1"/>
  <c r="G84" i="1" s="1"/>
  <c r="H83" i="1" a="1"/>
  <c r="H83" i="1" s="1"/>
  <c r="G83" i="1" a="1"/>
  <c r="G83" i="1" s="1"/>
  <c r="H82" i="1"/>
  <c r="H82" i="1" a="1"/>
  <c r="G82" i="1" a="1"/>
  <c r="G82" i="1" s="1"/>
  <c r="H81" i="1" a="1"/>
  <c r="H81" i="1" s="1"/>
  <c r="G81" i="1" a="1"/>
  <c r="G81" i="1" s="1"/>
  <c r="H80" i="1" a="1"/>
  <c r="H80" i="1" s="1"/>
  <c r="G80" i="1" a="1"/>
  <c r="G80" i="1" s="1"/>
  <c r="H79" i="1" a="1"/>
  <c r="H79" i="1" s="1"/>
  <c r="G79" i="1" a="1"/>
  <c r="G79" i="1" s="1"/>
  <c r="H78" i="1" a="1"/>
  <c r="H78" i="1" s="1"/>
  <c r="G78" i="1" a="1"/>
  <c r="G78" i="1" s="1"/>
  <c r="H77" i="1" a="1"/>
  <c r="H77" i="1" s="1"/>
  <c r="G77" i="1" a="1"/>
  <c r="G77" i="1" s="1"/>
  <c r="H76" i="1" a="1"/>
  <c r="H76" i="1" s="1"/>
  <c r="G76" i="1" a="1"/>
  <c r="G76" i="1" s="1"/>
  <c r="H75" i="1" a="1"/>
  <c r="H75" i="1" s="1"/>
  <c r="G75" i="1" a="1"/>
  <c r="G75" i="1" s="1"/>
  <c r="H74" i="1" a="1"/>
  <c r="H74" i="1" s="1"/>
  <c r="G74" i="1" a="1"/>
  <c r="G74" i="1" s="1"/>
  <c r="H73" i="1" a="1"/>
  <c r="H73" i="1" s="1"/>
  <c r="G73" i="1"/>
  <c r="G73" i="1" a="1"/>
  <c r="H72" i="1" a="1"/>
  <c r="H72" i="1" s="1"/>
  <c r="G72" i="1" a="1"/>
  <c r="G72" i="1" s="1"/>
  <c r="H71" i="1" a="1"/>
  <c r="H71" i="1" s="1"/>
  <c r="G71" i="1" a="1"/>
  <c r="G71" i="1" s="1"/>
  <c r="H70" i="1"/>
  <c r="H70" i="1" a="1"/>
  <c r="G70" i="1" a="1"/>
  <c r="G70" i="1" s="1"/>
  <c r="H69" i="1" a="1"/>
  <c r="H69" i="1" s="1"/>
  <c r="G69" i="1" a="1"/>
  <c r="G69" i="1" s="1"/>
  <c r="H68" i="1" a="1"/>
  <c r="H68" i="1" s="1"/>
  <c r="G68" i="1" a="1"/>
  <c r="G68" i="1" s="1"/>
  <c r="H67" i="1" a="1"/>
  <c r="H67" i="1" s="1"/>
  <c r="G67" i="1" a="1"/>
  <c r="G67" i="1" s="1"/>
  <c r="H66" i="1" a="1"/>
  <c r="H66" i="1" s="1"/>
  <c r="G66" i="1" a="1"/>
  <c r="G66" i="1" s="1"/>
  <c r="H65" i="1" a="1"/>
  <c r="H65" i="1" s="1"/>
  <c r="G65" i="1"/>
  <c r="G65" i="1" a="1"/>
  <c r="H64" i="1" a="1"/>
  <c r="H64" i="1" s="1"/>
  <c r="G64" i="1" a="1"/>
  <c r="G64" i="1" s="1"/>
  <c r="H63" i="1" a="1"/>
  <c r="H63" i="1" s="1"/>
  <c r="G63" i="1" a="1"/>
  <c r="G63" i="1" s="1"/>
  <c r="H62" i="1"/>
  <c r="H62" i="1" a="1"/>
  <c r="G62" i="1" a="1"/>
  <c r="G62" i="1" s="1"/>
  <c r="H61" i="1" a="1"/>
  <c r="H61" i="1" s="1"/>
  <c r="G61" i="1" a="1"/>
  <c r="G61" i="1" s="1"/>
  <c r="H60" i="1" a="1"/>
  <c r="H60" i="1" s="1"/>
  <c r="G60" i="1" a="1"/>
  <c r="G60" i="1" s="1"/>
  <c r="H59" i="1" a="1"/>
  <c r="H59" i="1" s="1"/>
  <c r="G59" i="1" a="1"/>
  <c r="G59" i="1" s="1"/>
  <c r="H58" i="1" a="1"/>
  <c r="H58" i="1" s="1"/>
  <c r="G58" i="1" a="1"/>
  <c r="G58" i="1" s="1"/>
  <c r="H57" i="1" a="1"/>
  <c r="H57" i="1" s="1"/>
  <c r="G57" i="1"/>
  <c r="G57" i="1" a="1"/>
  <c r="H56" i="1" a="1"/>
  <c r="H56" i="1" s="1"/>
  <c r="G56" i="1" a="1"/>
  <c r="G56" i="1" s="1"/>
  <c r="H55" i="1" a="1"/>
  <c r="H55" i="1" s="1"/>
  <c r="G55" i="1" a="1"/>
  <c r="G55" i="1" s="1"/>
  <c r="H54" i="1"/>
  <c r="H54" i="1" a="1"/>
  <c r="G54" i="1" a="1"/>
  <c r="G54" i="1" s="1"/>
  <c r="H53" i="1" a="1"/>
  <c r="H53" i="1" s="1"/>
  <c r="G53" i="1" a="1"/>
  <c r="G53" i="1" s="1"/>
  <c r="H52" i="1" a="1"/>
  <c r="H52" i="1" s="1"/>
  <c r="G52" i="1" a="1"/>
  <c r="G52" i="1" s="1"/>
  <c r="H51" i="1" a="1"/>
  <c r="H51" i="1" s="1"/>
  <c r="G51" i="1" a="1"/>
  <c r="G51" i="1" s="1"/>
  <c r="H50" i="1" a="1"/>
  <c r="H50" i="1" s="1"/>
  <c r="G50" i="1" a="1"/>
  <c r="G50" i="1" s="1"/>
  <c r="H49" i="1" a="1"/>
  <c r="H49" i="1" s="1"/>
  <c r="G49" i="1"/>
  <c r="G49" i="1" a="1"/>
  <c r="H48" i="1" a="1"/>
  <c r="H48" i="1" s="1"/>
  <c r="G48" i="1" a="1"/>
  <c r="G48" i="1" s="1"/>
  <c r="H47" i="1" a="1"/>
  <c r="H47" i="1" s="1"/>
  <c r="G47" i="1" a="1"/>
  <c r="G47" i="1" s="1"/>
  <c r="H46" i="1"/>
  <c r="H46" i="1" a="1"/>
  <c r="G46" i="1" a="1"/>
  <c r="G46" i="1" s="1"/>
  <c r="H45" i="1" a="1"/>
  <c r="H45" i="1" s="1"/>
  <c r="G45" i="1" a="1"/>
  <c r="G45" i="1" s="1"/>
  <c r="H44" i="1" a="1"/>
  <c r="H44" i="1" s="1"/>
  <c r="G44" i="1" a="1"/>
  <c r="G44" i="1" s="1"/>
  <c r="H43" i="1" a="1"/>
  <c r="H43" i="1" s="1"/>
  <c r="G43" i="1" a="1"/>
  <c r="G43" i="1" s="1"/>
  <c r="H42" i="1" a="1"/>
  <c r="H42" i="1" s="1"/>
  <c r="G42" i="1" a="1"/>
  <c r="G42" i="1" s="1"/>
  <c r="H41" i="1" a="1"/>
  <c r="H41" i="1" s="1"/>
  <c r="G41" i="1"/>
  <c r="G41" i="1" a="1"/>
  <c r="H40" i="1" a="1"/>
  <c r="H40" i="1" s="1"/>
  <c r="G40" i="1" a="1"/>
  <c r="G40" i="1" s="1"/>
  <c r="H39" i="1" a="1"/>
  <c r="H39" i="1" s="1"/>
  <c r="G39" i="1" a="1"/>
  <c r="G39" i="1" s="1"/>
  <c r="H38" i="1" a="1"/>
  <c r="H38" i="1" s="1"/>
  <c r="G38" i="1" a="1"/>
  <c r="G38" i="1" s="1"/>
  <c r="H37" i="1" a="1"/>
  <c r="H37" i="1" s="1"/>
  <c r="G37" i="1" a="1"/>
  <c r="G37" i="1" s="1"/>
  <c r="H36" i="1" a="1"/>
  <c r="H36" i="1" s="1"/>
  <c r="G36" i="1" a="1"/>
  <c r="G36" i="1" s="1"/>
  <c r="H35" i="1" a="1"/>
  <c r="H35" i="1" s="1"/>
  <c r="G35" i="1" a="1"/>
  <c r="G35" i="1" s="1"/>
  <c r="H34" i="1" a="1"/>
  <c r="H34" i="1" s="1"/>
  <c r="G34" i="1" a="1"/>
  <c r="G34" i="1" s="1"/>
  <c r="H33" i="1" a="1"/>
  <c r="H33" i="1" s="1"/>
  <c r="G33" i="1" a="1"/>
  <c r="G33" i="1" s="1"/>
  <c r="H32" i="1" a="1"/>
  <c r="H32" i="1" s="1"/>
  <c r="G32" i="1" a="1"/>
  <c r="G32" i="1" s="1"/>
  <c r="H31" i="1" a="1"/>
  <c r="H31" i="1" s="1"/>
  <c r="G31" i="1" a="1"/>
  <c r="G31" i="1" s="1"/>
  <c r="H30" i="1" a="1"/>
  <c r="H30" i="1" s="1"/>
  <c r="G30" i="1" a="1"/>
  <c r="G30" i="1" s="1"/>
  <c r="H29" i="1" a="1"/>
  <c r="H29" i="1" s="1"/>
  <c r="G29" i="1" a="1"/>
  <c r="G29" i="1" s="1"/>
  <c r="H28" i="1" a="1"/>
  <c r="H28" i="1" s="1"/>
  <c r="G28" i="1" a="1"/>
  <c r="G28" i="1" s="1"/>
  <c r="H27" i="1" a="1"/>
  <c r="H27" i="1" s="1"/>
  <c r="G27" i="1" a="1"/>
  <c r="G27" i="1" s="1"/>
  <c r="H26" i="1" a="1"/>
  <c r="H26" i="1" s="1"/>
  <c r="G26" i="1" a="1"/>
  <c r="G26" i="1" s="1"/>
  <c r="H25" i="1" a="1"/>
  <c r="H25" i="1" s="1"/>
  <c r="G25" i="1" a="1"/>
  <c r="G25" i="1" s="1"/>
  <c r="H24" i="1" a="1"/>
  <c r="H24" i="1" s="1"/>
  <c r="G24" i="1" a="1"/>
  <c r="G24" i="1" s="1"/>
  <c r="H23" i="1" a="1"/>
  <c r="H23" i="1" s="1"/>
  <c r="G23" i="1" a="1"/>
  <c r="G23" i="1" s="1"/>
  <c r="H22" i="1" a="1"/>
  <c r="H22" i="1" s="1"/>
  <c r="G22" i="1" a="1"/>
  <c r="G22" i="1" s="1"/>
  <c r="H21" i="1" a="1"/>
  <c r="H21" i="1" s="1"/>
  <c r="G21" i="1" a="1"/>
  <c r="G21" i="1" s="1"/>
  <c r="H20" i="1" a="1"/>
  <c r="H20" i="1" s="1"/>
  <c r="G20" i="1" a="1"/>
  <c r="G20" i="1" s="1"/>
  <c r="H19" i="1" a="1"/>
  <c r="H19" i="1" s="1"/>
  <c r="G19" i="1" a="1"/>
  <c r="G19" i="1" s="1"/>
  <c r="H18" i="1" a="1"/>
  <c r="H18" i="1" s="1"/>
  <c r="G18" i="1" a="1"/>
  <c r="G18" i="1" s="1"/>
  <c r="H17" i="1" a="1"/>
  <c r="H17" i="1" s="1"/>
  <c r="G17" i="1" a="1"/>
  <c r="G17" i="1" s="1"/>
  <c r="H16" i="1" a="1"/>
  <c r="H16" i="1" s="1"/>
  <c r="G16" i="1" a="1"/>
  <c r="G16" i="1" s="1"/>
  <c r="H15" i="1" a="1"/>
  <c r="H15" i="1" s="1"/>
  <c r="G15" i="1" a="1"/>
  <c r="G15" i="1" s="1"/>
  <c r="H14" i="1" a="1"/>
  <c r="H14" i="1" s="1"/>
  <c r="G14" i="1" a="1"/>
  <c r="G14" i="1" s="1"/>
  <c r="H13" i="1" a="1"/>
  <c r="H13" i="1" s="1"/>
  <c r="G13" i="1" a="1"/>
  <c r="G13" i="1" s="1"/>
  <c r="H12" i="1" a="1"/>
  <c r="H12" i="1" s="1"/>
  <c r="G12" i="1" a="1"/>
  <c r="G12" i="1" s="1"/>
  <c r="H11" i="1" a="1"/>
  <c r="H11" i="1" s="1"/>
  <c r="G11" i="1" a="1"/>
  <c r="G11" i="1" s="1"/>
  <c r="H10" i="1" a="1"/>
  <c r="H10" i="1" s="1"/>
  <c r="G10" i="1" a="1"/>
  <c r="G10" i="1" s="1"/>
  <c r="H9" i="1" a="1"/>
  <c r="H9" i="1" s="1"/>
  <c r="G9" i="1" a="1"/>
  <c r="G9" i="1" s="1"/>
  <c r="H8" i="1" a="1"/>
  <c r="H8" i="1" s="1"/>
  <c r="G8" i="1" a="1"/>
  <c r="G8" i="1" s="1"/>
  <c r="H7" i="1" a="1"/>
  <c r="H7" i="1" s="1"/>
  <c r="G7" i="1" a="1"/>
  <c r="G7" i="1" s="1"/>
  <c r="H6" i="1" a="1"/>
  <c r="H6" i="1" s="1"/>
  <c r="G6" i="1" a="1"/>
  <c r="G6" i="1" s="1"/>
  <c r="H5" i="1" a="1"/>
  <c r="H5" i="1" s="1"/>
  <c r="G5" i="1" a="1"/>
  <c r="G5" i="1" s="1"/>
  <c r="H4" i="1" a="1"/>
  <c r="H4" i="1" s="1"/>
  <c r="G4" i="1" a="1"/>
  <c r="G4" i="1" s="1"/>
  <c r="H3" i="1" a="1"/>
  <c r="H3" i="1" s="1"/>
  <c r="G3" i="1" a="1"/>
  <c r="G3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<sst xmlns="http://schemas.openxmlformats.org/spreadsheetml/2006/main" count="6069" uniqueCount="1014">
  <si>
    <t>FG Material Code</t>
  </si>
  <si>
    <t>FG Item Description</t>
  </si>
  <si>
    <t>SFG1 Material Code</t>
  </si>
  <si>
    <t>SFG Item Description</t>
  </si>
  <si>
    <t>Category</t>
  </si>
  <si>
    <t>Color</t>
  </si>
  <si>
    <t>Margin</t>
  </si>
  <si>
    <t>Form</t>
  </si>
  <si>
    <t>Diameter</t>
  </si>
  <si>
    <t>Changeover</t>
  </si>
  <si>
    <t>FG Weight</t>
  </si>
  <si>
    <t>Batch FM1</t>
  </si>
  <si>
    <t>Batch FM2</t>
  </si>
  <si>
    <t>Batch FM3</t>
  </si>
  <si>
    <t>Batch PMX</t>
  </si>
  <si>
    <t>Label 1</t>
  </si>
  <si>
    <t>Label 2</t>
  </si>
  <si>
    <t>Thread</t>
  </si>
  <si>
    <t>Sacks Code</t>
  </si>
  <si>
    <t>Sacks Desc</t>
  </si>
  <si>
    <t>Tags Code</t>
  </si>
  <si>
    <t>Tags Desc</t>
  </si>
  <si>
    <t>L1 Rate</t>
  </si>
  <si>
    <t>L2 Rate</t>
  </si>
  <si>
    <t>L3 Rate</t>
  </si>
  <si>
    <t>L4 Rate</t>
  </si>
  <si>
    <t>L5 Rate</t>
  </si>
  <si>
    <t>L6 Rate</t>
  </si>
  <si>
    <t>L7 Rate</t>
  </si>
  <si>
    <t>Civic Hog Growex, Pellet 50kg</t>
  </si>
  <si>
    <t>SFG Civic Hog Growex</t>
  </si>
  <si>
    <t>Swine</t>
  </si>
  <si>
    <t>Brown</t>
  </si>
  <si>
    <t>P</t>
  </si>
  <si>
    <t/>
  </si>
  <si>
    <t>Civic Hog Finex, Pellet 50kg</t>
  </si>
  <si>
    <t>SFG Civic Hog Finex</t>
  </si>
  <si>
    <t>Lakas Gatas Pellet 50kg</t>
  </si>
  <si>
    <t>SFG Lakas Gatas (P)</t>
  </si>
  <si>
    <t>White</t>
  </si>
  <si>
    <t>Empty Sack - Lakas Gatas Pellet, 50kg</t>
  </si>
  <si>
    <t>Tag - Lakas Gatas Pellet</t>
  </si>
  <si>
    <t>Classic Hog Growex, Pellet 50kg</t>
  </si>
  <si>
    <t>SFG for Classic Hog Growex</t>
  </si>
  <si>
    <t>Classic Hog Growex, 50kg white PP bag</t>
  </si>
  <si>
    <t>Tag - Classic Growex, Pellet 50kg</t>
  </si>
  <si>
    <t>Classic Hog Startex, Mini Pellet 50kg</t>
  </si>
  <si>
    <t>SFG Classic Hog Startex, MP 50kg</t>
  </si>
  <si>
    <t>MP</t>
  </si>
  <si>
    <t>Classic Hog Startex, 50kg white PP bag (NEW)</t>
  </si>
  <si>
    <t>Tag - Classic Startex, Mini-pellet</t>
  </si>
  <si>
    <t>Elite Hog Pre Startex 1 M-Pellet 25kg</t>
  </si>
  <si>
    <t>SFG Elite Hog Pre Startex 1 MP 25kg</t>
  </si>
  <si>
    <t>Elite Hog Pre Startex 2 M-Pellet 25kg</t>
  </si>
  <si>
    <t>SFG Elite Hog Pre Startex 2 MP 25kg</t>
  </si>
  <si>
    <t>Supremecon Hog Growmix Concentrate 50kg</t>
  </si>
  <si>
    <t>SFG Supremecon Mash</t>
  </si>
  <si>
    <t>M</t>
  </si>
  <si>
    <t>Packaging - Hog Supremecon Growmix / Gestamix / Lactamix</t>
  </si>
  <si>
    <t>Tags - Supremecon Hog Protein Concentrate Growmix Mash, 25kg</t>
  </si>
  <si>
    <t>Poultry Express Chick Boostex Cr 50kg</t>
  </si>
  <si>
    <t>SFG PE CHICK BOOSTEX 50kG</t>
  </si>
  <si>
    <t>Poultry</t>
  </si>
  <si>
    <t>Yellow</t>
  </si>
  <si>
    <t>C-S</t>
  </si>
  <si>
    <t>v2 - Poultry Express Chick Boostex, 50 kg</t>
  </si>
  <si>
    <t>Tag P/E Chick Boostex Crumble</t>
  </si>
  <si>
    <t>Poultry Express Broiler Startex Cr 50kg</t>
  </si>
  <si>
    <t>SFG PS Broiler Startex Crumble 50kg</t>
  </si>
  <si>
    <t>v2 - Poultry Express Broiler Startex, 50 kg</t>
  </si>
  <si>
    <t>Tag - P/E Broiler Startex Crumble</t>
  </si>
  <si>
    <t>Ave Max Duck Layex 50 kg</t>
  </si>
  <si>
    <t>SFG Duck Layex</t>
  </si>
  <si>
    <t>v2 - Ave Max Duck Layex, 50 kg</t>
  </si>
  <si>
    <t>Tag - Ave Max Duck Layex Pellet</t>
  </si>
  <si>
    <t>Poultry Express Broiler Finex Cr 50kg</t>
  </si>
  <si>
    <t>SFG Broiler Finex Crumble 50KG - W</t>
  </si>
  <si>
    <t>C-L</t>
  </si>
  <si>
    <t>v2 - Poultry Express Broiler Finex, 50 kg</t>
  </si>
  <si>
    <t>Tag - P/E Broiler Finex Crumble</t>
  </si>
  <si>
    <t>Basic Broiler Finex Crumble, 50Kg</t>
  </si>
  <si>
    <t>SFG Basic Broiler Finex Crumble 50kg.</t>
  </si>
  <si>
    <t>v2 - Basic Broiler Finex, 50Kg</t>
  </si>
  <si>
    <t>Tag - Basic Broiler Finex Crumble</t>
  </si>
  <si>
    <t>Salto - Chick Booster Crumble 50 kg</t>
  </si>
  <si>
    <t>SFG Salto Chick Booster, 50 kg</t>
  </si>
  <si>
    <t>Gamefowl</t>
  </si>
  <si>
    <t>Empty Sacks - Salto Chick Booster, 50kg</t>
  </si>
  <si>
    <t>Tag Salto Chick Booster, 50 kg</t>
  </si>
  <si>
    <t>Poultry Solutions Chick Booster 50kg.</t>
  </si>
  <si>
    <t>SFG Poultry Solutions Chick Booster</t>
  </si>
  <si>
    <t>1116 - CHK BSTR</t>
  </si>
  <si>
    <t>Blue</t>
  </si>
  <si>
    <t>Sack Poultry Solutions Chick Booster</t>
  </si>
  <si>
    <t>Tag - Poultry Solution Chick Booster Crumble</t>
  </si>
  <si>
    <t>Poultry Sol Chick Starter 50kg_BFC</t>
  </si>
  <si>
    <t>SFG Poultry Solutions Chick Starter</t>
  </si>
  <si>
    <t>1122 - CHK STR</t>
  </si>
  <si>
    <t>v2 - Poultry Solutions Chick Starter, 50</t>
  </si>
  <si>
    <t>Tag - Poultry Solutions Chick Starter Crumble</t>
  </si>
  <si>
    <t>Poultry Solutions Layer 1 50kg.</t>
  </si>
  <si>
    <t>SFG Poultry Solutions Layer 1</t>
  </si>
  <si>
    <t>v2 - Poultry Solutions Layer 1, 50kg</t>
  </si>
  <si>
    <t>Tag - Poultry Solutions Chicken Layer 1 Crumble</t>
  </si>
  <si>
    <t>Chick Growex 1- Poultry Solution, 50kg</t>
  </si>
  <si>
    <t>SFG Chick Growex 1- Poultry Solution</t>
  </si>
  <si>
    <t>C-M</t>
  </si>
  <si>
    <t>311 CG 1</t>
  </si>
  <si>
    <t>Sack Poultry Sol Chick Growex 1, 50kg</t>
  </si>
  <si>
    <t>Tag - Poultry Solutions Chick Grower 1 Crumble</t>
  </si>
  <si>
    <t>Chick Growex 2 - Poultry Solution, 50kg</t>
  </si>
  <si>
    <t>SFG Chick Growex 2 - Poultry Solution</t>
  </si>
  <si>
    <t>312 CG 2</t>
  </si>
  <si>
    <t>Red</t>
  </si>
  <si>
    <t>Tag Poultry Solution Chick Grower II</t>
  </si>
  <si>
    <t>Salto - Chick Booster crumble 25kg</t>
  </si>
  <si>
    <t>SFG Salto - Chick Booster crumble 25kg</t>
  </si>
  <si>
    <t>Salto Chick Booster Cr 1kg (Bundle)</t>
  </si>
  <si>
    <t>Roll Form Salto Chick Booster 1kg</t>
  </si>
  <si>
    <t>Tag - Salto Bundle Pack</t>
  </si>
  <si>
    <t>Salto Stag Developer P 1kg (Bundle)</t>
  </si>
  <si>
    <t>SFG Salto Stag Developer, Ready Mix 50kg</t>
  </si>
  <si>
    <t>MX</t>
  </si>
  <si>
    <t>Empty Pack - Salto Stag Developer Mini Pellet 1kg OPP</t>
  </si>
  <si>
    <t>Salto Baby Stag Dev Cr 1kg (Bundle)</t>
  </si>
  <si>
    <t>SFG Salto Baby Stag with Grits 50kg( SFGPMX -non-com)</t>
  </si>
  <si>
    <t>076</t>
  </si>
  <si>
    <t>Lakas Mama Breeder,  Pellet 50kg</t>
  </si>
  <si>
    <t>SFG Lakas Mama Breeder</t>
  </si>
  <si>
    <t>Empty Sack - Lakas Mama Breeder Gestation Pellet, 50 kg</t>
  </si>
  <si>
    <t>Tag - Lakas Mama Breeder Gestation Pellet</t>
  </si>
  <si>
    <t>Salto Baby Stag Developer crumble 25kg</t>
  </si>
  <si>
    <t>SFG Salto Baby Stag Dev Cr 25kg</t>
  </si>
  <si>
    <t>Gallimax 2 Developer Crumble, 50kg</t>
  </si>
  <si>
    <t>SFG Gallimax 2 Developer Crumble</t>
  </si>
  <si>
    <t>Empty Sack - Gallimax 2 Stag Developer Pellet 50 kg</t>
  </si>
  <si>
    <t>Tag - Gallimax 2 Stag Developer Crumble</t>
  </si>
  <si>
    <t>Gallimax 3 Maintenance Red Pellet, 50kg</t>
  </si>
  <si>
    <t>SFG Gallimax 3 Maintenance Pellet</t>
  </si>
  <si>
    <t>MP-CS</t>
  </si>
  <si>
    <t>Empty Sack - Gallimax 3 Red Mini Pellet, 50kg</t>
  </si>
  <si>
    <t>Tag - Gallimax 3 Maintenance mini Pellet</t>
  </si>
  <si>
    <t>Gallimax 1 Booster Crumble, 50kg</t>
  </si>
  <si>
    <t>SFG Gallimax 1 Booster Crumble, 50kg</t>
  </si>
  <si>
    <t>Empty Sack - Gallimax 1 Booster Pellet, 50 kg</t>
  </si>
  <si>
    <t>Tag - Gallimax 1 Booster Crumble</t>
  </si>
  <si>
    <t>Pork Solutions Grower I - 50kg</t>
  </si>
  <si>
    <t>SFG Pork Sol Grower I 50kg  (Old Elite)</t>
  </si>
  <si>
    <t>480 G 1</t>
  </si>
  <si>
    <t>Yellow Green</t>
  </si>
  <si>
    <t>Empty Sack - Pork Solutions Grower , 50 kg</t>
  </si>
  <si>
    <t>Tag - Elite Hog Growex 2 Pellet</t>
  </si>
  <si>
    <t>Gall 21 Chicken Layer P (Breeder) 50Kg</t>
  </si>
  <si>
    <t>SFG Gallimax 21</t>
  </si>
  <si>
    <t>Empty Sack - Gallimax 21 Breeder Ration Mini Pellet, 50 kg</t>
  </si>
  <si>
    <t>Tag - Gallimax 21 Breeder Ration Mini Pellet, 50kg</t>
  </si>
  <si>
    <t>Pork Solutions Finisher 50kg</t>
  </si>
  <si>
    <t>SFG Pork Sol Finisher 50kg (Old Elite)</t>
  </si>
  <si>
    <t>Empty Sack - Pork Solutions Finisher , 50 kg</t>
  </si>
  <si>
    <t>Tag - Elite Hog Finex Pellet</t>
  </si>
  <si>
    <t>Pork Solution Hog Gestation 50kg.</t>
  </si>
  <si>
    <t>SFG Pork Solution Hog Gestation</t>
  </si>
  <si>
    <t>Pork Solutions Grower II - 50kg</t>
  </si>
  <si>
    <t>SFG Pork Sol Grower II 50kg  (Old Elite)</t>
  </si>
  <si>
    <t>481 G 2</t>
  </si>
  <si>
    <t>Ave Max Quail Layex Crumble, 50kg</t>
  </si>
  <si>
    <t>SFG Quail layex</t>
  </si>
  <si>
    <t>Empty Sack - Ave Max Quail Layex Crumble, 50 kg</t>
  </si>
  <si>
    <t>Tag - Ave Max Quail Layex Crumble</t>
  </si>
  <si>
    <t>Ave Max Duck Layex 2 Pellet, 50kg</t>
  </si>
  <si>
    <t>SFG Ave Max Duck Layex 2</t>
  </si>
  <si>
    <t>v2 - Ave Max Duck Layex 2, 50kg</t>
  </si>
  <si>
    <t>Tag - Ave Max Duck Layex 2 Pellet</t>
  </si>
  <si>
    <t>Ave Max Duck Startex Crumble, 50 kg</t>
  </si>
  <si>
    <t>SFG Duck Startex</t>
  </si>
  <si>
    <t>Empty Sack - Avemax Duck Startex, 50 kg</t>
  </si>
  <si>
    <t>Tag - Avemax Duck Startex, Crumble</t>
  </si>
  <si>
    <t>Ave Max Duck Growex M-Pellet, 50 kg</t>
  </si>
  <si>
    <t>SFG Ave Max Duck Growex M-Pellet, 50 kg</t>
  </si>
  <si>
    <t>v2 - Ave Max Duck Growex, 50 kg</t>
  </si>
  <si>
    <t>Tag Avemax Duck Growex, Pellet</t>
  </si>
  <si>
    <t>Salto - Stag Developer Pellet 25kg</t>
  </si>
  <si>
    <t>SFG Salto - Stag Developer Pellet 25kg</t>
  </si>
  <si>
    <t>Avemax Duck Pre-Lay Pellet, 50 Kg</t>
  </si>
  <si>
    <t>SFG Ave Max Duck Pre-Lay Pellet, 50kg</t>
  </si>
  <si>
    <t>Empty Sack - Avemax Duck Pre-Lay, 50 kg</t>
  </si>
  <si>
    <t>Tag - Avemax Duck Pre-Lay, Pellet</t>
  </si>
  <si>
    <t>Pork Solutions Pre-Starter  50kg</t>
  </si>
  <si>
    <t>SFG Pork Sol Pre Starter 50kg</t>
  </si>
  <si>
    <t>Empty Sack - Pork Solutions Pre-starter Mini Pellet ,50kg</t>
  </si>
  <si>
    <t>Tag Pork Solutions Hog Pre-Starter 1 Mini Pellet 50kg</t>
  </si>
  <si>
    <t>Poultry Solutions Broiler Booster Crumbl</t>
  </si>
  <si>
    <t>SFG Poultry Sol Broiler BoosterSB Cr50kg</t>
  </si>
  <si>
    <t>Pork Solutions Lactation H, Pellet 50kg</t>
  </si>
  <si>
    <t>Pork Solution Hog LactationRFSFG1</t>
  </si>
  <si>
    <t>White Blue</t>
  </si>
  <si>
    <t>Sack Pork Solutions Breeder Hog 50kg</t>
  </si>
  <si>
    <t>Tag - Pork Solutions Breeder Hog Lactat Pelletion</t>
  </si>
  <si>
    <t>Basic Chick Boostex Crumble, 50 Kg</t>
  </si>
  <si>
    <t>SFG Basic Chick Boostex</t>
  </si>
  <si>
    <t>v2 - Basic Chick Boostex, 50 Kg</t>
  </si>
  <si>
    <t>Tag Basic Chick Boostex Crumble, 50kg</t>
  </si>
  <si>
    <t>Basic Broiler Startex Crumble, 50Kg</t>
  </si>
  <si>
    <t>SFG Basic Broiler Startex</t>
  </si>
  <si>
    <t>Empty Sack - Basic Broiler Startex, 50Kg</t>
  </si>
  <si>
    <t>Tag - Basic Broiler Startex Crumble</t>
  </si>
  <si>
    <t>Poultry Solutions Pre-Layer 50kg.</t>
  </si>
  <si>
    <t>SFG PS PreLayer 50kg.</t>
  </si>
  <si>
    <t>1123 PS Pre-layer</t>
  </si>
  <si>
    <t>v2 - Poultry Solutions Pre-Layer 50kg</t>
  </si>
  <si>
    <t>Tag - Poultry Solutions Pre-Lay Crumble, 50kg</t>
  </si>
  <si>
    <t>Poultry Express Pre-Lay Crumble, 50 Kg</t>
  </si>
  <si>
    <t>SFG PE Chicken Pre-Lay</t>
  </si>
  <si>
    <t>v2 - Poultry Express Pre-Lay, 50 Kg</t>
  </si>
  <si>
    <t>Tag - P/E Pre-Lay Crumble, 50kg</t>
  </si>
  <si>
    <t>PS Chicken Layer 1 MF, Crumble 50kg</t>
  </si>
  <si>
    <t>SFG Poultry Sol Chicken Layer 1 MF</t>
  </si>
  <si>
    <t>1240 L -1</t>
  </si>
  <si>
    <t>Green Yellow</t>
  </si>
  <si>
    <t>Poultry Solution Layer 2 Mash, 50kg</t>
  </si>
  <si>
    <t>SFG Poultry Sol Layer 2 Mash, 50kg</t>
  </si>
  <si>
    <t>1257 PS L 2</t>
  </si>
  <si>
    <t>Orange</t>
  </si>
  <si>
    <t>v2 - Poultry Solutions Layer 2 50kg.</t>
  </si>
  <si>
    <t>Tag Poultry Solution Chicken Layer II (C)</t>
  </si>
  <si>
    <t>Poultry Sol Broiler Starter Cr MD 50kg</t>
  </si>
  <si>
    <t>SFG Poultry Sol Broiler Starter MD, 50kg</t>
  </si>
  <si>
    <t>012 MD</t>
  </si>
  <si>
    <t>White Yellow</t>
  </si>
  <si>
    <t>v2 - Poultry Solutions Broiler Starter, 50kg</t>
  </si>
  <si>
    <t>Tag - Poultry Solutions Broiler Starter Crumble</t>
  </si>
  <si>
    <t>Elite Hog Breeder Conditioner P 50kg</t>
  </si>
  <si>
    <t>SFG Elite Hog BreederCon P 50Kg 2.0</t>
  </si>
  <si>
    <t>Poultry Sol Chick Starter M 50kg</t>
  </si>
  <si>
    <t>SFG PS Chick Startex Mash</t>
  </si>
  <si>
    <t>1252 - CHK STR</t>
  </si>
  <si>
    <t>Poultry Sol Chick Grower 2 M 50kg</t>
  </si>
  <si>
    <t>SFG Poultry Sol Chick Grower 2 M</t>
  </si>
  <si>
    <t>1254 CG 2</t>
  </si>
  <si>
    <t>Poultry Solutions Layer 2 50kg.</t>
  </si>
  <si>
    <t>SFG Poultry Solutions Layer 2 50kg</t>
  </si>
  <si>
    <t>736 PS L-2</t>
  </si>
  <si>
    <t>Poultry Sol Chick Grower 1 M 50kg</t>
  </si>
  <si>
    <t>SFG PS Chick Grower 1 Mash</t>
  </si>
  <si>
    <t>1253 CG 1</t>
  </si>
  <si>
    <t>Orange Green</t>
  </si>
  <si>
    <t>Elite XP Finex, Pellet 50kg</t>
  </si>
  <si>
    <t>SFG Elite Finex XP 50kg</t>
  </si>
  <si>
    <t>Elite XP Hog Finex 50kg. Mocha PP bag</t>
  </si>
  <si>
    <t>Tag- Elite XP Finex, Pellet 10 kg</t>
  </si>
  <si>
    <t>Poultry Solution Layer 1 Mash, 50kg</t>
  </si>
  <si>
    <t>SFG Poultry Solution Layer 1, Mash</t>
  </si>
  <si>
    <t xml:space="preserve">1256 PS L 1 </t>
  </si>
  <si>
    <t>Poultry Solutions Pre-Lay Mash, 50kg</t>
  </si>
  <si>
    <t>SFG Poultry Sol Chicken Pre-Lay M</t>
  </si>
  <si>
    <t>1255 PS Pre-lay</t>
  </si>
  <si>
    <t>Sack Plain white PP 26x45</t>
  </si>
  <si>
    <t>Tag - Poultry Solutions Pre-lay Mash, 50kg</t>
  </si>
  <si>
    <t>Poultry Sol Chick Booster M 50kg</t>
  </si>
  <si>
    <t>SFG Poultry Sol Chick Booster Mash, 50kg</t>
  </si>
  <si>
    <t>1251 - CHK BSTR</t>
  </si>
  <si>
    <t>Poultry Sol Broiler Finisher MP MD 50kg</t>
  </si>
  <si>
    <t>SFG Poultry Sol Broiler Finisher MD 50Kg</t>
  </si>
  <si>
    <t>013 MD</t>
  </si>
  <si>
    <t>v2 - Poultry Solutions Broiler Finisher, 50kg</t>
  </si>
  <si>
    <t>Tag - Poultry Solutions Broiler Finisher Crumble</t>
  </si>
  <si>
    <t>Gall 21 Chicken Layer P (Breeder) 10Kg</t>
  </si>
  <si>
    <t>SFG Gallimax 21 Chicken Layer P, 10kg</t>
  </si>
  <si>
    <t>Empty Sack - Gallimax 21 Breeder Ration Mini Pellet 10 kg</t>
  </si>
  <si>
    <t>Tag - Gallimax 21 Breeder Ration Mini Pellet, 10kg</t>
  </si>
  <si>
    <t>Gall 21 Chicken Pre-Lay MP 50kg</t>
  </si>
  <si>
    <t>SFG Gallimax 21 Chicken Pre-Lay MP 50kg</t>
  </si>
  <si>
    <t>Salto Stag Conditioner (Bundle of 25pcs)</t>
  </si>
  <si>
    <t>SFG Salto Stag Conditioner 50kg</t>
  </si>
  <si>
    <t>Empty Sack - Salto Stag Conditioner 1kg Packaging</t>
  </si>
  <si>
    <t>Salto Stag Conditioner 50kg</t>
  </si>
  <si>
    <t>Salto Power Pellet 50kg</t>
  </si>
  <si>
    <t>SFG Salto Power Pellet 50kg - SFG</t>
  </si>
  <si>
    <t>Poultry Express Chicken Layer Cr 50kg</t>
  </si>
  <si>
    <t>SFG Poultry Exp Chicken Layer Cr 50kg</t>
  </si>
  <si>
    <t>v2 - Poultry Express Chicken Layer, 50 kg</t>
  </si>
  <si>
    <t>Tag - P/E Chicken Layex Crumble</t>
  </si>
  <si>
    <t>Poultry Sol Broiler Booster Cr MD 50kg</t>
  </si>
  <si>
    <t>SFG Poultry Solution Broiler Booster MD</t>
  </si>
  <si>
    <t>011 MD</t>
  </si>
  <si>
    <t>v2 - Poultry Solutions Broiler Booster, 50kg</t>
  </si>
  <si>
    <t>Tag - Poultry Solutions Broiler Booster, 50kg</t>
  </si>
  <si>
    <t>Gallimax Pigeon Pellet, 50kg</t>
  </si>
  <si>
    <t>SFG Gallimax Pigeon Pellet,50kg</t>
  </si>
  <si>
    <t>Empty Sacks - Gallimax Pigeon Pellet</t>
  </si>
  <si>
    <t>Tag - Gallimax Pigeon Pellet</t>
  </si>
  <si>
    <t>Poultry Express Broiler Finex CS 50kg</t>
  </si>
  <si>
    <t>SFG Poultry Exp Broiler Finex CS P, 50kg</t>
  </si>
  <si>
    <t>Poultry Express Chick Growex Cr 50kg</t>
  </si>
  <si>
    <t>SFG Poultry Exp Chick Growex  Cr 50kg</t>
  </si>
  <si>
    <t>v2 - Poultry Express Chick Growex, 50 kg</t>
  </si>
  <si>
    <t>Tag - P/E Chick Growex Crumble</t>
  </si>
  <si>
    <t>PS BOOSTER MASH 50KG</t>
  </si>
  <si>
    <t>SFG Pork Sol Hog Booster M, 25Kg</t>
  </si>
  <si>
    <t>Pork Solution Hog Booster 25kg</t>
  </si>
  <si>
    <t>Pork Solutions Hog Booster Mash</t>
  </si>
  <si>
    <t>Pork Sol Hog Breeder Conditioner P 50Kg</t>
  </si>
  <si>
    <t>SFG Pork Sol Hog BreederCon P, 50Kg</t>
  </si>
  <si>
    <t>Classic Save Growex P 50kg</t>
  </si>
  <si>
    <t>SFG Classic Growex SD</t>
  </si>
  <si>
    <t>Poultry Sol Chicken Layer 1 CSL M 500kg</t>
  </si>
  <si>
    <t>SFG Poultry Sol Chiken Layer1 CSL M500kg</t>
  </si>
  <si>
    <t>Tote Bag 1000 kg</t>
  </si>
  <si>
    <t>-</t>
  </si>
  <si>
    <t>Poultry Sol Chick Booster Breeder Cr50kg</t>
  </si>
  <si>
    <t>SFG PS Chick Booster Breeder Cr 50kg</t>
  </si>
  <si>
    <t>Poultry Sol Chick Starter Breeder Cr50kg</t>
  </si>
  <si>
    <t>SFG PS Chick Starter Breeder Cr 50kg</t>
  </si>
  <si>
    <t>980 CHCK STR BR</t>
  </si>
  <si>
    <t>Green</t>
  </si>
  <si>
    <t>Poultry Sol Chicken Layer 1 Mash,500kg</t>
  </si>
  <si>
    <t>SFG Poultry Sol  Chicken Layer 1  Mash</t>
  </si>
  <si>
    <t>Poultry Sol Chick Booster Breeder M 50kg</t>
  </si>
  <si>
    <t>SFG Poultry Sol Chick Booster Breeder</t>
  </si>
  <si>
    <t>Poultry Sol Chick Starter Breeder M 50kg</t>
  </si>
  <si>
    <t>SFG Poultry Sol Chick Starter Breeder</t>
  </si>
  <si>
    <t>Poultry Sol Pre-Lay Breeder Cr 50kg</t>
  </si>
  <si>
    <t>SFG Poultry Sol Pre-Lay Breeder Cr</t>
  </si>
  <si>
    <t>982 PS Pre-lay BRdr Cr</t>
  </si>
  <si>
    <t>Poultry Sol Chick Grower Breeder M 50kg</t>
  </si>
  <si>
    <t>SFG Poultry Sol Chick Grower Breeder</t>
  </si>
  <si>
    <t>Poultry Sol Chicken Layer 3 Mash,500kg</t>
  </si>
  <si>
    <t>SFG Poultry Sol Chicken Layer 3 M 500kg</t>
  </si>
  <si>
    <t>Poultry Sol Chick Grower Breeder Cr 50kg</t>
  </si>
  <si>
    <t>981 CHICK GR BR</t>
  </si>
  <si>
    <t>Pork Sol Hog Pre Starter M 50kg</t>
  </si>
  <si>
    <t>SFG Pork Sol Hog Pre-Starter M, 50kg</t>
  </si>
  <si>
    <t>Orange Yellow</t>
  </si>
  <si>
    <t>Tag Pork Sol Hog Pre-Starter 1 MP 50Kg</t>
  </si>
  <si>
    <t>Classic Save Startex MP 50kgs</t>
  </si>
  <si>
    <t>SFG Classic Startex SD</t>
  </si>
  <si>
    <t>Pilmico Classic Save Finex, 50kg Pellet</t>
  </si>
  <si>
    <t>SFG Classic Finex  SD</t>
  </si>
  <si>
    <t>Lakas Mama Breeder, Mash</t>
  </si>
  <si>
    <t>SFG Lakas Mama Breeder, Mash</t>
  </si>
  <si>
    <t>Lakas Gatas Mash 50kg</t>
  </si>
  <si>
    <t>SFG Lakas Gatas Mash 50kg</t>
  </si>
  <si>
    <t>Pork Solutions Grower 1, 50kg PH</t>
  </si>
  <si>
    <t>SFG Elite Growex 1 XP 50KG</t>
  </si>
  <si>
    <t>832 PH</t>
  </si>
  <si>
    <t>Tag - Pork Solutions Grower Pellet</t>
  </si>
  <si>
    <t>Pork Solutions Starter, 50kg PH</t>
  </si>
  <si>
    <t>SFG Elite Startex XP 50KG - 3</t>
  </si>
  <si>
    <t>831 PH</t>
  </si>
  <si>
    <t>Pork Solution Starter N</t>
  </si>
  <si>
    <t>Tag Pork Solution Starter (P)</t>
  </si>
  <si>
    <t>Pork Solutions Gestation 2, 50kg PH</t>
  </si>
  <si>
    <t>SFG Elite XP Litter Developer/Gesta 2</t>
  </si>
  <si>
    <t>Empty Sack - Pork Solutions Breeder Hog Gestation, 50 kg</t>
  </si>
  <si>
    <t>Tag - Pork Solutions Breeder Hog Gestation Pellet</t>
  </si>
  <si>
    <t>Arya Growex Sinking Pellet, 25Kg</t>
  </si>
  <si>
    <t>SFG Arya Grower Sinking Pellet</t>
  </si>
  <si>
    <t>Supremecon Hog Gestamix Concentrate 50kg</t>
  </si>
  <si>
    <t>SFG Supremecon Hog Gesta Concentrate</t>
  </si>
  <si>
    <t>Tag - Supremecon Hog Protein Concentrate Gestamix Mash, 25kg</t>
  </si>
  <si>
    <t>Pork Solutions Lactation, 50kg PH</t>
  </si>
  <si>
    <t>SFG Pork Solution Lactatex XP</t>
  </si>
  <si>
    <t>828 PH</t>
  </si>
  <si>
    <t>Empty Sack - Pork Solutions Breeder Hog Lactation, 50 kg</t>
  </si>
  <si>
    <t>Tag - Pork Solutions Breeder Hog Lactation Pellet</t>
  </si>
  <si>
    <t>Pork Solutions Grower 2, 50kg PH</t>
  </si>
  <si>
    <t>SFG Pork Solution Hog Grower 2XP 50 kg</t>
  </si>
  <si>
    <t>833 PH</t>
  </si>
  <si>
    <t>Tag - Pork Solutions Grower 2 Pellet</t>
  </si>
  <si>
    <t>Elite Startex, 50kg PH</t>
  </si>
  <si>
    <t>SFG Elite Startex, 50kg PH</t>
  </si>
  <si>
    <t>Elite XP Growex 2, P 50kg T3</t>
  </si>
  <si>
    <t>SFG Elite Growex 2, 50kg PH</t>
  </si>
  <si>
    <t>XP G2 T3</t>
  </si>
  <si>
    <t>Elite XP Hog Growex  2 50kg. Mocha PP bag</t>
  </si>
  <si>
    <t>Tag- Elite XP Growex 2, Pellet 50 kg</t>
  </si>
  <si>
    <t>Elite XP Finex, P 50kg T3</t>
  </si>
  <si>
    <t>SFG Elite Finex, 50kg PH</t>
  </si>
  <si>
    <t>Elite Growex 1, 50kg PH</t>
  </si>
  <si>
    <t>SFG Elite Growex 1, 50kg PH</t>
  </si>
  <si>
    <t>Empty Sack - Elite Hog Growex, 50 kg</t>
  </si>
  <si>
    <t>Tag - Elite Hog Growex 1 Pellet</t>
  </si>
  <si>
    <t>Pork Solutions Gestation 1, 50kg PH</t>
  </si>
  <si>
    <t>SFG Elite Gestapro XP 50KG</t>
  </si>
  <si>
    <t>826 PH</t>
  </si>
  <si>
    <t>Pork Solutions Finisher, 50kg PH</t>
  </si>
  <si>
    <t>SFG Pork Solutions Finisher, 50kg PH</t>
  </si>
  <si>
    <t>834 PH</t>
  </si>
  <si>
    <t>Tag - Pork Solutions Finisher Pellet</t>
  </si>
  <si>
    <t>Kunemax Sprinter Pellet, 25Kg</t>
  </si>
  <si>
    <t>SFG Kunemax Sprinter</t>
  </si>
  <si>
    <t>Rabbit</t>
  </si>
  <si>
    <t>Packaging - Kunemax Sprinter Pellet, 25Kg</t>
  </si>
  <si>
    <t>Tag - Kunemax Sprinter Pellet, 25Kg</t>
  </si>
  <si>
    <t>Gallimax 2 Plus Ready Mix (Natural) 50kg</t>
  </si>
  <si>
    <t>SFG Gallimax 2 Plus, Powermix</t>
  </si>
  <si>
    <t>Empty Sack - Gallimax 2 Plus Ready Mix, 50kg</t>
  </si>
  <si>
    <t>Tag - Gallimax 2 Plus Ready Mix, 50kg</t>
  </si>
  <si>
    <t>Pork Sol Hog Finisher Mash, 50 kg</t>
  </si>
  <si>
    <t>SFG Pork Sol Hog  Finisher M, 50 kg</t>
  </si>
  <si>
    <t>Tag Pork Solution Finisher – Mash</t>
  </si>
  <si>
    <t>Pork Solution Hog Grower Mash , 50kg</t>
  </si>
  <si>
    <t>SFG Pork Sol Hog Grower M, 50kg</t>
  </si>
  <si>
    <t>Tag Pork Solution Grower- Mash</t>
  </si>
  <si>
    <t>Supremecon Hog Lactamix Concentrate 50kg</t>
  </si>
  <si>
    <t>SFG Supremecon Hog Lacta Concentrates</t>
  </si>
  <si>
    <t>Tag - Supremecon Hog Protein Concentrate Lactamix Mash, 25kg</t>
  </si>
  <si>
    <t>Elite XP Startex, Mini-pellet 50kg</t>
  </si>
  <si>
    <t>Elite XP Hog Startex 50kg. Mocha PP bag</t>
  </si>
  <si>
    <t>Tag- Elite XP Startex Mini-Pellet, Pellet 50 kg</t>
  </si>
  <si>
    <t>Elite XP Growex 2, Pellet 50kg</t>
  </si>
  <si>
    <t>SFG Elite Growex 2 XP 50KG</t>
  </si>
  <si>
    <t>Elite XP Growex 1, Pellet 50kg</t>
  </si>
  <si>
    <t>Elite XP Hog Growex 50kg. Mocha PP bag</t>
  </si>
  <si>
    <t>Tag- Elite XP Growex 1, Pellet 50 kg</t>
  </si>
  <si>
    <t>Elite XP Lactatex, Pellet 50kg</t>
  </si>
  <si>
    <t>SFG Elite XP Lactatex  50KG</t>
  </si>
  <si>
    <t>Elite XP Hog Lactatex 50kg. Mocha PP bag</t>
  </si>
  <si>
    <t>Tag- Elite XP Lactatex, Pellet 50 kg</t>
  </si>
  <si>
    <t>Elite XP GestaPro, Pellet 50kg</t>
  </si>
  <si>
    <t>Elite XP Hog GestaPro 50kg. Mocha PP bag</t>
  </si>
  <si>
    <t>Tag- Elite XP GestaPro, Pellet 50 kg</t>
  </si>
  <si>
    <t>Elite XP GestaPrime, Pellet 50kg</t>
  </si>
  <si>
    <t>SFG Elite XP GestaPrime - 50Kg</t>
  </si>
  <si>
    <t>Elite XP Hog GestaPrime 50kg. Mocha PP bag</t>
  </si>
  <si>
    <t>Tag- Elite XP GestaPrime, Pellet 50 kg</t>
  </si>
  <si>
    <t>Pork Solutions Gestation H, Pellet 50kg</t>
  </si>
  <si>
    <t>Pork Solution Hog Gestation RGPelletSFG1</t>
  </si>
  <si>
    <t>Elite XP Litter Developer, Pellet 50kg</t>
  </si>
  <si>
    <t>Elite XP Hog Litter Developer 50kg. Mocha PP bag</t>
  </si>
  <si>
    <t>Tag- Elite XP Litter Development, Pellet 50 kg</t>
  </si>
  <si>
    <t>Classic Hog Finex, Pellet 50kg</t>
  </si>
  <si>
    <t>SFG Classic Hog Finex, Pellet 50kg</t>
  </si>
  <si>
    <t>Packaging: Classic Hog Finex, 50kg white</t>
  </si>
  <si>
    <t>Tag - Classic Finex, Pellet 50kg</t>
  </si>
  <si>
    <t>SFG Salto Baby Stag Dev 50kg</t>
  </si>
  <si>
    <t>Salto Baby Stag DeveloperSFG1</t>
  </si>
  <si>
    <t>051</t>
  </si>
  <si>
    <t>Empty Sack - Salto Baby Stag Developer, 50kg</t>
  </si>
  <si>
    <t>Tag - Salto Baby Stag Developer, 50kg</t>
  </si>
  <si>
    <t>SFG Gallimax 2 plus RED PELLET-SFGPELL</t>
  </si>
  <si>
    <t>2+ RED pellet</t>
  </si>
  <si>
    <t>Sack Plain Green 50 kg</t>
  </si>
  <si>
    <t>SFG Stag Developer SFG</t>
  </si>
  <si>
    <t>Salto - Stag Developer PelletSFG1</t>
  </si>
  <si>
    <t>033</t>
  </si>
  <si>
    <t>Empty Sack - Salto Stag Developer, 50kg</t>
  </si>
  <si>
    <t>Tag - Salto Stag Developer, 50kg</t>
  </si>
  <si>
    <t>Gallimax 3 Maintenance (Natural) Pellet,</t>
  </si>
  <si>
    <t>Gallimax 3 Maintenance (Natural) PSFG1</t>
  </si>
  <si>
    <t>Empty Sack - Gallimax 3 Maintenance Mini Pellet 50 kg</t>
  </si>
  <si>
    <t>SFG Gallimax 2 plus PELLET -SFGPELL</t>
  </si>
  <si>
    <t>2+ pellet</t>
  </si>
  <si>
    <t>Poultry Solutions Broiler Starter Crumbl</t>
  </si>
  <si>
    <t>Poultry Solutions Broiler StarterSFG1</t>
  </si>
  <si>
    <t>970 STR ABFI</t>
  </si>
  <si>
    <t>Red White</t>
  </si>
  <si>
    <t>Poultry Solutions  Chicken Layer 2  Mash</t>
  </si>
  <si>
    <t>SFG Poultry Sol Chicken Layer 2  Mash</t>
  </si>
  <si>
    <t>Poultry Solutions Breeder Layer Male Cru</t>
  </si>
  <si>
    <t>Poultry Solutions Breeder Layer MaleSFG1</t>
  </si>
  <si>
    <t>v2 - Poultry Solutions Breeder Layer Male, 50kg</t>
  </si>
  <si>
    <t>Tag - Poultry Breeder Layer Male, Mash</t>
  </si>
  <si>
    <t>Poultry Solutions Breeder Layer 1 Crumbl</t>
  </si>
  <si>
    <t>Poultry Solutions Breeder Layer 1SFG1</t>
  </si>
  <si>
    <t>983 COBB L-1</t>
  </si>
  <si>
    <t>v2 - Poultry Solutions Breeder Layer 1, 50kg</t>
  </si>
  <si>
    <t>Poultry Solutions Breeder Layer 1 Crumble, 50kg</t>
  </si>
  <si>
    <t>Poultry Solutions Broiler BoosterSFG1</t>
  </si>
  <si>
    <t>969 BSTR ABFI</t>
  </si>
  <si>
    <t>SFGH Salto Wheat Germ Plus Pellet</t>
  </si>
  <si>
    <t>Salto Wheat Germ PlusSFG1</t>
  </si>
  <si>
    <t>072</t>
  </si>
  <si>
    <t>PS Broiler Finisher NM-ANAS,Mini Pellets</t>
  </si>
  <si>
    <t>SFG Finisher MD NM, 50kg</t>
  </si>
  <si>
    <t>911 FIN (NM-P)</t>
  </si>
  <si>
    <t>Elite XP Sprinter, Mini-pellet 50kg</t>
  </si>
  <si>
    <t>SFG Elite XP Sprinter, MP 50kg (NON)</t>
  </si>
  <si>
    <t>BLUE</t>
  </si>
  <si>
    <t>Elite XP Pre-starter</t>
  </si>
  <si>
    <t>Elite XP Pre-starterSFG1</t>
  </si>
  <si>
    <t>Elite XP Hog Pre-startex, 25kg mocha PP bag</t>
  </si>
  <si>
    <t>Tag- Elite XP Pre-Starter Mini-Pellet, Pellet 50 kg</t>
  </si>
  <si>
    <t>Kunemax Breeder Pellet, 25Kg</t>
  </si>
  <si>
    <t>Kunemax Breeder PelletSFG1</t>
  </si>
  <si>
    <t>Packaging - Kunemax Breeder Pellet, 25Kg</t>
  </si>
  <si>
    <t>Tag - Kunemax Breeder Pellet, 25Kg</t>
  </si>
  <si>
    <t>Kunemax Grower Pellet, 25Kg</t>
  </si>
  <si>
    <t>Kunemax Grower PelletSFG1</t>
  </si>
  <si>
    <t>Packaging - Kunemax Grower Pellet, 25Kg</t>
  </si>
  <si>
    <t>Tag - Kunemax Grower Pellet, 25Kg</t>
  </si>
  <si>
    <t>Salto  Conditioner Pellet 1kg (Bundle of 25 pcs)</t>
  </si>
  <si>
    <t>Salto - Conditioner PelletSFG1</t>
  </si>
  <si>
    <t>Pouch Salto Conditioner MP 1kg v1</t>
  </si>
  <si>
    <t>PS BOOSTER MASH PLUS  first pass</t>
  </si>
  <si>
    <t>PS BOOSTER MASH PLUS</t>
  </si>
  <si>
    <t>PS BOOSTER MASH PLUSSFG1- second pass</t>
  </si>
  <si>
    <t>1121 PLUS</t>
  </si>
  <si>
    <t>Tag Pork Sol Hog Booster M 50kg</t>
  </si>
  <si>
    <t>Salto Stag Developer, Ready Mix 50kg</t>
  </si>
  <si>
    <t>Salto Stag Developer, Ready MixSFG1</t>
  </si>
  <si>
    <t>Gallimax 2 Plus (Red) Ready Mix, 50kg</t>
  </si>
  <si>
    <t>Gallimax 2 Plus (Red) Ready MixSFG1</t>
  </si>
  <si>
    <t>Empty Sacks - Gallimax 2 Plus Developer Plus</t>
  </si>
  <si>
    <t>Salto Powermix 1, 25 Kg</t>
  </si>
  <si>
    <t>Salto Powermix 1SFG1</t>
  </si>
  <si>
    <t>Salto Powermix 2, 25kg</t>
  </si>
  <si>
    <t>Salto Powermix 2SFG1</t>
  </si>
  <si>
    <t>Empty Sack - Salto Powermix 2 Mini Pellet , 25kg</t>
  </si>
  <si>
    <t>Tag - Salto Powermix 2 Mini Pellet</t>
  </si>
  <si>
    <t>Salto Powermix 3, 25kg</t>
  </si>
  <si>
    <t>Salto Powermix 3SFG1</t>
  </si>
  <si>
    <t>Empty Sack - Salto Powermix 3 25kg</t>
  </si>
  <si>
    <t>Tag - Salto Powermix 3 Mini Pellet</t>
  </si>
  <si>
    <t>Salto Powermix 4, 25 Kg</t>
  </si>
  <si>
    <t>Salto Powermix 4SFG1</t>
  </si>
  <si>
    <t>Empty Sack - Salto Powermix 4 Mini Pellet , 25kg</t>
  </si>
  <si>
    <t>Tag - Salto Powermix 4 Mini Pellet</t>
  </si>
  <si>
    <t>Pork Solution Booster Mash PH, 25kg</t>
  </si>
  <si>
    <t>SFG Pork Sol Booster Mash PH, 25kg</t>
  </si>
  <si>
    <t>849 BSTR PH</t>
  </si>
  <si>
    <t>Sack Pork Solutions Hog Booster 25kg</t>
  </si>
  <si>
    <t>Tag Pork Solutions Hog Booster Mash 25</t>
  </si>
  <si>
    <t>Poultry Sol Breeder Developer Cr 50kg</t>
  </si>
  <si>
    <t>Poultry Sol Breeder Developer Cr 50kgSFG</t>
  </si>
  <si>
    <t>1721 PS Brdr Dev Cr</t>
  </si>
  <si>
    <t>Red Green</t>
  </si>
  <si>
    <t>Plain white PP 26x45</t>
  </si>
  <si>
    <t>Poultry Solutions Chick Starter Breeder</t>
  </si>
  <si>
    <t>Poultry Sol Breeder Starter 2 Cr 50kgSFG1</t>
  </si>
  <si>
    <t>1659 CHK STR BR 2</t>
  </si>
  <si>
    <t>407 CE</t>
  </si>
  <si>
    <t>Pork Solutions Grower 1, 50kg PH Mash</t>
  </si>
  <si>
    <t>Pork Solutions Grower 1, 50kg PH MashSFG1</t>
  </si>
  <si>
    <t>852 G1 PH</t>
  </si>
  <si>
    <t>Orange Blue</t>
  </si>
  <si>
    <t>Tag - Pork Solutions Grower Mash</t>
  </si>
  <si>
    <t>Pork Solutions Starter, 50kg PH Mash</t>
  </si>
  <si>
    <t>Pork Solutions Starter, 50kg PH MashSFG1</t>
  </si>
  <si>
    <t>851 STR PH</t>
  </si>
  <si>
    <t>Poultry Solutions Breeder Layer 1 Mash,</t>
  </si>
  <si>
    <t xml:space="preserve">1015 - Brdr L -1 </t>
  </si>
  <si>
    <t>Tag - Poultry Solutions Breeder Layer 1 Mash, 50kg</t>
  </si>
  <si>
    <t>Poultry Solutions Broiler Finisher Mini</t>
  </si>
  <si>
    <t>Poultry Solutions Broiler FinisherSFG1</t>
  </si>
  <si>
    <t>408 CE</t>
  </si>
  <si>
    <t>Elite XP Sprinter</t>
  </si>
  <si>
    <t>Elite XP SprinterSFG1</t>
  </si>
  <si>
    <t>Elite XP Hog Sprinter 10kg. Mocha PP bag</t>
  </si>
  <si>
    <t>Tag- Elite XP Sprinter Mini-Pellet, Pellet 10 kg</t>
  </si>
  <si>
    <t>Salto Baby Stag w/Grits 1kg(Bndlof25pcs)</t>
  </si>
  <si>
    <t>Pouch Salto Baby Stag Dev 1kg Corn Grits</t>
  </si>
  <si>
    <t>Elite XP Sprinter, Mini-pellet 1kg x25</t>
  </si>
  <si>
    <t>SFG Elite XP Sprinter, Mini-pellet 10kg</t>
  </si>
  <si>
    <t>v2- Bundle Packaging for Elite Sprinter 1kg, 25kg</t>
  </si>
  <si>
    <t>Salto Baby Stag Dev w/ Grits 50Kg</t>
  </si>
  <si>
    <t>Pork Solutions Pre-starter, 50kg PH</t>
  </si>
  <si>
    <t>SFG Pork Solutions Pre-starter, PH</t>
  </si>
  <si>
    <t>830 PH</t>
  </si>
  <si>
    <t>Pork Solutions Booster, 25kg PH</t>
  </si>
  <si>
    <t>SFG Pork Solutions Booster PH</t>
  </si>
  <si>
    <t>829 PH</t>
  </si>
  <si>
    <t>Tag - Pork Solutions Hog Booster Mini Pellet 25kg</t>
  </si>
  <si>
    <t>Poultry Sol Breeder Grower Cr 50kg</t>
  </si>
  <si>
    <t>Poultry Sol Chick Grower BreederSFG1</t>
  </si>
  <si>
    <t>118 Brdr Gwr</t>
  </si>
  <si>
    <t>Pork Sol Lactation Mash PH, 50kg</t>
  </si>
  <si>
    <t>SFG Pork Sol Lactation Mash PH, 50kg</t>
  </si>
  <si>
    <t>848 LACT PH</t>
  </si>
  <si>
    <t>Pork Solution Breeder Hog (Lactation) New Design</t>
  </si>
  <si>
    <t>Tag Pork Solution Lactation – Mash</t>
  </si>
  <si>
    <t>Pork Solutions Pre-starter, 50kg Mash PH</t>
  </si>
  <si>
    <t>SFG Pork Sol Pre-starter Mash PH, 50kg</t>
  </si>
  <si>
    <t>850 PRE STR PH</t>
  </si>
  <si>
    <t>Pork Solution Pre-Starter 50kg</t>
  </si>
  <si>
    <t>POWERHEAL Crumble, 1x25kg</t>
  </si>
  <si>
    <t>SFG POWERHEAL Crumble, 1x25kg</t>
  </si>
  <si>
    <t>Empty Sack - Powerheal Crumble, 1kg</t>
  </si>
  <si>
    <t>POWERHEAL CS Pellet,1x25kg</t>
  </si>
  <si>
    <t>SFG  POWERHEAL CS Pellet, 1x25kg</t>
  </si>
  <si>
    <t>Empty Sack - Powerheal CS Pellet, 1kg</t>
  </si>
  <si>
    <t>Elite Hog Sprinter, M-Pellet 1kg</t>
  </si>
  <si>
    <t>Salto Power Pellet 1kg</t>
  </si>
  <si>
    <t>Empty Sack - Salto Power Pellet 1kg Packaging</t>
  </si>
  <si>
    <t>Salto Wheat Germ Plus, 700g</t>
  </si>
  <si>
    <t>SFG Salto Wheat Germ Plus,</t>
  </si>
  <si>
    <t>SFG Powermix Pellet -SFG</t>
  </si>
  <si>
    <t>PMRX 3 pellet</t>
  </si>
  <si>
    <t>Sack Plain Yellow 50kg</t>
  </si>
  <si>
    <t>Poultry Sol Broiler Booster Cr MDCE 50kg</t>
  </si>
  <si>
    <t>406 CE</t>
  </si>
  <si>
    <t>Poultry Sol Breeder Starter sml Cr 50kg</t>
  </si>
  <si>
    <t>Poultry Sol Chick Starter BreederSFG1</t>
  </si>
  <si>
    <t>137 Sml</t>
  </si>
  <si>
    <t>White Green</t>
  </si>
  <si>
    <t>Elite XP Pre-startex MP 25kg T3</t>
  </si>
  <si>
    <t>SFG Elite Pre-startex 2, 25kg T3</t>
  </si>
  <si>
    <t>1697 - PS T2</t>
  </si>
  <si>
    <t>Elite XP Pre-startex MP 25kg T2</t>
  </si>
  <si>
    <t>SFG Elite Pre-startex 2, 25kg T2</t>
  </si>
  <si>
    <t>PS T2</t>
  </si>
  <si>
    <t>PS Chick Grower Breeder 2 Cr</t>
  </si>
  <si>
    <t>Poultry Solutions Chick Grower BreederSF</t>
  </si>
  <si>
    <t>1636 PS Brdr Gr 2 Cr</t>
  </si>
  <si>
    <t>White Orange</t>
  </si>
  <si>
    <t>Poultry Sol Breeder Starter Cr 50kg</t>
  </si>
  <si>
    <t>117 Brdr Str</t>
  </si>
  <si>
    <t>Poultry Solutions Pre Lay Mash, 500kg.</t>
  </si>
  <si>
    <t>SFG Poultry Sol Chicken Pre-Lay M, 500kg</t>
  </si>
  <si>
    <t>Poultry Sol Breeder Layer 2 Cr 50kg</t>
  </si>
  <si>
    <t>SFG PS Breeder Layer 2 Cr 50kg  G</t>
  </si>
  <si>
    <t>984 - L 2</t>
  </si>
  <si>
    <t>v2 - Poultry Solutions Breeder Layer 2, 50kg</t>
  </si>
  <si>
    <t>Tag Poultry Solutions Chicken Layer 2</t>
  </si>
  <si>
    <t>Elite XP Startex, Mini-pellet 50kg T2</t>
  </si>
  <si>
    <t>Elite XP Startex, Mini-pellet 50kg T2SFG</t>
  </si>
  <si>
    <t>1722 XP RFG</t>
  </si>
  <si>
    <t>Elite XP Startex, Mini-pellet 50kg T3</t>
  </si>
  <si>
    <t>Elite XP Startex, Mini-pellet 50kg T3SFG</t>
  </si>
  <si>
    <t>Elite XP Hog Startex, 50kg mocha PP bag</t>
  </si>
  <si>
    <t>Tag Elite XP Startex Mini-pellet 50kg</t>
  </si>
  <si>
    <t>Pork Solutions Lactation H, Mash 50kg</t>
  </si>
  <si>
    <t>Pork Solution Hog LactationRFMashSFG1</t>
  </si>
  <si>
    <t>Tag - Pork Solutions Breeder Hog Lactation Mash</t>
  </si>
  <si>
    <t>Elite XP Growex, Pellet 50kg T2</t>
  </si>
  <si>
    <t>Elite XP Growex, Pellet 50kg T2SFG1</t>
  </si>
  <si>
    <t>will comment marking</t>
  </si>
  <si>
    <t>GRO T2</t>
  </si>
  <si>
    <t>Elite XP Growex 2, Pellet 50kg T2</t>
  </si>
  <si>
    <t>Elite XP Growex 2, Pellet 50kg T2SFG1</t>
  </si>
  <si>
    <t>XP G2 T2</t>
  </si>
  <si>
    <t>Elite XP Finex, Pellet 50kg T2</t>
  </si>
  <si>
    <t>Elite XP Finex, Pellet 50kg T2SFG1</t>
  </si>
  <si>
    <t>Fin T2</t>
  </si>
  <si>
    <t>Poultry Solutions CL1 M 50KG- RCF</t>
  </si>
  <si>
    <t>Poultry Solutions CL1 M 50KG- RCF SFG</t>
  </si>
  <si>
    <t>2338 CL 1 M - RCF</t>
  </si>
  <si>
    <t>Blue Orange</t>
  </si>
  <si>
    <t>Poultry Solutions CL2 M 50KG- RCF</t>
  </si>
  <si>
    <t>Poultry Solutions CL2 M 50KG- RCF SFG</t>
  </si>
  <si>
    <t>2339 CL 2 M - RCF</t>
  </si>
  <si>
    <t>Poultry Solutions CL3 M 50KG- RCF</t>
  </si>
  <si>
    <t>Poultry Solutions CL3 M 50KG- RCF SFG</t>
  </si>
  <si>
    <t>2340 CL 3 M - RCF</t>
  </si>
  <si>
    <t>Poultry Solution Broiler  Booster , Crumble 50Kg- ABFI</t>
  </si>
  <si>
    <t>Poultry Solution Broiler  Booster , Crumble 50Kg- ABFI- SFG</t>
  </si>
  <si>
    <t>2335 ABFI</t>
  </si>
  <si>
    <t>Poultry Solution Broiler  Starter , Crumble 50Kg- ABFI</t>
  </si>
  <si>
    <t>Poultry Solution Broiler  Starter , Crumble 50Kg- ABFI- SFG</t>
  </si>
  <si>
    <t>2336 ABFI</t>
  </si>
  <si>
    <t>Poultry Solution Broiler  Finisher , Mini Pellet 50Kg- ABFI</t>
  </si>
  <si>
    <t>Poultry Solution Broiler  Finisher , Mini Pellet 50Kg- ABFI- SFG</t>
  </si>
  <si>
    <t>2337 ABFI</t>
  </si>
  <si>
    <t>Pork Solution Booster MD,25Kgs Mini Pellet</t>
  </si>
  <si>
    <t>Pork Solution Booster MD,25Kgs Mini Pellet SFG</t>
  </si>
  <si>
    <t>2476 DTF</t>
  </si>
  <si>
    <t>Tag - Pork Solutions Hog Booster Mini Pellet</t>
  </si>
  <si>
    <t>POULTRY SOLUTIONS BDR STR 1A C 50KG-ABFI</t>
  </si>
  <si>
    <t>Pol Sol BDR STR 1A C ABFI SFG</t>
  </si>
  <si>
    <t>2459 1-A ABFI</t>
  </si>
  <si>
    <t>Red Yellow</t>
  </si>
  <si>
    <t>POULTRY SOLUTIONS BDR STR 1B C 50KG-ABFI</t>
  </si>
  <si>
    <t>Pol Sol BDR STR 1B C ABFI SFG</t>
  </si>
  <si>
    <t>2460 1-B ABFI</t>
  </si>
  <si>
    <t>POULTRY SOLUTIONS BDR STR 2A C 50KG-ABFI</t>
  </si>
  <si>
    <t>Pol Sol BDR STR 2A C ABFI SFG</t>
  </si>
  <si>
    <t>2471 2-A C ABFI</t>
  </si>
  <si>
    <t>POULTRY SOLUTIONS BDR STR 2B C 50KG-ABFI</t>
  </si>
  <si>
    <t>Pol Sol BDR STR 2B C ABFI SFG</t>
  </si>
  <si>
    <t>2472 2-B C ABFI</t>
  </si>
  <si>
    <t>Red Blue</t>
  </si>
  <si>
    <t>POULTRY SOLUTIONS BDR GR1 C 50KG-ABFI</t>
  </si>
  <si>
    <t>Pol Sol BDR GR1 C ABFI SFG</t>
  </si>
  <si>
    <t>2474 GR-1 ABFI</t>
  </si>
  <si>
    <t>POULTRY SOLUTIONS BDR GR2 C 50KG-ABFI</t>
  </si>
  <si>
    <t>Pol Sol BDR GR2 C ABFI SFG</t>
  </si>
  <si>
    <t>2475 GR-2 ABFI</t>
  </si>
  <si>
    <t>POULTRY SOL BROILER FINISHER SB 50 KG</t>
  </si>
  <si>
    <t>POULTRY SOL BROILER FINISHER SB SFG</t>
  </si>
  <si>
    <t>2504 SB</t>
  </si>
  <si>
    <t>POULTRY SOL BREEDER LAYER 3 CR 50 KG</t>
  </si>
  <si>
    <t>POULTRY SOL BREEDER LAYER 3 CR SFG</t>
  </si>
  <si>
    <t>2505 L-3</t>
  </si>
  <si>
    <t>Pork Sol Pre Starter Davao TFarms</t>
  </si>
  <si>
    <t>2547 DTF</t>
  </si>
  <si>
    <t>Sack Pork Solutions Pre-starter 50kg</t>
  </si>
  <si>
    <t>Poultry Solutions Broiler Finisher MD-P-CS Mini Pellet, 50kg (ANAS)</t>
  </si>
  <si>
    <t>Poultry Solutions Broiler Finisher MD-P-CS Mini Pellet, SFG</t>
  </si>
  <si>
    <t>971 FIN ABFI</t>
  </si>
  <si>
    <t>Poultry Solutions CL1 P 50KG- EGC</t>
  </si>
  <si>
    <t>Poultry Solutions CL1 P - EGC SFG</t>
  </si>
  <si>
    <t xml:space="preserve"> 2559 CL 1 P</t>
  </si>
  <si>
    <t>Yellow Orange</t>
  </si>
  <si>
    <t>Poultry Solutions CL2 P 50KG- EGC</t>
  </si>
  <si>
    <t>Poultry Solutions CL2 P - EGC SFG</t>
  </si>
  <si>
    <t xml:space="preserve"> 2560 CL 2 P</t>
  </si>
  <si>
    <t>Poultry Solutions CL3 P 50KG- EGC</t>
  </si>
  <si>
    <t>Poultry Solutions CL3 P - EGC SFG</t>
  </si>
  <si>
    <t xml:space="preserve"> 2561 CL 3 P</t>
  </si>
  <si>
    <t>Green Orange</t>
  </si>
  <si>
    <t>Empty Sack - Plain White Sacks 50 kg</t>
  </si>
  <si>
    <t>Poultry Solutions CL1 M 50KG- EGC</t>
  </si>
  <si>
    <t>Poultry Solutions CL1 M - EGC SFG</t>
  </si>
  <si>
    <t>2508 CL 1 - M</t>
  </si>
  <si>
    <t>Poultry Solutions CL2 M 50KG- EGC</t>
  </si>
  <si>
    <t>Poultry Solutions CL2 M - EGC SFG</t>
  </si>
  <si>
    <t>2509 CL 2 - M</t>
  </si>
  <si>
    <t>Poultry Solutions CL3 M 50KG- EGC</t>
  </si>
  <si>
    <t>Poultry Solutions CL3 M - EGC SFG</t>
  </si>
  <si>
    <t>2510 CL 3 - M</t>
  </si>
  <si>
    <t>Poultry Solutions BR FIN MD 500KG</t>
  </si>
  <si>
    <t>Poultry Solutions BR STR MD 500KG</t>
  </si>
  <si>
    <t>Poultry Solutions BR BTR MD C 500KG</t>
  </si>
  <si>
    <t>Poultry Sol Supremecon LAYMIX CON M 50kg</t>
  </si>
  <si>
    <t>SFG Poultry Sol Supremecon LAYMIX CON M</t>
  </si>
  <si>
    <t>2625 LYMX CON</t>
  </si>
  <si>
    <t>Poultry Sol BDR LM C 50KG-ABFI</t>
  </si>
  <si>
    <t>SFG Poultry Sol BDR LM C ABFI</t>
  </si>
  <si>
    <t>2724 LM ABFI</t>
  </si>
  <si>
    <t>Poultry Sol BDR L1 C 50KG-ABFI</t>
  </si>
  <si>
    <t>SFG Poultry Sol BDR L1 C ABFI</t>
  </si>
  <si>
    <t>2725 IR L-1</t>
  </si>
  <si>
    <t>Poultry Sol BDR L2 C 50KG-ABFI</t>
  </si>
  <si>
    <t>SFG Poultry Sol BDR L2 C ABFI</t>
  </si>
  <si>
    <t>2719 L-2</t>
  </si>
  <si>
    <t>V2-POULTRY SOLUTIONS BREEDER LAYER2 50KG</t>
  </si>
  <si>
    <t>TAG POULTRY SOLUTIONS CHICKEN LAYER 2</t>
  </si>
  <si>
    <t>Poultry Sol BDR L3 C 50KG-ABFI</t>
  </si>
  <si>
    <t>SFG Poultry Sol BDR L3 C ABFI</t>
  </si>
  <si>
    <t>2720 L-3</t>
  </si>
  <si>
    <t>SACK POULTRY SOLUTIONS CHICKEN LAYER 2</t>
  </si>
  <si>
    <t>Poultry Sol Supremecon LAYMIX 2 M 50KG</t>
  </si>
  <si>
    <t>Poultry Solutions Supremecon LAYMIX 2 M SFG</t>
  </si>
  <si>
    <t>2747 - L2 MASH</t>
  </si>
  <si>
    <t>None</t>
  </si>
  <si>
    <t>New-Gallimax 2 Plus Ready Mix (Red), 50KG</t>
  </si>
  <si>
    <t>SFG Gallimax 2 Plus Readymix (Red)</t>
  </si>
  <si>
    <t>SFG Gallimax 2 Plus Pellet (Red)</t>
  </si>
  <si>
    <t>Poultry Sol BDR LM Cr AVG 50KG</t>
  </si>
  <si>
    <t>Poultry Solutions Breeder Male Cr AVG</t>
  </si>
  <si>
    <t>Pork Solutions STR P 50KG</t>
  </si>
  <si>
    <t>Pork Solutions GR P 50KG</t>
  </si>
  <si>
    <t>Pork Solutions FIN P 50KG</t>
  </si>
  <si>
    <t>Poultry Sol PL Cr 500KG-TRL</t>
  </si>
  <si>
    <t>SFG Poultry Sol PL Cr 500KG-TRL</t>
  </si>
  <si>
    <t>2782 Pre Layer</t>
  </si>
  <si>
    <t>Poultry Sol L1 Cr 500KG-TRL</t>
  </si>
  <si>
    <t>SFG Poultry Sol L1 Cr 500KG-TRL</t>
  </si>
  <si>
    <t>2783 PS L-1</t>
  </si>
  <si>
    <t>Poultry Sol L2 Cr 500KG-TRL</t>
  </si>
  <si>
    <t>SFG Poultry Sol L2 Cr 500KG-TRL</t>
  </si>
  <si>
    <t>2784 PS L-2</t>
  </si>
  <si>
    <t>Poultry Sol L3 Cr 500KG-TRL</t>
  </si>
  <si>
    <t>SFG Poultry Sol L3 Cr 500KG-TRL</t>
  </si>
  <si>
    <t>2785 PS L-3</t>
  </si>
  <si>
    <t>Poultry Sol CSL 1 Cr 500KG-TRL</t>
  </si>
  <si>
    <t>SFG Poultry Sol CSL 1 Cr 500KG-TRL</t>
  </si>
  <si>
    <t>2786 - PS CSL</t>
  </si>
  <si>
    <t>Pork Solutions Lactation, Pellet 50kg</t>
  </si>
  <si>
    <t>Supreme Con Mash LM</t>
  </si>
  <si>
    <t>Poultry Sol BDR L2 C 50KG-MNTRX TRL ABFI</t>
  </si>
  <si>
    <t>SFG_POULTRY SOLUTIONS Breeder layer 1 Mntrx</t>
  </si>
  <si>
    <t>2832 COBB L-1 MNTRX</t>
  </si>
  <si>
    <t>SFG_POULTRY SOLUTIONS Breeder layer 2 Mntrx</t>
  </si>
  <si>
    <t>2833 COBB L-2 MNTRX</t>
  </si>
  <si>
    <t>PS Pre-lay coarse mash 750kg totebag</t>
  </si>
  <si>
    <t>PS Layer 1 coarse mash 750kg totebag</t>
  </si>
  <si>
    <t>SFG Poultry Solutions CL1 M - EGC</t>
  </si>
  <si>
    <t>PS Layer 2 coarse mash 750kg totebag</t>
  </si>
  <si>
    <t>SFG Poultry Solutions CL2 M - EGC</t>
  </si>
  <si>
    <t>PS Layer 3 coarse mash 750kg totebag</t>
  </si>
  <si>
    <t>SFG Poultry Solutions CL3 M - EGC</t>
  </si>
  <si>
    <t>PS Start Lay coarse mash 750kg totebag</t>
  </si>
  <si>
    <t>Poultry Sol CStarterB C 50KG-SFPI</t>
  </si>
  <si>
    <t>2870 SFPI</t>
  </si>
  <si>
    <t>Poultry Sol CGrowerB C 50KG-SFPI</t>
  </si>
  <si>
    <t>2871 GB C - SFPI</t>
  </si>
  <si>
    <t>Poultry Sol PreLayB C 50KG-SFPI</t>
  </si>
  <si>
    <t>2872 SFPI</t>
  </si>
  <si>
    <t>Sack Poultry Solutions Pre-Lay 50kg</t>
  </si>
  <si>
    <t>Tag Poultry Solutions Pre-Lay Crumble</t>
  </si>
  <si>
    <t>Poultry Sol BDR L1 C 50KG-SFPI</t>
  </si>
  <si>
    <t>2873 SFPI</t>
  </si>
  <si>
    <t>Poultry Sol BDR L2 C 50KG-SFPI</t>
  </si>
  <si>
    <t>2874 SFPI</t>
  </si>
  <si>
    <t>Poultry Sol BDR LM C 50KG-SFPI</t>
  </si>
  <si>
    <t>2875 SFPI</t>
  </si>
  <si>
    <t>Poultry Sol BR STR MD MP 50KG</t>
  </si>
  <si>
    <t>Poultry Sol BR STR MD MP SFG</t>
  </si>
  <si>
    <t>2967 MP</t>
  </si>
  <si>
    <t>Poultry Sol CG 2 MP 50KG</t>
  </si>
  <si>
    <t>PS Chick grower 2 SFG</t>
  </si>
  <si>
    <t>2960 CG 2 MP</t>
  </si>
  <si>
    <t>Poultry Solution Chick Grower 50kg 1&amp;2</t>
  </si>
  <si>
    <t>Pork Solutions STR C 50KG-IFC</t>
  </si>
  <si>
    <t>SFG Pork Solutions STR C-IFC</t>
  </si>
  <si>
    <t>Pork Solutions Gestation H RF Mash</t>
  </si>
  <si>
    <t>Pork Solutions LACTA P 50KG-IFC</t>
  </si>
  <si>
    <t>SFG Pork Solutions LACTA P-IFC</t>
  </si>
  <si>
    <t>Pork Solutions LACTA MD P 50KG-IFC</t>
  </si>
  <si>
    <t>SFG Pork Solutions LACTA MD P-IFC</t>
  </si>
  <si>
    <t>Poultry Sol P DEV P 50KG</t>
  </si>
  <si>
    <t>SFG Poultry Sol P DEV P 50KG</t>
  </si>
  <si>
    <t>2997 PS PDEVP</t>
  </si>
  <si>
    <t>Sack Plain white PP w/ liner; 50kg 26x45</t>
  </si>
  <si>
    <t>PS Pre-Lay Breeder Mash</t>
  </si>
  <si>
    <t>PS Pre-Lay Breeder Mash_SFG</t>
  </si>
  <si>
    <t>1014 - P-L Brdr</t>
  </si>
  <si>
    <t>PSMD RM BASEMIX</t>
  </si>
  <si>
    <t>Poultry Sol Broiler Starter MP MD, 50kg</t>
  </si>
  <si>
    <t>Poultry Solutions Broiler Starter MP-MD SFG</t>
  </si>
  <si>
    <t>086 | PS BSMP</t>
  </si>
  <si>
    <t xml:space="preserve">PS Chicken Layer 1 Cr BN, 50 kg	</t>
  </si>
  <si>
    <t xml:space="preserve">SFG PS Chicken Layer 1 Cr BN	</t>
  </si>
  <si>
    <t>Elite XP RFG2 Sprinter 1x25kg</t>
  </si>
  <si>
    <t>SFG ELITE XP RFG2 SPRINTER</t>
  </si>
  <si>
    <t>3114 - BST T2</t>
  </si>
  <si>
    <t>PS Chicken Pre-Layer 50kg Pellet</t>
  </si>
  <si>
    <t>SFG PS Chicken Pre-Layer P</t>
  </si>
  <si>
    <t>p</t>
  </si>
  <si>
    <t>3162 - P-Layer</t>
  </si>
  <si>
    <t>PS Chicken Layer 1 Cr R12</t>
  </si>
  <si>
    <t xml:space="preserve">SFG PS Chicken Layer 1 Cr R12	</t>
  </si>
  <si>
    <t xml:space="preserve">3164 - Layer 1 </t>
  </si>
  <si>
    <t xml:space="preserve">PS Chicken Layer 2 Cr R12	</t>
  </si>
  <si>
    <t xml:space="preserve">SFG PS Chicken Layer 2 Cr R12	</t>
  </si>
  <si>
    <t>3165 - Layer 2</t>
  </si>
  <si>
    <t>Sack Plain White w/o Liner; 50kg 26 x42</t>
  </si>
  <si>
    <t>Poultry Sol Breeder Layer Male M 50kg</t>
  </si>
  <si>
    <t>SFG Poultry Sol Breeder LayerMale M 50kg</t>
  </si>
  <si>
    <t>1016 - Brdr L Male</t>
  </si>
  <si>
    <t>SALTO WHEAT GERM PLUS MP 1 KG X 25</t>
  </si>
  <si>
    <t>SFG Salto Wheat Germ Plus, 700 g</t>
  </si>
  <si>
    <t>Poultry Solutions Breeder Layer 2 Mash</t>
  </si>
  <si>
    <t>SFG Poultry Solutions Breeder Layer 2SFG1</t>
  </si>
  <si>
    <t>Elite XP RFG Sprinter</t>
  </si>
  <si>
    <t>SFG Elite XP RFG Sprinter</t>
  </si>
  <si>
    <t>BST T2</t>
  </si>
  <si>
    <t xml:space="preserve">Salto - Chick Booster Crumble 1x25 kg	</t>
  </si>
  <si>
    <t>Salto Baby Stag with Grits, 1x25 kg</t>
  </si>
  <si>
    <t>Salto Stag Developer, Ready Mix 1x25 kg</t>
  </si>
  <si>
    <t>Salto - Conditioner Pellet 1x25 kg</t>
  </si>
  <si>
    <t>Salto Stag Conditioner 1x25 kg</t>
  </si>
  <si>
    <t>Salto Power Pellet 1x25 kg</t>
  </si>
  <si>
    <t>SFG Salto Powermix 2SFG1</t>
  </si>
  <si>
    <t>SFG Salto Powermix 3SFG1</t>
  </si>
  <si>
    <t>SFG Salto Powermix 4SFG1</t>
  </si>
  <si>
    <t xml:space="preserve">Gallimax 1 Booster Cr 50 LBS	</t>
  </si>
  <si>
    <t>Gallimax 2 Developer Cr 50 LBS</t>
  </si>
  <si>
    <t>Gallimax 2 Plus Ready Mix (Natural) 50 LBS</t>
  </si>
  <si>
    <t>Gallimax 3 Maintenance (Natural) P 50 LBS</t>
  </si>
  <si>
    <t>Gallimax 21 Chicken Layer P (Breeder) 50 LBS</t>
  </si>
  <si>
    <t>Elite XP Growex 1 Pellet 50lbs</t>
  </si>
  <si>
    <t>Classic Hog Growex Pellet 50lbs</t>
  </si>
  <si>
    <t>Kunemax Grower Pellet 50lbs</t>
  </si>
  <si>
    <t>SFG Kunemax Grower PelletSFG1</t>
  </si>
  <si>
    <t>Kunemax Breeder Pellet 50lbs</t>
  </si>
  <si>
    <t>SFG Kunemax Breeder PelletSFG1</t>
  </si>
  <si>
    <t>Poultry Express Chick Boostex Cr 50lbs</t>
  </si>
  <si>
    <t>Poultry Express Broiler Startex Cr 50lbs</t>
  </si>
  <si>
    <t>Poultry Express Broiler Finex Cr 50lbs</t>
  </si>
  <si>
    <t>Poultry Express Chicken Growex Cr 50lbs</t>
  </si>
  <si>
    <t>Poultry Express Pre-Lay Cr 50lbs</t>
  </si>
  <si>
    <t>Poultry Express Chicken Layex Cr 50lbs</t>
  </si>
  <si>
    <t>Poultry Sol Breeder Layer 1 Cr 50lbs</t>
  </si>
  <si>
    <t>SFG Poultry Solutions Breeder Layer 1SFG1</t>
  </si>
  <si>
    <t>Poultry Express CL1 Cr 50kg BAI</t>
  </si>
  <si>
    <t>SFG PE Chicken Layer 1 Cr BAI</t>
  </si>
  <si>
    <t>Rolled Wheat</t>
  </si>
  <si>
    <t>Rolled Corn</t>
  </si>
  <si>
    <t>Poultry Solutions CSB Cr 50 kg-SF</t>
  </si>
  <si>
    <t>SFG Poultry Solutions CSB Cr 50 kg-SF</t>
  </si>
  <si>
    <t>Tag Poultry Solutions Chick Starter</t>
  </si>
  <si>
    <t>Poultry Solutions CGB Cr 50 kg-SF</t>
  </si>
  <si>
    <t>SFG Poultry Solutions CGB Cr 50 kg-SF</t>
  </si>
  <si>
    <t>3706 - IR WC</t>
  </si>
  <si>
    <t>Tag Poultry Solutions Chick Grower</t>
  </si>
  <si>
    <t>Poultry Solutions PLB Cr 50 kg-SF</t>
  </si>
  <si>
    <t>SFG Poultry Solutions PLB Cr 50 kg-SF</t>
  </si>
  <si>
    <t>3703 - IR</t>
  </si>
  <si>
    <t>Poultry Solutions BL1 Cr 50 kg-SF</t>
  </si>
  <si>
    <t>SFG Poultry Solutions BL1 Cr 50 kg-SF</t>
  </si>
  <si>
    <t>3707 AA</t>
  </si>
  <si>
    <t>Sack Poultry Solutions Breeder Layer 1</t>
  </si>
  <si>
    <t>Tag - PS Breeder Layer 1 Crumble, 50kg</t>
  </si>
  <si>
    <t>Poultry Solutions BL2 Cr 50 kg-SF</t>
  </si>
  <si>
    <t>SFG Poultry Solutions BL2 Cr 50 kg-SF</t>
  </si>
  <si>
    <t>v2-Poultry Solutions Breeder Layer2 50kg</t>
  </si>
  <si>
    <t>Poultry Solutions BL Male Cr 50 kg-SF</t>
  </si>
  <si>
    <t>SFG Poultry Solutions BL Male Cr 50 kg-SF</t>
  </si>
  <si>
    <t>Sack Poultry Solutions Breeder L Male</t>
  </si>
  <si>
    <t>PS Chick Starter 1 Mash 750 kg</t>
  </si>
  <si>
    <t>SFG PS Chick Starter 1 Mash 750 kg</t>
  </si>
  <si>
    <t>PS Chick Starter 2 Mash 750 kg</t>
  </si>
  <si>
    <t>SFG PS Chick Starter 2 Mash 750 kg</t>
  </si>
  <si>
    <t>PS Chick Grower Mash 750 kg</t>
  </si>
  <si>
    <t>SFG PS Chick Grower Mash 750 kg</t>
  </si>
  <si>
    <t>PS Chick Starter 1 Cr 750 kg</t>
  </si>
  <si>
    <t>SFG PS Chick Starter 1 Cr 750 kg</t>
  </si>
  <si>
    <t>PS Chick Starter 2 Cr 750 kg</t>
  </si>
  <si>
    <t>SFG PS Chick Starter 2 Cr 750 kg</t>
  </si>
  <si>
    <t>PS Chick Grower Cr 750 kg</t>
  </si>
  <si>
    <t>SFG PS Chick Grower Cr 750 kg</t>
  </si>
  <si>
    <t>Yellow Tag</t>
  </si>
  <si>
    <t>PS Pre-lay Cr 750 kg</t>
  </si>
  <si>
    <t>SFG PS Pre-lay Cr 750 kg</t>
  </si>
  <si>
    <t>Green Tag</t>
  </si>
  <si>
    <t>Chicken Start Lay Cr 750 kg</t>
  </si>
  <si>
    <t>SFG Chicken Start Lay Cr 750 kg</t>
  </si>
  <si>
    <t>PS Chicken Layer 1 Cr 750 kg</t>
  </si>
  <si>
    <t>SFG PS Chicken Layer 1 Cr 750 kg</t>
  </si>
  <si>
    <t>White Tag</t>
  </si>
  <si>
    <t>PS Chicken Layer 2 Cr 750 kg</t>
  </si>
  <si>
    <t>SFG PS Chicken Layer 2 Cr 750 kg</t>
  </si>
  <si>
    <t>Blue Tag</t>
  </si>
  <si>
    <t>PS Chicken Layer 3 Cr 750 kg</t>
  </si>
  <si>
    <t>SFG PS Chicken Layer 3 Cr 750 kg</t>
  </si>
  <si>
    <t>Avemax Duck Startex, SC 50kg</t>
  </si>
  <si>
    <t>SFG Avemax Duck Startex, SC 50kg</t>
  </si>
  <si>
    <t>Avemax Duck Growex, MP 50kg</t>
  </si>
  <si>
    <t>SFG Avemax Duck Growex, MP 50kg</t>
  </si>
  <si>
    <t>Avemax Duck Layex Prem, P 50kg</t>
  </si>
  <si>
    <t>SFG Avemax Duck Layex Prem, P 50kg</t>
  </si>
  <si>
    <t>Avemax Duck Layex, P 50kg</t>
  </si>
  <si>
    <t>SFG Avemax Duck Layex, P 50kg</t>
  </si>
  <si>
    <t>PS Chick Starter 1 Breeder Cr C</t>
  </si>
  <si>
    <t>SFG PS Chick Starter 1 Breeder Cr C</t>
  </si>
  <si>
    <t>PS Chick Starter 2 Breeder Cr C</t>
  </si>
  <si>
    <t>SFG PS Chick Starter 2 Breeder Cr C</t>
  </si>
  <si>
    <t>PS Chick Grower Breeder Cr C</t>
  </si>
  <si>
    <t>SFG PS Chick Grower Breeder Cr C</t>
  </si>
  <si>
    <t>PS Chick Pre-Lay Breeder Cr C</t>
  </si>
  <si>
    <t>SFG PS Chick Pre-Lay Breeder Cr C</t>
  </si>
  <si>
    <t>PS Breeder Layer 1 Cr C</t>
  </si>
  <si>
    <t>SFG PS Breeder Layer 1 Cr C</t>
  </si>
  <si>
    <t>PS Breeder Layer 2 Cr C</t>
  </si>
  <si>
    <t>SFG PS Breeder Layer 2 Cr C</t>
  </si>
  <si>
    <t>PS Breeder Layer 3 Cr C</t>
  </si>
  <si>
    <t>SFG PS Breeder Layer 3 Cr C</t>
  </si>
  <si>
    <t>PS Breeder Layer Male Cr C</t>
  </si>
  <si>
    <t>SFG PS Breeder Layer Male Cr C</t>
  </si>
  <si>
    <t>PS Broiler Finisher MD CA MP, 50kg</t>
  </si>
  <si>
    <t>SFG PS Broiler Finisher MD CA MP</t>
  </si>
  <si>
    <t>3869 MD CA</t>
  </si>
  <si>
    <t>PS Chick Grower 2 Breeder Crumble 50kg</t>
  </si>
  <si>
    <t>SFG PS Chick Grower 2 Breeder Crumble</t>
  </si>
  <si>
    <t>PS Broiler Starter MD CA Crumble, 50kg</t>
  </si>
  <si>
    <t>SFG PS Broiler Starter MD CA Crumble, 50kg</t>
  </si>
  <si>
    <t>3879 MD CA</t>
  </si>
  <si>
    <t>PS Broiler Booster MD CA Crumble, 50kg</t>
  </si>
  <si>
    <t>SFG PS Broiler Booster MD CA Crumble, 50kg</t>
  </si>
  <si>
    <t>3880 MD CA</t>
  </si>
  <si>
    <t>Kunemax Sprinter MP 25 kg</t>
  </si>
  <si>
    <t>Kunemax Grower MP 25 kg</t>
  </si>
  <si>
    <t>Packaging-Kunemax GP, 25kg</t>
  </si>
  <si>
    <t>Tag Kunemax Grower Pellet, 25Kg</t>
  </si>
  <si>
    <t>Poultry Sol Broiler Booster MD-PC Cr50kg</t>
  </si>
  <si>
    <t>SFG SFG Poultry Sol BroilerBoosterMDPCCr</t>
  </si>
  <si>
    <t>1032-MD-PC</t>
  </si>
  <si>
    <t>BLUE ORANGE</t>
  </si>
  <si>
    <t>Sack Poultry Solutions Broiler Booster</t>
  </si>
  <si>
    <t>Tag Poultry Solutions Broiler Booster</t>
  </si>
  <si>
    <t>PS Lactation Pellet 50kg (Lakas Gatas Ba</t>
  </si>
  <si>
    <t>SFG Pork Solutions Lactation Pellet 50Kg (La</t>
  </si>
  <si>
    <t>Pork Solutions Grower 1 ML Pellet 50Kg</t>
  </si>
  <si>
    <t>SFG Pork Solutions Grower 1 ML Pellet 50Kg</t>
  </si>
  <si>
    <t>Pork Solutions Grower 2 ML Pellet 50Kg</t>
  </si>
  <si>
    <t>SFG Pork Solutions Grower 2 ML Pellet 50Kg</t>
  </si>
  <si>
    <t>Pork Solutions Starter ML Pellet 50Kg</t>
  </si>
  <si>
    <t>SFG Pork Solutions Starter ML Pellet 50Kg</t>
  </si>
  <si>
    <t>Pork Solutions Pre Starter ML Pellet 50Kg</t>
  </si>
  <si>
    <t>SFG Pork Solutions Pre Starter ML Pellet 50Kg</t>
  </si>
  <si>
    <t>PS Chick Starter 1 Crumble, 50 kg</t>
  </si>
  <si>
    <t>SFG PS Chick Starter 1 Crumble, 50 kg</t>
  </si>
  <si>
    <t>PS Chick Starter 2 Crumble, 50 kg</t>
  </si>
  <si>
    <t>SFG PS Chick Starter 2 Crumble, 50 kg</t>
  </si>
  <si>
    <t>Poultry Solutions Broiler Booster, Cr 50kg-JW</t>
  </si>
  <si>
    <t>SFG Poultry Solutions Broiler Booster, Cr-JW</t>
  </si>
  <si>
    <t>Poultry Solutions Chick Starter, Cr 50kg-JW</t>
  </si>
  <si>
    <t>SFG Poultry Solutions Chick Starter, Cr-JW</t>
  </si>
  <si>
    <t>Poultry Solutions Chick Grower 1, Cr 50kg-JW</t>
  </si>
  <si>
    <t>SFG Poultry Solutions Chick Grower 1, Cr-JW</t>
  </si>
  <si>
    <t>Poultry Solutions Pre-Layer, Cr 50kg-JW</t>
  </si>
  <si>
    <t>SFG Poultry Solutions Chicken Pre-Layer, Cr-JW</t>
  </si>
  <si>
    <t>Poultry Solutions Chicken Layer 1, P 50kg-JW</t>
  </si>
  <si>
    <t>SFG Poultry Solutions Chicken Layer 1, P-JW</t>
  </si>
  <si>
    <t>Poultry Solutions Chicken Layer 2, P 50kg-JW</t>
  </si>
  <si>
    <t>SFG Poultry Solutions Chicken Layer 2,P-JW</t>
  </si>
  <si>
    <t>Poultry Solutions Broiler Booster, Cr Bulk-JW</t>
  </si>
  <si>
    <t>Poultry Solutions Chick Starter, Cr Bulk-JW</t>
  </si>
  <si>
    <t>Poultry Solutions Chick Grower 1, Cr Bulk-JW</t>
  </si>
  <si>
    <t>Poultry Solutions Pre-Layer, Cr Bulk-W</t>
  </si>
  <si>
    <t>Poultry Solutions Chicken Layer 1, P Bulk-JW</t>
  </si>
  <si>
    <t>Poultry Solutions Chicken Layer 2,P Bulk-JW</t>
  </si>
  <si>
    <t>Bobbit Rabbit - Pellet 1kg x25</t>
  </si>
  <si>
    <t>SFG Kunemax Grower</t>
  </si>
  <si>
    <t>Pol Sol Chk Pre-lay, C BCM 50kg</t>
  </si>
  <si>
    <t>SFG Pol Sol Chk Pre-lay, C BCM 50kg</t>
  </si>
  <si>
    <t>Pol Sol Chk Layer 1, C BCM 50kg</t>
  </si>
  <si>
    <t>SFG Pol Sol Chk Layer 1, C BCM 50kg</t>
  </si>
  <si>
    <t>Sack Poultry Solutions Chicken Layer 1</t>
  </si>
  <si>
    <t>Tag Poultry Solutions Chicken Layer 1</t>
  </si>
  <si>
    <t>Pol Sol Chk Layer 1, C BC 50kg</t>
  </si>
  <si>
    <t>SFG Pol Sol Chk Layer 1, C BC 50kg</t>
  </si>
  <si>
    <t>PS Chick Grower 2 Cr 50kg-JEWM</t>
  </si>
  <si>
    <t>Pol Sol Chk Grower 2 C -JW</t>
  </si>
  <si>
    <t>PS Chick Grower 2 Cr Bulk-JEWM</t>
  </si>
  <si>
    <t>Pol Sol Chk Pre-lay, C BCA 50kg</t>
  </si>
  <si>
    <t>Pol Sol Chk Pre-lay, C BCA</t>
  </si>
  <si>
    <t>Pol Sol Chk Layer 1, C BCA 50kg</t>
  </si>
  <si>
    <t>Pol Sol Chk Layer 1, C BCA</t>
  </si>
  <si>
    <t>Pol Sol Chk Layer 2, C BCA 50kg</t>
  </si>
  <si>
    <t>Pol Sol Chk Layer 2, C BCA</t>
  </si>
  <si>
    <t>Pricing (Php)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</si>
</sst>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4" fillId="2" borderId="0" xfId="1" applyFont="1" applyFill="1"/>
    <xf numFmtId="1" fontId="1" fillId="2" borderId="0" xfId="1" applyNumberFormat="1" applyFont="1" applyFill="1" applyAlignment="1">
      <alignment horizontal="center"/>
    </xf>
    <xf numFmtId="0" fontId="1" fillId="2" borderId="0" xfId="1" applyFont="1" applyFill="1"/>
    <xf numFmtId="165" fontId="1" fillId="3" borderId="0" xfId="1" applyNumberFormat="1" applyFont="1" applyFill="1" applyAlignment="1">
      <alignment horizontal="center" vertical="center"/>
    </xf>
    <xf numFmtId="1" fontId="1" fillId="2" borderId="0" xfId="1" applyNumberFormat="1" applyFont="1" applyFill="1"/>
    <xf numFmtId="0" fontId="3" fillId="2" borderId="0" xfId="1" applyFill="1"/>
    <xf numFmtId="0" fontId="1" fillId="2" borderId="0" xfId="1" applyFont="1" applyFill="1" applyAlignment="1">
      <alignment horizontal="center" vertical="center"/>
    </xf>
    <xf numFmtId="3" fontId="1" fillId="3" borderId="0" xfId="1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4EBDB405-F659-4D1D-9176-7922E0DB1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PwC Slide Master">
  <a:themeElements>
    <a:clrScheme name="PwC Office Colours">
      <a:dk1>
        <a:srgbClr val="000000"/>
      </a:dk1>
      <a:lt1>
        <a:srgbClr val="FFFFFF"/>
      </a:lt1>
      <a:dk2>
        <a:srgbClr val="000000"/>
      </a:dk2>
      <a:lt2>
        <a:srgbClr val="EBEBEB"/>
      </a:lt2>
      <a:accent1>
        <a:srgbClr val="FD5108"/>
      </a:accent1>
      <a:accent2>
        <a:srgbClr val="FE7C39"/>
      </a:accent2>
      <a:accent3>
        <a:srgbClr val="FFAA72"/>
      </a:accent3>
      <a:accent4>
        <a:srgbClr val="A1A8B3"/>
      </a:accent4>
      <a:accent5>
        <a:srgbClr val="B5BCC4"/>
      </a:accent5>
      <a:accent6>
        <a:srgbClr val="CBD1D6"/>
      </a:accent6>
      <a:hlink>
        <a:srgbClr val="000000"/>
      </a:hlink>
      <a:folHlink>
        <a:srgbClr val="A1A8B3"/>
      </a:folHlink>
    </a:clrScheme>
    <a:fontScheme name="PwC Offic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z="1600" dirty="0" err="1" smtClean="0">
            <a:latin typeface="+mj-lt"/>
          </a:defRPr>
        </a:defPPr>
      </a:lstStyle>
    </a:txDef>
  </a:objectDefaults>
  <a:extraClrSchemeLst/>
  <a:custClrLst>
    <a:custClr name="Orange">
      <a:srgbClr val="FD5108"/>
    </a:custClr>
    <a:custClr name="Medium Orange">
      <a:srgbClr val="FE7C39"/>
    </a:custClr>
    <a:custClr name="Light Orange">
      <a:srgbClr val="FFAA72"/>
    </a:custClr>
    <a:custClr name="Orange Tint 1">
      <a:srgbClr val="FFCDA8"/>
    </a:custClr>
    <a:custClr name="Orange Tint 2">
      <a:srgbClr val="FFE8D4"/>
    </a:custClr>
    <a:custClr name="Orange Tint 3">
      <a:srgbClr val="FFF5ED"/>
    </a:custClr>
    <a:custClr name="Blank">
      <a:srgbClr val="FFFFFF"/>
    </a:custClr>
    <a:custClr name="Blank">
      <a:srgbClr val="FFFFFF"/>
    </a:custClr>
    <a:custClr name="Blank">
      <a:srgbClr val="FFFFFF"/>
    </a:custClr>
    <a:custClr name="Blank">
      <a:srgbClr val="FFFFFF"/>
    </a:custClr>
    <a:custClr name="Grey">
      <a:srgbClr val="A1A8B3"/>
    </a:custClr>
    <a:custClr name="Medium Grey">
      <a:srgbClr val="B5BCC4"/>
    </a:custClr>
    <a:custClr name="Light Grey">
      <a:srgbClr val="CBD1D6"/>
    </a:custClr>
    <a:custClr name="Grey Tint 1">
      <a:srgbClr val="DFE3E6"/>
    </a:custClr>
    <a:custClr name="Grey Tint 2">
      <a:srgbClr val="EEEFF1"/>
    </a:custClr>
    <a:custClr name="Grey Tint 3">
      <a:srgbClr val="F5F7F8"/>
    </a:custClr>
  </a:custClrLst>
  <a:extLst>
    <a:ext uri="{05A4C25C-085E-4340-85A3-A5531E510DB2}">
      <thm15:themeFamily xmlns:thm15="http://schemas.microsoft.com/office/thememl/2012/main" name="PwC_ppt_template" id="{0B296F49-9839-BE48-A6B0-07FAE54AD4FB}" vid="{251455FA-3AFB-1547-9744-D9A806732972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D4BF-E697-4701-BF35-8610E7B40E06}">
  <dimension ref="A1:AD358"/>
  <sheetViews>
    <sheetView tabSelected="1" workbookViewId="0">
      <selection activeCell="I6" sqref="I6"/>
    </sheetView>
  </sheetViews>
  <sheetFormatPr defaultColWidth="8.7265625" defaultRowHeight="15" customHeight="1" x14ac:dyDescent="0.3"/>
  <cols>
    <col min="1" max="6" width="20.6328125" style="5" customWidth="1"/>
    <col min="7" max="8" width="20.6328125" style="9" customWidth="1"/>
    <col min="9" max="30" width="20.6328125" style="5" customWidth="1"/>
    <col min="31" max="16384" width="8.7265625" style="8"/>
  </cols>
  <sheetData>
    <row r="1" spans="1:30" s="3" customFormat="1" ht="16.14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1013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ht="15.55" x14ac:dyDescent="0.3">
      <c r="A2" s="4">
        <v>1000000000933</v>
      </c>
      <c r="B2" s="5" t="s">
        <v>29</v>
      </c>
      <c r="C2" s="4">
        <v>3000000000545</v>
      </c>
      <c r="D2" s="5" t="s">
        <v>30</v>
      </c>
      <c r="E2" s="5" t="s">
        <v>31</v>
      </c>
      <c r="F2" s="5" t="s">
        <v>32</v>
      </c>
      <c r="G2" s="10" cm="1">
        <f t="array" ref="G2">IF(OR($A2="",$L2=""),"",_xlfn.LET(_xlpm.cat,UPPER($E2),_xlpm.wt,IFERROR(VALUE(LEFT($L2,FIND(" ",$L2&amp;" ")-1)),$L2),_xlpm.ppk,_xlfn.SWITCH(TRUE,_xlpm.cat="GAMEFOWL",62,_xlpm.cat="POULTRY",45,_xlpm.cat="SWINE",48,_xlpm.cat="HOGS",48,_xlpm.cat="RABBIT",40,45),_xlpm.code,IFERROR(VALUE(LEFT($A2,FIND(" ",$A2&amp;" ")-1)),0),_xlpm.v,1+MOD(_xlpm.code,13)/100,ROUND(_xlpm.ppk*_xlpm.wt*_xlpm.v,0)))</f>
        <v>2664</v>
      </c>
      <c r="H2" s="6" cm="1">
        <f t="array" ref="H2">IF(OR($A2="",$L2=""),"",_xlfn.LET(_xlpm.cat,UPPER($E2),_xlpm.base,_xlfn.SWITCH(TRUE,_xlpm.cat="GAMEFOWL",0.22,_xlpm.cat="POULTRY",0.18,_xlpm.cat="SWINE",0.16,_xlpm.cat="HOGS",0.16,_xlpm.cat="RABBIT",0.15,0.17),_xlpm.code,IFERROR(VALUE(LEFT($A2,FIND(" ",$A2&amp;" ")-1)),0),_xlpm.v,MOD(_xlpm.code,9)/1000,MIN(0.3,MAX(0.1,_xlpm.base+_xlpm.v))))</f>
        <v>0.16700000000000001</v>
      </c>
      <c r="I2" s="5" t="s">
        <v>33</v>
      </c>
      <c r="J2" s="5">
        <v>4</v>
      </c>
      <c r="K2" s="5">
        <v>0.17</v>
      </c>
      <c r="L2" s="5">
        <v>50</v>
      </c>
      <c r="M2" s="5">
        <v>4</v>
      </c>
      <c r="N2" s="5">
        <v>2</v>
      </c>
      <c r="O2" s="5">
        <v>2</v>
      </c>
      <c r="Q2" s="5" t="s">
        <v>34</v>
      </c>
      <c r="R2" s="5" t="s">
        <v>34</v>
      </c>
      <c r="S2" s="5" t="s">
        <v>34</v>
      </c>
      <c r="T2" s="7" t="s">
        <v>34</v>
      </c>
      <c r="U2" s="5" t="s">
        <v>34</v>
      </c>
      <c r="V2" s="7" t="s">
        <v>34</v>
      </c>
      <c r="W2" s="5" t="s">
        <v>34</v>
      </c>
      <c r="X2" s="5" t="s">
        <v>34</v>
      </c>
      <c r="Y2" s="5" t="s">
        <v>34</v>
      </c>
      <c r="Z2" s="5" t="s">
        <v>34</v>
      </c>
      <c r="AA2" s="5" t="s">
        <v>34</v>
      </c>
      <c r="AB2" s="5" t="s">
        <v>34</v>
      </c>
      <c r="AC2" s="5" t="s">
        <v>34</v>
      </c>
      <c r="AD2" s="5" t="s">
        <v>34</v>
      </c>
    </row>
    <row r="3" spans="1:30" ht="15.55" x14ac:dyDescent="0.3">
      <c r="A3" s="4">
        <v>1000000000935</v>
      </c>
      <c r="B3" s="5" t="s">
        <v>35</v>
      </c>
      <c r="C3" s="4">
        <v>3000000000549</v>
      </c>
      <c r="D3" s="5" t="s">
        <v>36</v>
      </c>
      <c r="E3" s="5" t="s">
        <v>31</v>
      </c>
      <c r="F3" s="5" t="s">
        <v>32</v>
      </c>
      <c r="G3" s="10" cm="1">
        <f t="array" ref="G3">IF(OR($A3="",$L3=""),"",_xlfn.LET(_xlpm.cat,UPPER($E3),_xlpm.wt,IFERROR(VALUE(LEFT($L3,FIND(" ",$L3&amp;" ")-1)),$L3),_xlpm.ppk,_xlfn.SWITCH(TRUE,_xlpm.cat="GAMEFOWL",62,_xlpm.cat="POULTRY",45,_xlpm.cat="SWINE",48,_xlpm.cat="HOGS",48,_xlpm.cat="RABBIT",40,45),_xlpm.code,IFERROR(VALUE(LEFT($A3,FIND(" ",$A3&amp;" ")-1)),0),_xlpm.v,1+MOD(_xlpm.code,13)/100,ROUND(_xlpm.ppk*_xlpm.wt*_xlpm.v,0)))</f>
        <v>2400</v>
      </c>
      <c r="H3" s="6" cm="1">
        <f t="array" ref="H3">IF(OR($A3="",$L3=""),"",_xlfn.LET(_xlpm.cat,UPPER($E3),_xlpm.base,_xlfn.SWITCH(TRUE,_xlpm.cat="GAMEFOWL",0.22,_xlpm.cat="POULTRY",0.18,_xlpm.cat="SWINE",0.16,_xlpm.cat="HOGS",0.16,_xlpm.cat="RABBIT",0.15,0.17),_xlpm.code,IFERROR(VALUE(LEFT($A3,FIND(" ",$A3&amp;" ")-1)),0),_xlpm.v,MOD(_xlpm.code,9)/1000,MIN(0.3,MAX(0.1,_xlpm.base+_xlpm.v))))</f>
        <v>0.16</v>
      </c>
      <c r="I3" s="5" t="s">
        <v>33</v>
      </c>
      <c r="J3" s="5">
        <v>4</v>
      </c>
      <c r="K3" s="5">
        <v>0.17</v>
      </c>
      <c r="L3" s="5">
        <v>50</v>
      </c>
      <c r="M3" s="5">
        <v>4</v>
      </c>
      <c r="N3" s="5">
        <v>2</v>
      </c>
      <c r="O3" s="5">
        <v>2</v>
      </c>
      <c r="Q3" s="5" t="s">
        <v>34</v>
      </c>
      <c r="R3" s="5" t="s">
        <v>34</v>
      </c>
      <c r="S3" s="5" t="s">
        <v>34</v>
      </c>
      <c r="T3" s="7" t="s">
        <v>34</v>
      </c>
      <c r="U3" s="5" t="s">
        <v>34</v>
      </c>
      <c r="V3" s="7" t="s">
        <v>34</v>
      </c>
      <c r="W3" s="5" t="s">
        <v>34</v>
      </c>
      <c r="X3" s="5" t="s">
        <v>34</v>
      </c>
      <c r="Y3" s="5" t="s">
        <v>34</v>
      </c>
      <c r="Z3" s="5" t="s">
        <v>34</v>
      </c>
      <c r="AA3" s="5" t="s">
        <v>34</v>
      </c>
      <c r="AB3" s="5" t="s">
        <v>34</v>
      </c>
      <c r="AC3" s="5" t="s">
        <v>34</v>
      </c>
      <c r="AD3" s="5" t="s">
        <v>34</v>
      </c>
    </row>
    <row r="4" spans="1:30" ht="15.55" x14ac:dyDescent="0.3">
      <c r="A4" s="4">
        <v>1000000000936</v>
      </c>
      <c r="B4" s="5" t="s">
        <v>37</v>
      </c>
      <c r="C4" s="4">
        <v>3000000000579</v>
      </c>
      <c r="D4" s="5" t="s">
        <v>38</v>
      </c>
      <c r="E4" s="5" t="s">
        <v>31</v>
      </c>
      <c r="F4" s="5" t="s">
        <v>32</v>
      </c>
      <c r="G4" s="10" cm="1">
        <f t="array" ref="G4">IF(OR($A4="",$L4=""),"",_xlfn.LET(_xlpm.cat,UPPER($E4),_xlpm.wt,IFERROR(VALUE(LEFT($L4,FIND(" ",$L4&amp;" ")-1)),$L4),_xlpm.ppk,_xlfn.SWITCH(TRUE,_xlpm.cat="GAMEFOWL",62,_xlpm.cat="POULTRY",45,_xlpm.cat="SWINE",48,_xlpm.cat="HOGS",48,_xlpm.cat="RABBIT",40,45),_xlpm.code,IFERROR(VALUE(LEFT($A4,FIND(" ",$A4&amp;" ")-1)),0),_xlpm.v,1+MOD(_xlpm.code,13)/100,ROUND(_xlpm.ppk*_xlpm.wt*_xlpm.v,0)))</f>
        <v>2424</v>
      </c>
      <c r="H4" s="6" cm="1">
        <f t="array" ref="H4">IF(OR($A4="",$L4=""),"",_xlfn.LET(_xlpm.cat,UPPER($E4),_xlpm.base,_xlfn.SWITCH(TRUE,_xlpm.cat="GAMEFOWL",0.22,_xlpm.cat="POULTRY",0.18,_xlpm.cat="SWINE",0.16,_xlpm.cat="HOGS",0.16,_xlpm.cat="RABBIT",0.15,0.17),_xlpm.code,IFERROR(VALUE(LEFT($A4,FIND(" ",$A4&amp;" ")-1)),0),_xlpm.v,MOD(_xlpm.code,9)/1000,MIN(0.3,MAX(0.1,_xlpm.base+_xlpm.v))))</f>
        <v>0.161</v>
      </c>
      <c r="I4" s="5" t="s">
        <v>33</v>
      </c>
      <c r="J4" s="5">
        <v>4</v>
      </c>
      <c r="K4" s="5">
        <v>0.17</v>
      </c>
      <c r="L4" s="5">
        <v>50</v>
      </c>
      <c r="M4" s="5">
        <v>4</v>
      </c>
      <c r="N4" s="5">
        <v>2</v>
      </c>
      <c r="O4" s="5">
        <v>2</v>
      </c>
      <c r="Q4" s="5" t="s">
        <v>34</v>
      </c>
      <c r="R4" s="5" t="s">
        <v>34</v>
      </c>
      <c r="S4" s="5" t="s">
        <v>39</v>
      </c>
      <c r="T4" s="7">
        <v>5000000000048</v>
      </c>
      <c r="U4" s="5" t="s">
        <v>40</v>
      </c>
      <c r="V4" s="7">
        <v>5000000000101</v>
      </c>
      <c r="W4" s="5" t="s">
        <v>41</v>
      </c>
      <c r="X4" s="5">
        <v>20.130247077374761</v>
      </c>
      <c r="Y4" s="5">
        <v>20.046787538556149</v>
      </c>
      <c r="Z4" s="5" t="s">
        <v>34</v>
      </c>
      <c r="AA4" s="5" t="s">
        <v>34</v>
      </c>
      <c r="AB4" s="5" t="s">
        <v>34</v>
      </c>
      <c r="AC4" s="5">
        <v>7.163720597014926</v>
      </c>
      <c r="AD4" s="5" t="s">
        <v>34</v>
      </c>
    </row>
    <row r="5" spans="1:30" ht="15.55" x14ac:dyDescent="0.3">
      <c r="A5" s="4">
        <v>1000000000939</v>
      </c>
      <c r="B5" s="5" t="s">
        <v>42</v>
      </c>
      <c r="C5" s="4">
        <v>3000000000611</v>
      </c>
      <c r="D5" s="5" t="s">
        <v>43</v>
      </c>
      <c r="E5" s="5" t="s">
        <v>31</v>
      </c>
      <c r="F5" s="5" t="s">
        <v>32</v>
      </c>
      <c r="G5" s="10" cm="1">
        <f t="array" ref="G5">IF(OR($A5="",$L5=""),"",_xlfn.LET(_xlpm.cat,UPPER($E5),_xlpm.wt,IFERROR(VALUE(LEFT($L5,FIND(" ",$L5&amp;" ")-1)),$L5),_xlpm.ppk,_xlfn.SWITCH(TRUE,_xlpm.cat="GAMEFOWL",62,_xlpm.cat="POULTRY",45,_xlpm.cat="SWINE",48,_xlpm.cat="HOGS",48,_xlpm.cat="RABBIT",40,45),_xlpm.code,IFERROR(VALUE(LEFT($A5,FIND(" ",$A5&amp;" ")-1)),0),_xlpm.v,1+MOD(_xlpm.code,13)/100,ROUND(_xlpm.ppk*_xlpm.wt*_xlpm.v,0)))</f>
        <v>2496</v>
      </c>
      <c r="H5" s="6" cm="1">
        <f t="array" ref="H5">IF(OR($A5="",$L5=""),"",_xlfn.LET(_xlpm.cat,UPPER($E5),_xlpm.base,_xlfn.SWITCH(TRUE,_xlpm.cat="GAMEFOWL",0.22,_xlpm.cat="POULTRY",0.18,_xlpm.cat="SWINE",0.16,_xlpm.cat="HOGS",0.16,_xlpm.cat="RABBIT",0.15,0.17),_xlpm.code,IFERROR(VALUE(LEFT($A5,FIND(" ",$A5&amp;" ")-1)),0),_xlpm.v,MOD(_xlpm.code,9)/1000,MIN(0.3,MAX(0.1,_xlpm.base+_xlpm.v))))</f>
        <v>0.16400000000000001</v>
      </c>
      <c r="I5" s="5" t="s">
        <v>33</v>
      </c>
      <c r="J5" s="5">
        <v>4</v>
      </c>
      <c r="K5" s="5">
        <v>0.17</v>
      </c>
      <c r="L5" s="5">
        <v>50</v>
      </c>
      <c r="M5" s="5">
        <v>4</v>
      </c>
      <c r="N5" s="5">
        <v>2</v>
      </c>
      <c r="O5" s="5">
        <v>2</v>
      </c>
      <c r="Q5" s="5" t="s">
        <v>34</v>
      </c>
      <c r="R5" s="5" t="s">
        <v>34</v>
      </c>
      <c r="S5" s="5" t="s">
        <v>39</v>
      </c>
      <c r="T5" s="7">
        <v>5000000000355</v>
      </c>
      <c r="U5" s="5" t="s">
        <v>44</v>
      </c>
      <c r="V5" s="7">
        <v>5000000000352</v>
      </c>
      <c r="W5" s="5" t="s">
        <v>45</v>
      </c>
      <c r="X5" s="5">
        <v>20.223424719101121</v>
      </c>
      <c r="Y5" s="5">
        <v>20.152829595667814</v>
      </c>
      <c r="Z5" s="5" t="s">
        <v>34</v>
      </c>
      <c r="AA5" s="5" t="s">
        <v>34</v>
      </c>
      <c r="AB5" s="5" t="s">
        <v>34</v>
      </c>
      <c r="AC5" s="5" t="s">
        <v>34</v>
      </c>
      <c r="AD5" s="5" t="s">
        <v>34</v>
      </c>
    </row>
    <row r="6" spans="1:30" ht="15.55" x14ac:dyDescent="0.3">
      <c r="A6" s="4">
        <v>1000000000941</v>
      </c>
      <c r="B6" s="5" t="s">
        <v>46</v>
      </c>
      <c r="C6" s="4">
        <v>3000000000615</v>
      </c>
      <c r="D6" s="5" t="s">
        <v>47</v>
      </c>
      <c r="E6" s="5" t="s">
        <v>31</v>
      </c>
      <c r="F6" s="5" t="s">
        <v>32</v>
      </c>
      <c r="G6" s="10" cm="1">
        <f t="array" ref="G6">IF(OR($A6="",$L6=""),"",_xlfn.LET(_xlpm.cat,UPPER($E6),_xlpm.wt,IFERROR(VALUE(LEFT($L6,FIND(" ",$L6&amp;" ")-1)),$L6),_xlpm.ppk,_xlfn.SWITCH(TRUE,_xlpm.cat="GAMEFOWL",62,_xlpm.cat="POULTRY",45,_xlpm.cat="SWINE",48,_xlpm.cat="HOGS",48,_xlpm.cat="RABBIT",40,45),_xlpm.code,IFERROR(VALUE(LEFT($A6,FIND(" ",$A6&amp;" ")-1)),0),_xlpm.v,1+MOD(_xlpm.code,13)/100,ROUND(_xlpm.ppk*_xlpm.wt*_xlpm.v,0)))</f>
        <v>2544</v>
      </c>
      <c r="H6" s="6" cm="1">
        <f t="array" ref="H6">IF(OR($A6="",$L6=""),"",_xlfn.LET(_xlpm.cat,UPPER($E6),_xlpm.base,_xlfn.SWITCH(TRUE,_xlpm.cat="GAMEFOWL",0.22,_xlpm.cat="POULTRY",0.18,_xlpm.cat="SWINE",0.16,_xlpm.cat="HOGS",0.16,_xlpm.cat="RABBIT",0.15,0.17),_xlpm.code,IFERROR(VALUE(LEFT($A6,FIND(" ",$A6&amp;" ")-1)),0),_xlpm.v,MOD(_xlpm.code,9)/1000,MIN(0.3,MAX(0.1,_xlpm.base+_xlpm.v))))</f>
        <v>0.16600000000000001</v>
      </c>
      <c r="I6" s="5" t="s">
        <v>48</v>
      </c>
      <c r="J6" s="5">
        <v>3</v>
      </c>
      <c r="K6" s="5">
        <v>0.17</v>
      </c>
      <c r="L6" s="5">
        <v>50</v>
      </c>
      <c r="M6" s="5">
        <v>4</v>
      </c>
      <c r="N6" s="5">
        <v>2</v>
      </c>
      <c r="O6" s="5">
        <v>2</v>
      </c>
      <c r="Q6" s="5" t="s">
        <v>34</v>
      </c>
      <c r="R6" s="5" t="s">
        <v>34</v>
      </c>
      <c r="S6" s="5" t="s">
        <v>39</v>
      </c>
      <c r="T6" s="7">
        <v>5000000000350</v>
      </c>
      <c r="U6" s="5" t="s">
        <v>49</v>
      </c>
      <c r="V6" s="7">
        <v>5000000000354</v>
      </c>
      <c r="W6" s="5" t="s">
        <v>50</v>
      </c>
      <c r="X6" s="5">
        <v>19.242915574922666</v>
      </c>
      <c r="Y6" s="5">
        <v>20.194727650727653</v>
      </c>
      <c r="Z6" s="5" t="s">
        <v>34</v>
      </c>
      <c r="AA6" s="5" t="s">
        <v>34</v>
      </c>
      <c r="AB6" s="5" t="s">
        <v>34</v>
      </c>
      <c r="AC6" s="5" t="s">
        <v>34</v>
      </c>
      <c r="AD6" s="5">
        <v>7.0904552727272696</v>
      </c>
    </row>
    <row r="7" spans="1:30" ht="15.55" x14ac:dyDescent="0.3">
      <c r="A7" s="4">
        <v>1000000001460</v>
      </c>
      <c r="B7" s="5" t="s">
        <v>51</v>
      </c>
      <c r="C7" s="4">
        <v>3000000000629</v>
      </c>
      <c r="D7" s="5" t="s">
        <v>52</v>
      </c>
      <c r="E7" s="5" t="s">
        <v>31</v>
      </c>
      <c r="F7" s="5" t="s">
        <v>32</v>
      </c>
      <c r="G7" s="10" cm="1">
        <f t="array" ref="G7">IF(OR($A7="",$L7=""),"",_xlfn.LET(_xlpm.cat,UPPER($E7),_xlpm.wt,IFERROR(VALUE(LEFT($L7,FIND(" ",$L7&amp;" ")-1)),$L7),_xlpm.ppk,_xlfn.SWITCH(TRUE,_xlpm.cat="GAMEFOWL",62,_xlpm.cat="POULTRY",45,_xlpm.cat="SWINE",48,_xlpm.cat="HOGS",48,_xlpm.cat="RABBIT",40,45),_xlpm.code,IFERROR(VALUE(LEFT($A7,FIND(" ",$A7&amp;" ")-1)),0),_xlpm.v,1+MOD(_xlpm.code,13)/100,ROUND(_xlpm.ppk*_xlpm.wt*_xlpm.v,0)))</f>
        <v>1260</v>
      </c>
      <c r="H7" s="6" cm="1">
        <f t="array" ref="H7">IF(OR($A7="",$L7=""),"",_xlfn.LET(_xlpm.cat,UPPER($E7),_xlpm.base,_xlfn.SWITCH(TRUE,_xlpm.cat="GAMEFOWL",0.22,_xlpm.cat="POULTRY",0.18,_xlpm.cat="SWINE",0.16,_xlpm.cat="HOGS",0.16,_xlpm.cat="RABBIT",0.15,0.17),_xlpm.code,IFERROR(VALUE(LEFT($A7,FIND(" ",$A7&amp;" ")-1)),0),_xlpm.v,MOD(_xlpm.code,9)/1000,MIN(0.3,MAX(0.1,_xlpm.base+_xlpm.v))))</f>
        <v>0.16300000000000001</v>
      </c>
      <c r="I7" s="5" t="s">
        <v>48</v>
      </c>
      <c r="J7" s="5">
        <v>3</v>
      </c>
      <c r="K7" s="5">
        <v>0.17</v>
      </c>
      <c r="L7" s="5">
        <v>25</v>
      </c>
      <c r="M7" s="5">
        <v>4</v>
      </c>
      <c r="N7" s="5">
        <v>2</v>
      </c>
      <c r="O7" s="5">
        <v>2</v>
      </c>
      <c r="Q7" s="5" t="s">
        <v>34</v>
      </c>
      <c r="R7" s="5" t="s">
        <v>34</v>
      </c>
      <c r="S7" s="5" t="s">
        <v>34</v>
      </c>
      <c r="T7" s="7" t="s">
        <v>34</v>
      </c>
      <c r="U7" s="5" t="s">
        <v>34</v>
      </c>
      <c r="V7" s="7" t="s">
        <v>34</v>
      </c>
      <c r="W7" s="5" t="s">
        <v>34</v>
      </c>
      <c r="X7" s="5" t="s">
        <v>34</v>
      </c>
      <c r="Y7" s="5" t="s">
        <v>34</v>
      </c>
      <c r="Z7" s="5" t="s">
        <v>34</v>
      </c>
      <c r="AA7" s="5" t="s">
        <v>34</v>
      </c>
      <c r="AB7" s="5" t="s">
        <v>34</v>
      </c>
      <c r="AC7" s="5" t="s">
        <v>34</v>
      </c>
      <c r="AD7" s="5" t="s">
        <v>34</v>
      </c>
    </row>
    <row r="8" spans="1:30" ht="15.55" x14ac:dyDescent="0.3">
      <c r="A8" s="4">
        <v>1000000001461</v>
      </c>
      <c r="B8" s="5" t="s">
        <v>53</v>
      </c>
      <c r="C8" s="4">
        <v>3000000000631</v>
      </c>
      <c r="D8" s="5" t="s">
        <v>54</v>
      </c>
      <c r="E8" s="5" t="s">
        <v>31</v>
      </c>
      <c r="F8" s="5" t="s">
        <v>32</v>
      </c>
      <c r="G8" s="10" cm="1">
        <f t="array" ref="G8">IF(OR($A8="",$L8=""),"",_xlfn.LET(_xlpm.cat,UPPER($E8),_xlpm.wt,IFERROR(VALUE(LEFT($L8,FIND(" ",$L8&amp;" ")-1)),$L8),_xlpm.ppk,_xlfn.SWITCH(TRUE,_xlpm.cat="GAMEFOWL",62,_xlpm.cat="POULTRY",45,_xlpm.cat="SWINE",48,_xlpm.cat="HOGS",48,_xlpm.cat="RABBIT",40,45),_xlpm.code,IFERROR(VALUE(LEFT($A8,FIND(" ",$A8&amp;" ")-1)),0),_xlpm.v,1+MOD(_xlpm.code,13)/100,ROUND(_xlpm.ppk*_xlpm.wt*_xlpm.v,0)))</f>
        <v>1272</v>
      </c>
      <c r="H8" s="6" cm="1">
        <f t="array" ref="H8">IF(OR($A8="",$L8=""),"",_xlfn.LET(_xlpm.cat,UPPER($E8),_xlpm.base,_xlfn.SWITCH(TRUE,_xlpm.cat="GAMEFOWL",0.22,_xlpm.cat="POULTRY",0.18,_xlpm.cat="SWINE",0.16,_xlpm.cat="HOGS",0.16,_xlpm.cat="RABBIT",0.15,0.17),_xlpm.code,IFERROR(VALUE(LEFT($A8,FIND(" ",$A8&amp;" ")-1)),0),_xlpm.v,MOD(_xlpm.code,9)/1000,MIN(0.3,MAX(0.1,_xlpm.base+_xlpm.v))))</f>
        <v>0.16400000000000001</v>
      </c>
      <c r="I8" s="5" t="s">
        <v>48</v>
      </c>
      <c r="J8" s="5">
        <v>3</v>
      </c>
      <c r="K8" s="5">
        <v>0.17</v>
      </c>
      <c r="L8" s="5">
        <v>25</v>
      </c>
      <c r="M8" s="5">
        <v>4</v>
      </c>
      <c r="N8" s="5">
        <v>2</v>
      </c>
      <c r="O8" s="5">
        <v>2</v>
      </c>
      <c r="Q8" s="5" t="s">
        <v>34</v>
      </c>
      <c r="R8" s="5" t="s">
        <v>34</v>
      </c>
      <c r="S8" s="5" t="s">
        <v>34</v>
      </c>
      <c r="T8" s="7" t="s">
        <v>34</v>
      </c>
      <c r="U8" s="5" t="s">
        <v>34</v>
      </c>
      <c r="V8" s="7" t="s">
        <v>34</v>
      </c>
      <c r="W8" s="5" t="s">
        <v>34</v>
      </c>
      <c r="X8" s="5" t="s">
        <v>34</v>
      </c>
      <c r="Y8" s="5" t="s">
        <v>34</v>
      </c>
      <c r="Z8" s="5" t="s">
        <v>34</v>
      </c>
      <c r="AA8" s="5" t="s">
        <v>34</v>
      </c>
      <c r="AB8" s="5" t="s">
        <v>34</v>
      </c>
      <c r="AC8" s="5" t="s">
        <v>34</v>
      </c>
      <c r="AD8" s="5" t="s">
        <v>34</v>
      </c>
    </row>
    <row r="9" spans="1:30" ht="15.55" x14ac:dyDescent="0.3">
      <c r="A9" s="4">
        <v>1000000001509</v>
      </c>
      <c r="B9" s="5" t="s">
        <v>55</v>
      </c>
      <c r="C9" s="4">
        <v>3000000000659</v>
      </c>
      <c r="D9" s="5" t="s">
        <v>56</v>
      </c>
      <c r="E9" s="5" t="s">
        <v>31</v>
      </c>
      <c r="F9" s="5" t="s">
        <v>34</v>
      </c>
      <c r="G9" s="10" cm="1">
        <f t="array" ref="G9">IF(OR($A9="",$L9=""),"",_xlfn.LET(_xlpm.cat,UPPER($E9),_xlpm.wt,IFERROR(VALUE(LEFT($L9,FIND(" ",$L9&amp;" ")-1)),$L9),_xlpm.ppk,_xlfn.SWITCH(TRUE,_xlpm.cat="GAMEFOWL",62,_xlpm.cat="POULTRY",45,_xlpm.cat="SWINE",48,_xlpm.cat="HOGS",48,_xlpm.cat="RABBIT",40,45),_xlpm.code,IFERROR(VALUE(LEFT($A9,FIND(" ",$A9&amp;" ")-1)),0),_xlpm.v,1+MOD(_xlpm.code,13)/100,ROUND(_xlpm.ppk*_xlpm.wt*_xlpm.v,0)))</f>
        <v>2448</v>
      </c>
      <c r="H9" s="6" cm="1">
        <f t="array" ref="H9">IF(OR($A9="",$L9=""),"",_xlfn.LET(_xlpm.cat,UPPER($E9),_xlpm.base,_xlfn.SWITCH(TRUE,_xlpm.cat="GAMEFOWL",0.22,_xlpm.cat="POULTRY",0.18,_xlpm.cat="SWINE",0.16,_xlpm.cat="HOGS",0.16,_xlpm.cat="RABBIT",0.15,0.17),_xlpm.code,IFERROR(VALUE(LEFT($A9,FIND(" ",$A9&amp;" ")-1)),0),_xlpm.v,MOD(_xlpm.code,9)/1000,MIN(0.3,MAX(0.1,_xlpm.base+_xlpm.v))))</f>
        <v>0.16700000000000001</v>
      </c>
      <c r="I9" s="5" t="s">
        <v>57</v>
      </c>
      <c r="K9" s="5">
        <v>0</v>
      </c>
      <c r="L9" s="5">
        <v>50</v>
      </c>
      <c r="M9" s="5">
        <v>2</v>
      </c>
      <c r="N9" s="5">
        <v>2</v>
      </c>
      <c r="O9" s="5">
        <v>2</v>
      </c>
      <c r="Q9" s="5" t="s">
        <v>34</v>
      </c>
      <c r="R9" s="5" t="s">
        <v>34</v>
      </c>
      <c r="S9" s="5" t="s">
        <v>39</v>
      </c>
      <c r="T9" s="7">
        <v>5000000000399</v>
      </c>
      <c r="U9" s="5" t="s">
        <v>58</v>
      </c>
      <c r="V9" s="7">
        <v>5000000000444</v>
      </c>
      <c r="W9" s="5" t="s">
        <v>59</v>
      </c>
      <c r="X9" s="5" t="s">
        <v>34</v>
      </c>
      <c r="Y9" s="5" t="s">
        <v>34</v>
      </c>
      <c r="Z9" s="5" t="s">
        <v>34</v>
      </c>
      <c r="AA9" s="5" t="s">
        <v>34</v>
      </c>
      <c r="AB9" s="5" t="s">
        <v>34</v>
      </c>
      <c r="AC9" s="5" t="s">
        <v>34</v>
      </c>
      <c r="AD9" s="5" t="s">
        <v>34</v>
      </c>
    </row>
    <row r="10" spans="1:30" ht="15.55" x14ac:dyDescent="0.3">
      <c r="A10" s="4">
        <v>1000000001494</v>
      </c>
      <c r="B10" s="5" t="s">
        <v>60</v>
      </c>
      <c r="C10" s="4">
        <v>3000000000393</v>
      </c>
      <c r="D10" s="5" t="s">
        <v>61</v>
      </c>
      <c r="E10" s="5" t="s">
        <v>62</v>
      </c>
      <c r="F10" s="5" t="s">
        <v>63</v>
      </c>
      <c r="G10" s="10" cm="1">
        <f t="array" ref="G10">IF(OR($A10="",$L10=""),"",_xlfn.LET(_xlpm.cat,UPPER($E10),_xlpm.wt,IFERROR(VALUE(LEFT($L10,FIND(" ",$L10&amp;" ")-1)),$L10),_xlpm.ppk,_xlfn.SWITCH(TRUE,_xlpm.cat="GAMEFOWL",62,_xlpm.cat="POULTRY",45,_xlpm.cat="SWINE",48,_xlpm.cat="HOGS",48,_xlpm.cat="RABBIT",40,45),_xlpm.code,IFERROR(VALUE(LEFT($A10,FIND(" ",$A10&amp;" ")-1)),0),_xlpm.v,1+MOD(_xlpm.code,13)/100,ROUND(_xlpm.ppk*_xlpm.wt*_xlpm.v,0)))</f>
        <v>2250</v>
      </c>
      <c r="H10" s="6" cm="1">
        <f t="array" ref="H10">IF(OR($A10="",$L10=""),"",_xlfn.LET(_xlpm.cat,UPPER($E10),_xlpm.base,_xlfn.SWITCH(TRUE,_xlpm.cat="GAMEFOWL",0.22,_xlpm.cat="POULTRY",0.18,_xlpm.cat="SWINE",0.16,_xlpm.cat="HOGS",0.16,_xlpm.cat="RABBIT",0.15,0.17),_xlpm.code,IFERROR(VALUE(LEFT($A10,FIND(" ",$A10&amp;" ")-1)),0),_xlpm.v,MOD(_xlpm.code,9)/1000,MIN(0.3,MAX(0.1,_xlpm.base+_xlpm.v))))</f>
        <v>0.18099999999999999</v>
      </c>
      <c r="I10" s="5" t="s">
        <v>64</v>
      </c>
      <c r="J10" s="5">
        <v>4</v>
      </c>
      <c r="K10" s="5">
        <v>0.33</v>
      </c>
      <c r="L10" s="5">
        <v>50</v>
      </c>
      <c r="M10" s="5">
        <v>4</v>
      </c>
      <c r="N10" s="5">
        <v>2</v>
      </c>
      <c r="O10" s="5">
        <v>2</v>
      </c>
      <c r="Q10" s="5" t="s">
        <v>34</v>
      </c>
      <c r="R10" s="5" t="s">
        <v>34</v>
      </c>
      <c r="S10" s="5" t="s">
        <v>39</v>
      </c>
      <c r="T10" s="7">
        <v>5000000000008</v>
      </c>
      <c r="U10" s="5" t="s">
        <v>65</v>
      </c>
      <c r="V10" s="7">
        <v>5000000000674</v>
      </c>
      <c r="W10" s="5" t="s">
        <v>66</v>
      </c>
      <c r="X10" s="5" t="s">
        <v>34</v>
      </c>
      <c r="Y10" s="5" t="s">
        <v>34</v>
      </c>
      <c r="Z10" s="5" t="s">
        <v>34</v>
      </c>
      <c r="AA10" s="5">
        <v>8.3128253458483758</v>
      </c>
      <c r="AB10" s="5" t="s">
        <v>34</v>
      </c>
      <c r="AC10" s="5" t="s">
        <v>34</v>
      </c>
      <c r="AD10" s="5" t="s">
        <v>34</v>
      </c>
    </row>
    <row r="11" spans="1:30" ht="15.55" x14ac:dyDescent="0.3">
      <c r="A11" s="4">
        <v>1000000000501</v>
      </c>
      <c r="B11" s="5" t="s">
        <v>67</v>
      </c>
      <c r="C11" s="4">
        <v>3000000000824</v>
      </c>
      <c r="D11" s="5" t="s">
        <v>68</v>
      </c>
      <c r="E11" s="5" t="s">
        <v>62</v>
      </c>
      <c r="F11" s="5" t="s">
        <v>63</v>
      </c>
      <c r="G11" s="10" cm="1">
        <f t="array" ref="G11">IF(OR($A11="",$L11=""),"",_xlfn.LET(_xlpm.cat,UPPER($E11),_xlpm.wt,IFERROR(VALUE(LEFT($L11,FIND(" ",$L11&amp;" ")-1)),$L11),_xlpm.ppk,_xlfn.SWITCH(TRUE,_xlpm.cat="GAMEFOWL",62,_xlpm.cat="POULTRY",45,_xlpm.cat="SWINE",48,_xlpm.cat="HOGS",48,_xlpm.cat="RABBIT",40,45),_xlpm.code,IFERROR(VALUE(LEFT($A11,FIND(" ",$A11&amp;" ")-1)),0),_xlpm.v,1+MOD(_xlpm.code,13)/100,ROUND(_xlpm.ppk*_xlpm.wt*_xlpm.v,0)))</f>
        <v>2430</v>
      </c>
      <c r="H11" s="6" cm="1">
        <f t="array" ref="H11">IF(OR($A11="",$L11=""),"",_xlfn.LET(_xlpm.cat,UPPER($E11),_xlpm.base,_xlfn.SWITCH(TRUE,_xlpm.cat="GAMEFOWL",0.22,_xlpm.cat="POULTRY",0.18,_xlpm.cat="SWINE",0.16,_xlpm.cat="HOGS",0.16,_xlpm.cat="RABBIT",0.15,0.17),_xlpm.code,IFERROR(VALUE(LEFT($A11,FIND(" ",$A11&amp;" ")-1)),0),_xlpm.v,MOD(_xlpm.code,9)/1000,MIN(0.3,MAX(0.1,_xlpm.base+_xlpm.v))))</f>
        <v>0.187</v>
      </c>
      <c r="I11" s="5" t="s">
        <v>64</v>
      </c>
      <c r="J11" s="5">
        <v>3</v>
      </c>
      <c r="K11" s="5">
        <v>0.33</v>
      </c>
      <c r="L11" s="5">
        <v>50</v>
      </c>
      <c r="M11" s="5">
        <v>4</v>
      </c>
      <c r="N11" s="5">
        <v>2</v>
      </c>
      <c r="O11" s="5">
        <v>2</v>
      </c>
      <c r="Q11" s="5" t="s">
        <v>34</v>
      </c>
      <c r="R11" s="5" t="s">
        <v>34</v>
      </c>
      <c r="S11" s="5" t="s">
        <v>39</v>
      </c>
      <c r="T11" s="7">
        <v>5000000000540</v>
      </c>
      <c r="U11" s="5" t="s">
        <v>69</v>
      </c>
      <c r="V11" s="7">
        <v>5000000000092</v>
      </c>
      <c r="W11" s="5" t="s">
        <v>70</v>
      </c>
      <c r="X11" s="5" t="s">
        <v>34</v>
      </c>
      <c r="Y11" s="5" t="s">
        <v>34</v>
      </c>
      <c r="Z11" s="5" t="s">
        <v>34</v>
      </c>
      <c r="AA11" s="5">
        <v>7.7475821833234795</v>
      </c>
      <c r="AB11" s="5" t="s">
        <v>34</v>
      </c>
      <c r="AC11" s="5" t="s">
        <v>34</v>
      </c>
      <c r="AD11" s="5" t="s">
        <v>34</v>
      </c>
    </row>
    <row r="12" spans="1:30" ht="15.55" x14ac:dyDescent="0.3">
      <c r="A12" s="4">
        <v>1000000000517</v>
      </c>
      <c r="B12" s="5" t="s">
        <v>71</v>
      </c>
      <c r="C12" s="4">
        <v>3000000000836</v>
      </c>
      <c r="D12" s="5" t="s">
        <v>72</v>
      </c>
      <c r="E12" s="5" t="s">
        <v>62</v>
      </c>
      <c r="F12" s="5" t="s">
        <v>63</v>
      </c>
      <c r="G12" s="10" cm="1">
        <f t="array" ref="G12">IF(OR($A12="",$L12=""),"",_xlfn.LET(_xlpm.cat,UPPER($E12),_xlpm.wt,IFERROR(VALUE(LEFT($L12,FIND(" ",$L12&amp;" ")-1)),$L12),_xlpm.ppk,_xlfn.SWITCH(TRUE,_xlpm.cat="GAMEFOWL",62,_xlpm.cat="POULTRY",45,_xlpm.cat="SWINE",48,_xlpm.cat="HOGS",48,_xlpm.cat="RABBIT",40,45),_xlpm.code,IFERROR(VALUE(LEFT($A12,FIND(" ",$A12&amp;" ")-1)),0),_xlpm.v,1+MOD(_xlpm.code,13)/100,ROUND(_xlpm.ppk*_xlpm.wt*_xlpm.v,0)))</f>
        <v>2498</v>
      </c>
      <c r="H12" s="6" cm="1">
        <f t="array" ref="H12">IF(OR($A12="",$L12=""),"",_xlfn.LET(_xlpm.cat,UPPER($E12),_xlpm.base,_xlfn.SWITCH(TRUE,_xlpm.cat="GAMEFOWL",0.22,_xlpm.cat="POULTRY",0.18,_xlpm.cat="SWINE",0.16,_xlpm.cat="HOGS",0.16,_xlpm.cat="RABBIT",0.15,0.17),_xlpm.code,IFERROR(VALUE(LEFT($A12,FIND(" ",$A12&amp;" ")-1)),0),_xlpm.v,MOD(_xlpm.code,9)/1000,MIN(0.3,MAX(0.1,_xlpm.base+_xlpm.v))))</f>
        <v>0.185</v>
      </c>
      <c r="I12" s="5" t="s">
        <v>33</v>
      </c>
      <c r="J12" s="5">
        <v>4</v>
      </c>
      <c r="K12" s="5">
        <v>0.17</v>
      </c>
      <c r="L12" s="5">
        <v>50</v>
      </c>
      <c r="M12" s="5">
        <v>4</v>
      </c>
      <c r="N12" s="5">
        <v>2</v>
      </c>
      <c r="O12" s="5">
        <v>2</v>
      </c>
      <c r="Q12" s="5" t="s">
        <v>34</v>
      </c>
      <c r="R12" s="5" t="s">
        <v>34</v>
      </c>
      <c r="S12" s="5" t="s">
        <v>39</v>
      </c>
      <c r="T12" s="7">
        <v>5000000000552</v>
      </c>
      <c r="U12" s="5" t="s">
        <v>73</v>
      </c>
      <c r="V12" s="7">
        <v>5000000000741</v>
      </c>
      <c r="W12" s="5" t="s">
        <v>74</v>
      </c>
      <c r="X12" s="5" t="s">
        <v>34</v>
      </c>
      <c r="Y12" s="5">
        <v>20.172208061882589</v>
      </c>
      <c r="Z12" s="5">
        <v>8.6148332307692339</v>
      </c>
      <c r="AA12" s="5">
        <v>9.5993856000000015</v>
      </c>
      <c r="AB12" s="5" t="s">
        <v>34</v>
      </c>
      <c r="AC12" s="5">
        <v>8.3786985115826074</v>
      </c>
      <c r="AD12" s="5" t="s">
        <v>34</v>
      </c>
    </row>
    <row r="13" spans="1:30" ht="15.55" x14ac:dyDescent="0.3">
      <c r="A13" s="4">
        <v>1000000000503</v>
      </c>
      <c r="B13" s="5" t="s">
        <v>75</v>
      </c>
      <c r="C13" s="4">
        <v>3000000000826</v>
      </c>
      <c r="D13" s="5" t="s">
        <v>76</v>
      </c>
      <c r="E13" s="5" t="s">
        <v>62</v>
      </c>
      <c r="F13" s="5" t="s">
        <v>63</v>
      </c>
      <c r="G13" s="10" cm="1">
        <f t="array" ref="G13">IF(OR($A13="",$L13=""),"",_xlfn.LET(_xlpm.cat,UPPER($E13),_xlpm.wt,IFERROR(VALUE(LEFT($L13,FIND(" ",$L13&amp;" ")-1)),$L13),_xlpm.ppk,_xlfn.SWITCH(TRUE,_xlpm.cat="GAMEFOWL",62,_xlpm.cat="POULTRY",45,_xlpm.cat="SWINE",48,_xlpm.cat="HOGS",48,_xlpm.cat="RABBIT",40,45),_xlpm.code,IFERROR(VALUE(LEFT($A13,FIND(" ",$A13&amp;" ")-1)),0),_xlpm.v,1+MOD(_xlpm.code,13)/100,ROUND(_xlpm.ppk*_xlpm.wt*_xlpm.v,0)))</f>
        <v>2475</v>
      </c>
      <c r="H13" s="6" cm="1">
        <f t="array" ref="H13">IF(OR($A13="",$L13=""),"",_xlfn.LET(_xlpm.cat,UPPER($E13),_xlpm.base,_xlfn.SWITCH(TRUE,_xlpm.cat="GAMEFOWL",0.22,_xlpm.cat="POULTRY",0.18,_xlpm.cat="SWINE",0.16,_xlpm.cat="HOGS",0.16,_xlpm.cat="RABBIT",0.15,0.17),_xlpm.code,IFERROR(VALUE(LEFT($A13,FIND(" ",$A13&amp;" ")-1)),0),_xlpm.v,MOD(_xlpm.code,9)/1000,MIN(0.3,MAX(0.1,_xlpm.base+_xlpm.v))))</f>
        <v>0.18</v>
      </c>
      <c r="I13" s="5" t="s">
        <v>77</v>
      </c>
      <c r="J13" s="5">
        <v>4</v>
      </c>
      <c r="K13" s="5">
        <v>0.33</v>
      </c>
      <c r="L13" s="5">
        <v>50</v>
      </c>
      <c r="M13" s="5">
        <v>4</v>
      </c>
      <c r="N13" s="5">
        <v>2</v>
      </c>
      <c r="O13" s="5">
        <v>2</v>
      </c>
      <c r="Q13" s="5" t="s">
        <v>34</v>
      </c>
      <c r="R13" s="5" t="s">
        <v>34</v>
      </c>
      <c r="S13" s="5" t="s">
        <v>39</v>
      </c>
      <c r="T13" s="7">
        <v>5000000000545</v>
      </c>
      <c r="U13" s="5" t="s">
        <v>78</v>
      </c>
      <c r="V13" s="7">
        <v>5000000000094</v>
      </c>
      <c r="W13" s="5" t="s">
        <v>79</v>
      </c>
      <c r="X13" s="5" t="s">
        <v>34</v>
      </c>
      <c r="Y13" s="5" t="s">
        <v>34</v>
      </c>
      <c r="Z13" s="5" t="s">
        <v>34</v>
      </c>
      <c r="AA13" s="5" t="s">
        <v>34</v>
      </c>
      <c r="AB13" s="5" t="s">
        <v>34</v>
      </c>
      <c r="AC13" s="5" t="s">
        <v>34</v>
      </c>
      <c r="AD13" s="5" t="s">
        <v>34</v>
      </c>
    </row>
    <row r="14" spans="1:30" ht="15.55" x14ac:dyDescent="0.3">
      <c r="A14" s="4">
        <v>1000000000043</v>
      </c>
      <c r="B14" s="5" t="s">
        <v>80</v>
      </c>
      <c r="C14" s="4">
        <v>3000000000208</v>
      </c>
      <c r="D14" s="5" t="s">
        <v>81</v>
      </c>
      <c r="E14" s="5" t="s">
        <v>62</v>
      </c>
      <c r="F14" s="5" t="s">
        <v>63</v>
      </c>
      <c r="G14" s="10" cm="1">
        <f t="array" ref="G14">IF(OR($A14="",$L14=""),"",_xlfn.LET(_xlpm.cat,UPPER($E14),_xlpm.wt,IFERROR(VALUE(LEFT($L14,FIND(" ",$L14&amp;" ")-1)),$L14),_xlpm.ppk,_xlfn.SWITCH(TRUE,_xlpm.cat="GAMEFOWL",62,_xlpm.cat="POULTRY",45,_xlpm.cat="SWINE",48,_xlpm.cat="HOGS",48,_xlpm.cat="RABBIT",40,45),_xlpm.code,IFERROR(VALUE(LEFT($A14,FIND(" ",$A14&amp;" ")-1)),0),_xlpm.v,1+MOD(_xlpm.code,13)/100,ROUND(_xlpm.ppk*_xlpm.wt*_xlpm.v,0)))</f>
        <v>2363</v>
      </c>
      <c r="H14" s="6" cm="1">
        <f t="array" ref="H14">IF(OR($A14="",$L14=""),"",_xlfn.LET(_xlpm.cat,UPPER($E14),_xlpm.base,_xlfn.SWITCH(TRUE,_xlpm.cat="GAMEFOWL",0.22,_xlpm.cat="POULTRY",0.18,_xlpm.cat="SWINE",0.16,_xlpm.cat="HOGS",0.16,_xlpm.cat="RABBIT",0.15,0.17),_xlpm.code,IFERROR(VALUE(LEFT($A14,FIND(" ",$A14&amp;" ")-1)),0),_xlpm.v,MOD(_xlpm.code,9)/1000,MIN(0.3,MAX(0.1,_xlpm.base+_xlpm.v))))</f>
        <v>0.188</v>
      </c>
      <c r="I14" s="5" t="s">
        <v>77</v>
      </c>
      <c r="J14" s="5">
        <v>4</v>
      </c>
      <c r="K14" s="5">
        <v>0.33</v>
      </c>
      <c r="L14" s="5">
        <v>50</v>
      </c>
      <c r="M14" s="5">
        <v>4</v>
      </c>
      <c r="N14" s="5">
        <v>2</v>
      </c>
      <c r="O14" s="5">
        <v>2</v>
      </c>
      <c r="Q14" s="5" t="s">
        <v>34</v>
      </c>
      <c r="R14" s="5" t="s">
        <v>34</v>
      </c>
      <c r="S14" s="5" t="s">
        <v>39</v>
      </c>
      <c r="T14" s="7">
        <v>5000000000575</v>
      </c>
      <c r="U14" s="5" t="s">
        <v>82</v>
      </c>
      <c r="V14" s="7">
        <v>5000000000096</v>
      </c>
      <c r="W14" s="5" t="s">
        <v>83</v>
      </c>
      <c r="X14" s="5" t="s">
        <v>34</v>
      </c>
      <c r="Y14" s="5" t="s">
        <v>34</v>
      </c>
      <c r="Z14" s="5">
        <v>6.6674465592760175</v>
      </c>
      <c r="AA14" s="5">
        <v>8.4507683638051088</v>
      </c>
      <c r="AB14" s="5" t="s">
        <v>34</v>
      </c>
      <c r="AC14" s="5" t="s">
        <v>34</v>
      </c>
      <c r="AD14" s="5" t="s">
        <v>34</v>
      </c>
    </row>
    <row r="15" spans="1:30" ht="15.55" x14ac:dyDescent="0.3">
      <c r="A15" s="4">
        <v>1000000000517</v>
      </c>
      <c r="B15" s="5" t="s">
        <v>71</v>
      </c>
      <c r="C15" s="4">
        <v>3000000000836</v>
      </c>
      <c r="D15" s="5" t="s">
        <v>72</v>
      </c>
      <c r="E15" s="5" t="s">
        <v>62</v>
      </c>
      <c r="F15" s="5" t="s">
        <v>63</v>
      </c>
      <c r="G15" s="10" cm="1">
        <f t="array" ref="G15">IF(OR($A15="",$L15=""),"",_xlfn.LET(_xlpm.cat,UPPER($E15),_xlpm.wt,IFERROR(VALUE(LEFT($L15,FIND(" ",$L15&amp;" ")-1)),$L15),_xlpm.ppk,_xlfn.SWITCH(TRUE,_xlpm.cat="GAMEFOWL",62,_xlpm.cat="POULTRY",45,_xlpm.cat="SWINE",48,_xlpm.cat="HOGS",48,_xlpm.cat="RABBIT",40,45),_xlpm.code,IFERROR(VALUE(LEFT($A15,FIND(" ",$A15&amp;" ")-1)),0),_xlpm.v,1+MOD(_xlpm.code,13)/100,ROUND(_xlpm.ppk*_xlpm.wt*_xlpm.v,0)))</f>
        <v>2498</v>
      </c>
      <c r="H15" s="6" cm="1">
        <f t="array" ref="H15">IF(OR($A15="",$L15=""),"",_xlfn.LET(_xlpm.cat,UPPER($E15),_xlpm.base,_xlfn.SWITCH(TRUE,_xlpm.cat="GAMEFOWL",0.22,_xlpm.cat="POULTRY",0.18,_xlpm.cat="SWINE",0.16,_xlpm.cat="HOGS",0.16,_xlpm.cat="RABBIT",0.15,0.17),_xlpm.code,IFERROR(VALUE(LEFT($A15,FIND(" ",$A15&amp;" ")-1)),0),_xlpm.v,MOD(_xlpm.code,9)/1000,MIN(0.3,MAX(0.1,_xlpm.base+_xlpm.v))))</f>
        <v>0.185</v>
      </c>
      <c r="I15" s="5" t="s">
        <v>33</v>
      </c>
      <c r="J15" s="5">
        <v>4</v>
      </c>
      <c r="K15" s="5">
        <v>0.17</v>
      </c>
      <c r="L15" s="5">
        <v>50</v>
      </c>
      <c r="M15" s="5">
        <v>4</v>
      </c>
      <c r="N15" s="5">
        <v>2</v>
      </c>
      <c r="O15" s="5">
        <v>2</v>
      </c>
      <c r="Q15" s="5" t="s">
        <v>34</v>
      </c>
      <c r="R15" s="5" t="s">
        <v>34</v>
      </c>
      <c r="S15" s="5" t="s">
        <v>39</v>
      </c>
      <c r="T15" s="7">
        <v>5000000000552</v>
      </c>
      <c r="U15" s="5" t="s">
        <v>73</v>
      </c>
      <c r="V15" s="7">
        <v>5000000000741</v>
      </c>
      <c r="W15" s="5" t="s">
        <v>74</v>
      </c>
      <c r="X15" s="5" t="s">
        <v>34</v>
      </c>
      <c r="Y15" s="5">
        <v>20.172208061882589</v>
      </c>
      <c r="Z15" s="5">
        <v>8.6148332307692339</v>
      </c>
      <c r="AA15" s="5">
        <v>9.5993856000000015</v>
      </c>
      <c r="AB15" s="5" t="s">
        <v>34</v>
      </c>
      <c r="AC15" s="5">
        <v>8.3786985115826074</v>
      </c>
      <c r="AD15" s="5" t="s">
        <v>34</v>
      </c>
    </row>
    <row r="16" spans="1:30" ht="15.55" x14ac:dyDescent="0.3">
      <c r="A16" s="4">
        <v>1000000000542</v>
      </c>
      <c r="B16" s="5" t="s">
        <v>84</v>
      </c>
      <c r="C16" s="4">
        <v>3000000000858</v>
      </c>
      <c r="D16" s="5" t="s">
        <v>85</v>
      </c>
      <c r="E16" s="5" t="s">
        <v>86</v>
      </c>
      <c r="F16" s="5" t="s">
        <v>63</v>
      </c>
      <c r="G16" s="10" cm="1">
        <f t="array" ref="G16">IF(OR($A16="",$L16=""),"",_xlfn.LET(_xlpm.cat,UPPER($E16),_xlpm.wt,IFERROR(VALUE(LEFT($L16,FIND(" ",$L16&amp;" ")-1)),$L16),_xlpm.ppk,_xlfn.SWITCH(TRUE,_xlpm.cat="GAMEFOWL",62,_xlpm.cat="POULTRY",45,_xlpm.cat="SWINE",48,_xlpm.cat="HOGS",48,_xlpm.cat="RABBIT",40,45),_xlpm.code,IFERROR(VALUE(LEFT($A16,FIND(" ",$A16&amp;" ")-1)),0),_xlpm.v,1+MOD(_xlpm.code,13)/100,ROUND(_xlpm.ppk*_xlpm.wt*_xlpm.v,0)))</f>
        <v>3410</v>
      </c>
      <c r="H16" s="6" cm="1">
        <f t="array" ref="H16">IF(OR($A16="",$L16=""),"",_xlfn.LET(_xlpm.cat,UPPER($E16),_xlpm.base,_xlfn.SWITCH(TRUE,_xlpm.cat="GAMEFOWL",0.22,_xlpm.cat="POULTRY",0.18,_xlpm.cat="SWINE",0.16,_xlpm.cat="HOGS",0.16,_xlpm.cat="RABBIT",0.15,0.17),_xlpm.code,IFERROR(VALUE(LEFT($A16,FIND(" ",$A16&amp;" ")-1)),0),_xlpm.v,MOD(_xlpm.code,9)/1000,MIN(0.3,MAX(0.1,_xlpm.base+_xlpm.v))))</f>
        <v>0.223</v>
      </c>
      <c r="I16" s="5" t="s">
        <v>64</v>
      </c>
      <c r="J16" s="5">
        <v>4</v>
      </c>
      <c r="K16" s="5">
        <v>0.33</v>
      </c>
      <c r="L16" s="5">
        <v>50</v>
      </c>
      <c r="M16" s="5">
        <v>4</v>
      </c>
      <c r="N16" s="5">
        <v>2</v>
      </c>
      <c r="O16" s="5">
        <v>2</v>
      </c>
      <c r="Q16" s="5" t="s">
        <v>34</v>
      </c>
      <c r="R16" s="5" t="s">
        <v>34</v>
      </c>
      <c r="S16" s="5" t="s">
        <v>39</v>
      </c>
      <c r="T16" s="7">
        <v>5000000000716</v>
      </c>
      <c r="U16" s="5" t="s">
        <v>87</v>
      </c>
      <c r="V16" s="7">
        <v>5000000000719</v>
      </c>
      <c r="W16" s="5" t="s">
        <v>88</v>
      </c>
      <c r="X16" s="5">
        <v>14.051959005373144</v>
      </c>
      <c r="Y16" s="5">
        <v>13.274660127386952</v>
      </c>
      <c r="Z16" s="5" t="s">
        <v>34</v>
      </c>
      <c r="AA16" s="5">
        <v>7.4477991724137933</v>
      </c>
      <c r="AB16" s="5" t="s">
        <v>34</v>
      </c>
      <c r="AC16" s="5" t="s">
        <v>34</v>
      </c>
      <c r="AD16" s="5" t="s">
        <v>34</v>
      </c>
    </row>
    <row r="17" spans="1:30" ht="15.55" x14ac:dyDescent="0.3">
      <c r="A17" s="4">
        <v>1000000001116</v>
      </c>
      <c r="B17" s="5" t="s">
        <v>89</v>
      </c>
      <c r="C17" s="4">
        <v>3000000000164</v>
      </c>
      <c r="D17" s="5" t="s">
        <v>90</v>
      </c>
      <c r="E17" s="5" t="s">
        <v>62</v>
      </c>
      <c r="F17" s="5" t="s">
        <v>63</v>
      </c>
      <c r="G17" s="10" cm="1">
        <f t="array" ref="G17">IF(OR($A17="",$L17=""),"",_xlfn.LET(_xlpm.cat,UPPER($E17),_xlpm.wt,IFERROR(VALUE(LEFT($L17,FIND(" ",$L17&amp;" ")-1)),$L17),_xlpm.ppk,_xlfn.SWITCH(TRUE,_xlpm.cat="GAMEFOWL",62,_xlpm.cat="POULTRY",45,_xlpm.cat="SWINE",48,_xlpm.cat="HOGS",48,_xlpm.cat="RABBIT",40,45),_xlpm.code,IFERROR(VALUE(LEFT($A17,FIND(" ",$A17&amp;" ")-1)),0),_xlpm.v,1+MOD(_xlpm.code,13)/100,ROUND(_xlpm.ppk*_xlpm.wt*_xlpm.v,0)))</f>
        <v>2520</v>
      </c>
      <c r="H17" s="6" cm="1">
        <f t="array" ref="H17">IF(OR($A17="",$L17=""),"",_xlfn.LET(_xlpm.cat,UPPER($E17),_xlpm.base,_xlfn.SWITCH(TRUE,_xlpm.cat="GAMEFOWL",0.22,_xlpm.cat="POULTRY",0.18,_xlpm.cat="SWINE",0.16,_xlpm.cat="HOGS",0.16,_xlpm.cat="RABBIT",0.15,0.17),_xlpm.code,IFERROR(VALUE(LEFT($A17,FIND(" ",$A17&amp;" ")-1)),0),_xlpm.v,MOD(_xlpm.code,9)/1000,MIN(0.3,MAX(0.1,_xlpm.base+_xlpm.v))))</f>
        <v>0.18099999999999999</v>
      </c>
      <c r="I17" s="5" t="s">
        <v>64</v>
      </c>
      <c r="J17" s="5">
        <v>4</v>
      </c>
      <c r="K17" s="5">
        <v>0.33</v>
      </c>
      <c r="L17" s="5">
        <v>50</v>
      </c>
      <c r="M17" s="5">
        <v>4</v>
      </c>
      <c r="N17" s="5">
        <v>2</v>
      </c>
      <c r="O17" s="5">
        <v>2</v>
      </c>
      <c r="Q17" s="5" t="s">
        <v>91</v>
      </c>
      <c r="R17" s="5" t="s">
        <v>34</v>
      </c>
      <c r="S17" s="5" t="s">
        <v>92</v>
      </c>
      <c r="T17" s="7">
        <v>5000000000560</v>
      </c>
      <c r="U17" s="5" t="s">
        <v>93</v>
      </c>
      <c r="V17" s="7">
        <v>5000000000124</v>
      </c>
      <c r="W17" s="5" t="s">
        <v>94</v>
      </c>
      <c r="X17" s="5" t="s">
        <v>34</v>
      </c>
      <c r="Y17" s="5" t="s">
        <v>34</v>
      </c>
      <c r="Z17" s="5" t="s">
        <v>34</v>
      </c>
      <c r="AA17" s="5">
        <v>8.2581319538106239</v>
      </c>
      <c r="AB17" s="5" t="s">
        <v>34</v>
      </c>
      <c r="AC17" s="5" t="s">
        <v>34</v>
      </c>
      <c r="AD17" s="5" t="s">
        <v>34</v>
      </c>
    </row>
    <row r="18" spans="1:30" ht="15.55" x14ac:dyDescent="0.3">
      <c r="A18" s="4">
        <v>1000000001122</v>
      </c>
      <c r="B18" s="5" t="s">
        <v>95</v>
      </c>
      <c r="C18" s="4">
        <v>3000000000166</v>
      </c>
      <c r="D18" s="5" t="s">
        <v>96</v>
      </c>
      <c r="E18" s="5" t="s">
        <v>62</v>
      </c>
      <c r="F18" s="5" t="s">
        <v>63</v>
      </c>
      <c r="G18" s="10" cm="1">
        <f t="array" ref="G18">IF(OR($A18="",$L18=""),"",_xlfn.LET(_xlpm.cat,UPPER($E18),_xlpm.wt,IFERROR(VALUE(LEFT($L18,FIND(" ",$L18&amp;" ")-1)),$L18),_xlpm.ppk,_xlfn.SWITCH(TRUE,_xlpm.cat="GAMEFOWL",62,_xlpm.cat="POULTRY",45,_xlpm.cat="SWINE",48,_xlpm.cat="HOGS",48,_xlpm.cat="RABBIT",40,45),_xlpm.code,IFERROR(VALUE(LEFT($A18,FIND(" ",$A18&amp;" ")-1)),0),_xlpm.v,1+MOD(_xlpm.code,13)/100,ROUND(_xlpm.ppk*_xlpm.wt*_xlpm.v,0)))</f>
        <v>2363</v>
      </c>
      <c r="H18" s="6" cm="1">
        <f t="array" ref="H18">IF(OR($A18="",$L18=""),"",_xlfn.LET(_xlpm.cat,UPPER($E18),_xlpm.base,_xlfn.SWITCH(TRUE,_xlpm.cat="GAMEFOWL",0.22,_xlpm.cat="POULTRY",0.18,_xlpm.cat="SWINE",0.16,_xlpm.cat="HOGS",0.16,_xlpm.cat="RABBIT",0.15,0.17),_xlpm.code,IFERROR(VALUE(LEFT($A18,FIND(" ",$A18&amp;" ")-1)),0),_xlpm.v,MOD(_xlpm.code,9)/1000,MIN(0.3,MAX(0.1,_xlpm.base+_xlpm.v))))</f>
        <v>0.187</v>
      </c>
      <c r="I18" s="5" t="s">
        <v>64</v>
      </c>
      <c r="J18" s="5">
        <v>4</v>
      </c>
      <c r="K18" s="5">
        <v>0.33</v>
      </c>
      <c r="L18" s="5">
        <v>50</v>
      </c>
      <c r="M18" s="5">
        <v>4</v>
      </c>
      <c r="N18" s="5">
        <v>2</v>
      </c>
      <c r="O18" s="5">
        <v>2</v>
      </c>
      <c r="Q18" s="5" t="s">
        <v>97</v>
      </c>
      <c r="R18" s="5" t="s">
        <v>34</v>
      </c>
      <c r="S18" s="5" t="s">
        <v>39</v>
      </c>
      <c r="T18" s="7">
        <v>5000000000561</v>
      </c>
      <c r="U18" s="5" t="s">
        <v>98</v>
      </c>
      <c r="V18" s="7">
        <v>5000000000125</v>
      </c>
      <c r="W18" s="5" t="s">
        <v>99</v>
      </c>
      <c r="X18" s="5" t="s">
        <v>34</v>
      </c>
      <c r="Y18" s="5" t="s">
        <v>34</v>
      </c>
      <c r="Z18" s="5" t="s">
        <v>34</v>
      </c>
      <c r="AA18" s="5">
        <v>7.9237147713125893</v>
      </c>
      <c r="AB18" s="5" t="s">
        <v>34</v>
      </c>
      <c r="AC18" s="5" t="s">
        <v>34</v>
      </c>
      <c r="AD18" s="5" t="s">
        <v>34</v>
      </c>
    </row>
    <row r="19" spans="1:30" ht="15.55" x14ac:dyDescent="0.3">
      <c r="A19" s="4">
        <v>1000000001126</v>
      </c>
      <c r="B19" s="5" t="s">
        <v>100</v>
      </c>
      <c r="C19" s="4">
        <v>3000000000170</v>
      </c>
      <c r="D19" s="5" t="s">
        <v>101</v>
      </c>
      <c r="E19" s="5" t="s">
        <v>62</v>
      </c>
      <c r="F19" s="5" t="s">
        <v>63</v>
      </c>
      <c r="G19" s="10" cm="1">
        <f t="array" ref="G19">IF(OR($A19="",$L19=""),"",_xlfn.LET(_xlpm.cat,UPPER($E19),_xlpm.wt,IFERROR(VALUE(LEFT($L19,FIND(" ",$L19&amp;" ")-1)),$L19),_xlpm.ppk,_xlfn.SWITCH(TRUE,_xlpm.cat="GAMEFOWL",62,_xlpm.cat="POULTRY",45,_xlpm.cat="SWINE",48,_xlpm.cat="HOGS",48,_xlpm.cat="RABBIT",40,45),_xlpm.code,IFERROR(VALUE(LEFT($A19,FIND(" ",$A19&amp;" ")-1)),0),_xlpm.v,1+MOD(_xlpm.code,13)/100,ROUND(_xlpm.ppk*_xlpm.wt*_xlpm.v,0)))</f>
        <v>2453</v>
      </c>
      <c r="H19" s="6" cm="1">
        <f t="array" ref="H19">IF(OR($A19="",$L19=""),"",_xlfn.LET(_xlpm.cat,UPPER($E19),_xlpm.base,_xlfn.SWITCH(TRUE,_xlpm.cat="GAMEFOWL",0.22,_xlpm.cat="POULTRY",0.18,_xlpm.cat="SWINE",0.16,_xlpm.cat="HOGS",0.16,_xlpm.cat="RABBIT",0.15,0.17),_xlpm.code,IFERROR(VALUE(LEFT($A19,FIND(" ",$A19&amp;" ")-1)),0),_xlpm.v,MOD(_xlpm.code,9)/1000,MIN(0.3,MAX(0.1,_xlpm.base+_xlpm.v))))</f>
        <v>0.182</v>
      </c>
      <c r="I19" s="5" t="s">
        <v>77</v>
      </c>
      <c r="J19" s="5">
        <v>4</v>
      </c>
      <c r="K19" s="5">
        <v>0.33</v>
      </c>
      <c r="L19" s="5">
        <v>50</v>
      </c>
      <c r="M19" s="5">
        <v>4</v>
      </c>
      <c r="N19" s="5">
        <v>2</v>
      </c>
      <c r="O19" s="5">
        <v>2</v>
      </c>
      <c r="Q19" s="5">
        <v>1126</v>
      </c>
      <c r="R19" s="5" t="s">
        <v>34</v>
      </c>
      <c r="S19" s="5" t="s">
        <v>39</v>
      </c>
      <c r="T19" s="7">
        <v>5000000000564</v>
      </c>
      <c r="U19" s="5" t="s">
        <v>102</v>
      </c>
      <c r="V19" s="7">
        <v>5000000000116</v>
      </c>
      <c r="W19" s="5" t="s">
        <v>103</v>
      </c>
      <c r="X19" s="5" t="s">
        <v>34</v>
      </c>
      <c r="Y19" s="5" t="s">
        <v>34</v>
      </c>
      <c r="Z19" s="5">
        <v>7.5878590452572841</v>
      </c>
      <c r="AA19" s="5">
        <v>8.5544764019138757</v>
      </c>
      <c r="AB19" s="5" t="s">
        <v>34</v>
      </c>
      <c r="AC19" s="5">
        <v>8.0679359229130725</v>
      </c>
      <c r="AD19" s="5" t="s">
        <v>34</v>
      </c>
    </row>
    <row r="20" spans="1:30" ht="15.55" x14ac:dyDescent="0.3">
      <c r="A20" s="4">
        <v>1000000000311</v>
      </c>
      <c r="B20" s="5" t="s">
        <v>104</v>
      </c>
      <c r="C20" s="4">
        <v>3000000000200</v>
      </c>
      <c r="D20" s="5" t="s">
        <v>105</v>
      </c>
      <c r="E20" s="5" t="s">
        <v>62</v>
      </c>
      <c r="F20" s="5" t="s">
        <v>63</v>
      </c>
      <c r="G20" s="10" cm="1">
        <f t="array" ref="G20">IF(OR($A20="",$L20=""),"",_xlfn.LET(_xlpm.cat,UPPER($E20),_xlpm.wt,IFERROR(VALUE(LEFT($L20,FIND(" ",$L20&amp;" ")-1)),$L20),_xlpm.ppk,_xlfn.SWITCH(TRUE,_xlpm.cat="GAMEFOWL",62,_xlpm.cat="POULTRY",45,_xlpm.cat="SWINE",48,_xlpm.cat="HOGS",48,_xlpm.cat="RABBIT",40,45),_xlpm.code,IFERROR(VALUE(LEFT($A20,FIND(" ",$A20&amp;" ")-1)),0),_xlpm.v,1+MOD(_xlpm.code,13)/100,ROUND(_xlpm.ppk*_xlpm.wt*_xlpm.v,0)))</f>
        <v>2250</v>
      </c>
      <c r="H20" s="6" cm="1">
        <f t="array" ref="H20">IF(OR($A20="",$L20=""),"",_xlfn.LET(_xlpm.cat,UPPER($E20),_xlpm.base,_xlfn.SWITCH(TRUE,_xlpm.cat="GAMEFOWL",0.22,_xlpm.cat="POULTRY",0.18,_xlpm.cat="SWINE",0.16,_xlpm.cat="HOGS",0.16,_xlpm.cat="RABBIT",0.15,0.17),_xlpm.code,IFERROR(VALUE(LEFT($A20,FIND(" ",$A20&amp;" ")-1)),0),_xlpm.v,MOD(_xlpm.code,9)/1000,MIN(0.3,MAX(0.1,_xlpm.base+_xlpm.v))))</f>
        <v>0.186</v>
      </c>
      <c r="I20" s="5" t="s">
        <v>106</v>
      </c>
      <c r="J20" s="5">
        <v>4</v>
      </c>
      <c r="K20" s="5">
        <v>0.33</v>
      </c>
      <c r="L20" s="5">
        <v>50</v>
      </c>
      <c r="M20" s="5">
        <v>4</v>
      </c>
      <c r="N20" s="5">
        <v>2</v>
      </c>
      <c r="O20" s="5">
        <v>2</v>
      </c>
      <c r="Q20" s="5" t="s">
        <v>107</v>
      </c>
      <c r="R20" s="5" t="s">
        <v>34</v>
      </c>
      <c r="S20" s="5" t="s">
        <v>39</v>
      </c>
      <c r="T20" s="7">
        <v>5000000000562</v>
      </c>
      <c r="U20" s="5" t="s">
        <v>108</v>
      </c>
      <c r="V20" s="7">
        <v>5000000000122</v>
      </c>
      <c r="W20" s="5" t="s">
        <v>109</v>
      </c>
      <c r="X20" s="5" t="s">
        <v>34</v>
      </c>
      <c r="Y20" s="5" t="s">
        <v>34</v>
      </c>
      <c r="Z20" s="5">
        <v>7.3624530548302873</v>
      </c>
      <c r="AA20" s="5">
        <v>7.4468619886749732</v>
      </c>
      <c r="AB20" s="5" t="s">
        <v>34</v>
      </c>
      <c r="AC20" s="5">
        <v>7.058371764705881</v>
      </c>
      <c r="AD20" s="5" t="s">
        <v>34</v>
      </c>
    </row>
    <row r="21" spans="1:30" ht="15.55" x14ac:dyDescent="0.3">
      <c r="A21" s="4">
        <v>1000000000312</v>
      </c>
      <c r="B21" s="5" t="s">
        <v>110</v>
      </c>
      <c r="C21" s="4">
        <v>3000000000202</v>
      </c>
      <c r="D21" s="5" t="s">
        <v>111</v>
      </c>
      <c r="E21" s="5" t="s">
        <v>62</v>
      </c>
      <c r="F21" s="5" t="s">
        <v>63</v>
      </c>
      <c r="G21" s="10" cm="1">
        <f t="array" ref="G21">IF(OR($A21="",$L21=""),"",_xlfn.LET(_xlpm.cat,UPPER($E21),_xlpm.wt,IFERROR(VALUE(LEFT($L21,FIND(" ",$L21&amp;" ")-1)),$L21),_xlpm.ppk,_xlfn.SWITCH(TRUE,_xlpm.cat="GAMEFOWL",62,_xlpm.cat="POULTRY",45,_xlpm.cat="SWINE",48,_xlpm.cat="HOGS",48,_xlpm.cat="RABBIT",40,45),_xlpm.code,IFERROR(VALUE(LEFT($A21,FIND(" ",$A21&amp;" ")-1)),0),_xlpm.v,1+MOD(_xlpm.code,13)/100,ROUND(_xlpm.ppk*_xlpm.wt*_xlpm.v,0)))</f>
        <v>2273</v>
      </c>
      <c r="H21" s="6" cm="1">
        <f t="array" ref="H21">IF(OR($A21="",$L21=""),"",_xlfn.LET(_xlpm.cat,UPPER($E21),_xlpm.base,_xlfn.SWITCH(TRUE,_xlpm.cat="GAMEFOWL",0.22,_xlpm.cat="POULTRY",0.18,_xlpm.cat="SWINE",0.16,_xlpm.cat="HOGS",0.16,_xlpm.cat="RABBIT",0.15,0.17),_xlpm.code,IFERROR(VALUE(LEFT($A21,FIND(" ",$A21&amp;" ")-1)),0),_xlpm.v,MOD(_xlpm.code,9)/1000,MIN(0.3,MAX(0.1,_xlpm.base+_xlpm.v))))</f>
        <v>0.187</v>
      </c>
      <c r="I21" s="5" t="s">
        <v>106</v>
      </c>
      <c r="J21" s="5">
        <v>4</v>
      </c>
      <c r="K21" s="5">
        <v>0.33</v>
      </c>
      <c r="L21" s="5">
        <v>50</v>
      </c>
      <c r="M21" s="5">
        <v>4</v>
      </c>
      <c r="N21" s="5">
        <v>2</v>
      </c>
      <c r="O21" s="5">
        <v>2</v>
      </c>
      <c r="Q21" s="5" t="s">
        <v>112</v>
      </c>
      <c r="R21" s="5" t="s">
        <v>34</v>
      </c>
      <c r="S21" s="5" t="s">
        <v>113</v>
      </c>
      <c r="T21" s="7">
        <v>5000000000562</v>
      </c>
      <c r="U21" s="5" t="s">
        <v>108</v>
      </c>
      <c r="V21" s="7">
        <v>5000000000123</v>
      </c>
      <c r="W21" s="5" t="s">
        <v>114</v>
      </c>
      <c r="X21" s="5" t="s">
        <v>34</v>
      </c>
      <c r="Y21" s="5" t="s">
        <v>34</v>
      </c>
      <c r="Z21" s="5">
        <v>7.4477991724137942</v>
      </c>
      <c r="AA21" s="5">
        <v>7.6729782857142865</v>
      </c>
      <c r="AB21" s="5" t="s">
        <v>34</v>
      </c>
      <c r="AC21" s="5" t="s">
        <v>34</v>
      </c>
      <c r="AD21" s="5" t="s">
        <v>34</v>
      </c>
    </row>
    <row r="22" spans="1:30" ht="15.55" x14ac:dyDescent="0.3">
      <c r="A22" s="4">
        <v>1000000000541</v>
      </c>
      <c r="B22" s="5" t="s">
        <v>115</v>
      </c>
      <c r="C22" s="4">
        <v>3000000000856</v>
      </c>
      <c r="D22" s="5" t="s">
        <v>116</v>
      </c>
      <c r="E22" s="5" t="s">
        <v>86</v>
      </c>
      <c r="F22" s="5" t="s">
        <v>63</v>
      </c>
      <c r="G22" s="10" cm="1">
        <f t="array" ref="G22">IF(OR($A22="",$L22=""),"",_xlfn.LET(_xlpm.cat,UPPER($E22),_xlpm.wt,IFERROR(VALUE(LEFT($L22,FIND(" ",$L22&amp;" ")-1)),$L22),_xlpm.ppk,_xlfn.SWITCH(TRUE,_xlpm.cat="GAMEFOWL",62,_xlpm.cat="POULTRY",45,_xlpm.cat="SWINE",48,_xlpm.cat="HOGS",48,_xlpm.cat="RABBIT",40,45),_xlpm.code,IFERROR(VALUE(LEFT($A22,FIND(" ",$A22&amp;" ")-1)),0),_xlpm.v,1+MOD(_xlpm.code,13)/100,ROUND(_xlpm.ppk*_xlpm.wt*_xlpm.v,0)))</f>
        <v>1690</v>
      </c>
      <c r="H22" s="6" cm="1">
        <f t="array" ref="H22">IF(OR($A22="",$L22=""),"",_xlfn.LET(_xlpm.cat,UPPER($E22),_xlpm.base,_xlfn.SWITCH(TRUE,_xlpm.cat="GAMEFOWL",0.22,_xlpm.cat="POULTRY",0.18,_xlpm.cat="SWINE",0.16,_xlpm.cat="HOGS",0.16,_xlpm.cat="RABBIT",0.15,0.17),_xlpm.code,IFERROR(VALUE(LEFT($A22,FIND(" ",$A22&amp;" ")-1)),0),_xlpm.v,MOD(_xlpm.code,9)/1000,MIN(0.3,MAX(0.1,_xlpm.base+_xlpm.v))))</f>
        <v>0.222</v>
      </c>
      <c r="I22" s="5" t="s">
        <v>64</v>
      </c>
      <c r="J22" s="5">
        <v>4</v>
      </c>
      <c r="K22" s="5">
        <v>0.33</v>
      </c>
      <c r="L22" s="5">
        <v>25</v>
      </c>
      <c r="M22" s="5">
        <v>4</v>
      </c>
      <c r="N22" s="5">
        <v>2</v>
      </c>
      <c r="O22" s="5">
        <v>2</v>
      </c>
      <c r="Q22" s="5" t="s">
        <v>34</v>
      </c>
      <c r="R22" s="5" t="s">
        <v>34</v>
      </c>
      <c r="S22" s="5" t="s">
        <v>34</v>
      </c>
      <c r="T22" s="7" t="s">
        <v>34</v>
      </c>
      <c r="U22" s="5" t="s">
        <v>34</v>
      </c>
      <c r="V22" s="7" t="s">
        <v>34</v>
      </c>
      <c r="W22" s="5" t="s">
        <v>34</v>
      </c>
      <c r="X22" s="5" t="s">
        <v>34</v>
      </c>
      <c r="Y22" s="5" t="s">
        <v>34</v>
      </c>
      <c r="Z22" s="5" t="s">
        <v>34</v>
      </c>
      <c r="AA22" s="5" t="s">
        <v>34</v>
      </c>
      <c r="AB22" s="5" t="s">
        <v>34</v>
      </c>
      <c r="AC22" s="5" t="s">
        <v>34</v>
      </c>
      <c r="AD22" s="5" t="s">
        <v>34</v>
      </c>
    </row>
    <row r="23" spans="1:30" ht="15.55" x14ac:dyDescent="0.3">
      <c r="A23" s="4">
        <v>1000000000540</v>
      </c>
      <c r="B23" s="5" t="s">
        <v>117</v>
      </c>
      <c r="C23" s="4">
        <v>3000000000858</v>
      </c>
      <c r="D23" s="5" t="s">
        <v>85</v>
      </c>
      <c r="E23" s="5" t="s">
        <v>86</v>
      </c>
      <c r="F23" s="5" t="s">
        <v>63</v>
      </c>
      <c r="G23" s="10" cm="1">
        <f t="array" ref="G23">IF(OR($A23="",$L23=""),"",_xlfn.LET(_xlpm.cat,UPPER($E23),_xlpm.wt,IFERROR(VALUE(LEFT($L23,FIND(" ",$L23&amp;" ")-1)),$L23),_xlpm.ppk,_xlfn.SWITCH(TRUE,_xlpm.cat="GAMEFOWL",62,_xlpm.cat="POULTRY",45,_xlpm.cat="SWINE",48,_xlpm.cat="HOGS",48,_xlpm.cat="RABBIT",40,45),_xlpm.code,IFERROR(VALUE(LEFT($A23,FIND(" ",$A23&amp;" ")-1)),0),_xlpm.v,1+MOD(_xlpm.code,13)/100,ROUND(_xlpm.ppk*_xlpm.wt*_xlpm.v,0)))</f>
        <v>1674</v>
      </c>
      <c r="H23" s="6" cm="1">
        <f t="array" ref="H23">IF(OR($A23="",$L23=""),"",_xlfn.LET(_xlpm.cat,UPPER($E23),_xlpm.base,_xlfn.SWITCH(TRUE,_xlpm.cat="GAMEFOWL",0.22,_xlpm.cat="POULTRY",0.18,_xlpm.cat="SWINE",0.16,_xlpm.cat="HOGS",0.16,_xlpm.cat="RABBIT",0.15,0.17),_xlpm.code,IFERROR(VALUE(LEFT($A23,FIND(" ",$A23&amp;" ")-1)),0),_xlpm.v,MOD(_xlpm.code,9)/1000,MIN(0.3,MAX(0.1,_xlpm.base+_xlpm.v))))</f>
        <v>0.221</v>
      </c>
      <c r="I23" s="5" t="s">
        <v>64</v>
      </c>
      <c r="J23" s="5">
        <v>4</v>
      </c>
      <c r="K23" s="5">
        <v>0.33</v>
      </c>
      <c r="L23" s="5">
        <v>25</v>
      </c>
      <c r="M23" s="5">
        <v>4</v>
      </c>
      <c r="N23" s="5">
        <v>2</v>
      </c>
      <c r="O23" s="5">
        <v>2</v>
      </c>
      <c r="Q23" s="5" t="s">
        <v>34</v>
      </c>
      <c r="R23" s="5" t="s">
        <v>34</v>
      </c>
      <c r="S23" s="5" t="s">
        <v>39</v>
      </c>
      <c r="T23" s="7">
        <v>5000000000411</v>
      </c>
      <c r="U23" s="5" t="s">
        <v>118</v>
      </c>
      <c r="V23" s="7">
        <v>5000000000130</v>
      </c>
      <c r="W23" s="5" t="s">
        <v>119</v>
      </c>
      <c r="X23" s="5">
        <v>14.051959005373144</v>
      </c>
      <c r="Y23" s="5">
        <v>13.274660127386952</v>
      </c>
      <c r="Z23" s="5" t="s">
        <v>34</v>
      </c>
      <c r="AA23" s="5">
        <v>7.4477991724137933</v>
      </c>
      <c r="AB23" s="5" t="s">
        <v>34</v>
      </c>
      <c r="AC23" s="5" t="s">
        <v>34</v>
      </c>
      <c r="AD23" s="5" t="s">
        <v>34</v>
      </c>
    </row>
    <row r="24" spans="1:30" ht="15.55" x14ac:dyDescent="0.3">
      <c r="A24" s="4">
        <v>1000000000543</v>
      </c>
      <c r="B24" s="5" t="s">
        <v>120</v>
      </c>
      <c r="C24" s="4">
        <v>3000000000078</v>
      </c>
      <c r="D24" s="5" t="s">
        <v>121</v>
      </c>
      <c r="E24" s="5" t="s">
        <v>86</v>
      </c>
      <c r="F24" s="5" t="s">
        <v>63</v>
      </c>
      <c r="G24" s="10" cm="1">
        <f t="array" ref="G24">IF(OR($A24="",$L24=""),"",_xlfn.LET(_xlpm.cat,UPPER($E24),_xlpm.wt,IFERROR(VALUE(LEFT($L24,FIND(" ",$L24&amp;" ")-1)),$L24),_xlpm.ppk,_xlfn.SWITCH(TRUE,_xlpm.cat="GAMEFOWL",62,_xlpm.cat="POULTRY",45,_xlpm.cat="SWINE",48,_xlpm.cat="HOGS",48,_xlpm.cat="RABBIT",40,45),_xlpm.code,IFERROR(VALUE(LEFT($A24,FIND(" ",$A24&amp;" ")-1)),0),_xlpm.v,1+MOD(_xlpm.code,13)/100,ROUND(_xlpm.ppk*_xlpm.wt*_xlpm.v,0)))</f>
        <v>1721</v>
      </c>
      <c r="H24" s="6" cm="1">
        <f t="array" ref="H24">IF(OR($A24="",$L24=""),"",_xlfn.LET(_xlpm.cat,UPPER($E24),_xlpm.base,_xlfn.SWITCH(TRUE,_xlpm.cat="GAMEFOWL",0.22,_xlpm.cat="POULTRY",0.18,_xlpm.cat="SWINE",0.16,_xlpm.cat="HOGS",0.16,_xlpm.cat="RABBIT",0.15,0.17),_xlpm.code,IFERROR(VALUE(LEFT($A24,FIND(" ",$A24&amp;" ")-1)),0),_xlpm.v,MOD(_xlpm.code,9)/1000,MIN(0.3,MAX(0.1,_xlpm.base+_xlpm.v))))</f>
        <v>0.224</v>
      </c>
      <c r="I24" s="5" t="s">
        <v>122</v>
      </c>
      <c r="J24" s="5">
        <v>3</v>
      </c>
      <c r="K24" s="5">
        <v>0</v>
      </c>
      <c r="L24" s="5">
        <v>25</v>
      </c>
      <c r="M24" s="5">
        <v>4</v>
      </c>
      <c r="N24" s="5">
        <v>2</v>
      </c>
      <c r="O24" s="5">
        <v>2</v>
      </c>
      <c r="Q24" s="5" t="s">
        <v>34</v>
      </c>
      <c r="R24" s="5" t="s">
        <v>34</v>
      </c>
      <c r="S24" s="5" t="s">
        <v>39</v>
      </c>
      <c r="T24" s="7">
        <v>5000000000028</v>
      </c>
      <c r="U24" s="5" t="s">
        <v>123</v>
      </c>
      <c r="V24" s="7">
        <v>5000000000130</v>
      </c>
      <c r="W24" s="5" t="s">
        <v>119</v>
      </c>
      <c r="X24" s="5" t="s">
        <v>34</v>
      </c>
      <c r="Y24" s="5" t="s">
        <v>34</v>
      </c>
      <c r="Z24" s="5" t="s">
        <v>34</v>
      </c>
      <c r="AA24" s="5" t="s">
        <v>34</v>
      </c>
      <c r="AB24" s="5">
        <v>12.672035139092241</v>
      </c>
      <c r="AC24" s="5" t="s">
        <v>34</v>
      </c>
      <c r="AD24" s="5" t="s">
        <v>34</v>
      </c>
    </row>
    <row r="25" spans="1:30" ht="15.55" x14ac:dyDescent="0.3">
      <c r="A25" s="4">
        <v>3000000000076</v>
      </c>
      <c r="B25" s="5" t="s">
        <v>124</v>
      </c>
      <c r="C25" s="4">
        <v>3000000000076</v>
      </c>
      <c r="D25" s="5" t="s">
        <v>125</v>
      </c>
      <c r="E25" s="5" t="s">
        <v>86</v>
      </c>
      <c r="F25" s="5" t="s">
        <v>63</v>
      </c>
      <c r="G25" s="10" cm="1">
        <f t="array" ref="G25">IF(OR($A25="",$L25=""),"",_xlfn.LET(_xlpm.cat,UPPER($E25),_xlpm.wt,IFERROR(VALUE(LEFT($L25,FIND(" ",$L25&amp;" ")-1)),$L25),_xlpm.ppk,_xlfn.SWITCH(TRUE,_xlpm.cat="GAMEFOWL",62,_xlpm.cat="POULTRY",45,_xlpm.cat="SWINE",48,_xlpm.cat="HOGS",48,_xlpm.cat="RABBIT",40,45),_xlpm.code,IFERROR(VALUE(LEFT($A25,FIND(" ",$A25&amp;" ")-1)),0),_xlpm.v,1+MOD(_xlpm.code,13)/100,ROUND(_xlpm.ppk*_xlpm.wt*_xlpm.v,0)))</f>
        <v>3131</v>
      </c>
      <c r="H25" s="6" cm="1">
        <f t="array" ref="H25">IF(OR($A25="",$L25=""),"",_xlfn.LET(_xlpm.cat,UPPER($E25),_xlpm.base,_xlfn.SWITCH(TRUE,_xlpm.cat="GAMEFOWL",0.22,_xlpm.cat="POULTRY",0.18,_xlpm.cat="SWINE",0.16,_xlpm.cat="HOGS",0.16,_xlpm.cat="RABBIT",0.15,0.17),_xlpm.code,IFERROR(VALUE(LEFT($A25,FIND(" ",$A25&amp;" ")-1)),0),_xlpm.v,MOD(_xlpm.code,9)/1000,MIN(0.3,MAX(0.1,_xlpm.base+_xlpm.v))))</f>
        <v>0.22700000000000001</v>
      </c>
      <c r="I25" s="5" t="s">
        <v>106</v>
      </c>
      <c r="J25" s="5">
        <v>4</v>
      </c>
      <c r="K25" s="5">
        <v>0.33</v>
      </c>
      <c r="L25" s="5">
        <v>50</v>
      </c>
      <c r="M25" s="5">
        <v>4</v>
      </c>
      <c r="N25" s="5">
        <v>2</v>
      </c>
      <c r="O25" s="5">
        <v>2</v>
      </c>
      <c r="Q25" s="5" t="s">
        <v>126</v>
      </c>
      <c r="R25" s="5" t="s">
        <v>34</v>
      </c>
      <c r="S25" s="5" t="s">
        <v>63</v>
      </c>
      <c r="T25" s="7" t="s">
        <v>34</v>
      </c>
      <c r="U25" s="5" t="s">
        <v>34</v>
      </c>
      <c r="V25" s="7" t="s">
        <v>34</v>
      </c>
      <c r="W25" s="5" t="s">
        <v>34</v>
      </c>
      <c r="X25" s="5" t="s">
        <v>34</v>
      </c>
      <c r="Y25" s="5" t="s">
        <v>34</v>
      </c>
      <c r="Z25" s="5">
        <v>6.5492321808127008</v>
      </c>
      <c r="AA25" s="5">
        <v>7.5474284815724832</v>
      </c>
      <c r="AB25" s="5" t="s">
        <v>34</v>
      </c>
      <c r="AC25" s="5">
        <v>5.8662912000000009</v>
      </c>
      <c r="AD25" s="5" t="s">
        <v>34</v>
      </c>
    </row>
    <row r="26" spans="1:30" ht="15.55" x14ac:dyDescent="0.3">
      <c r="A26" s="4">
        <v>1000000000937</v>
      </c>
      <c r="B26" s="5" t="s">
        <v>127</v>
      </c>
      <c r="C26" s="4">
        <v>3000000000581</v>
      </c>
      <c r="D26" s="5" t="s">
        <v>128</v>
      </c>
      <c r="E26" s="5" t="s">
        <v>31</v>
      </c>
      <c r="F26" s="5" t="s">
        <v>32</v>
      </c>
      <c r="G26" s="10" cm="1">
        <f t="array" ref="G26">IF(OR($A26="",$L26=""),"",_xlfn.LET(_xlpm.cat,UPPER($E26),_xlpm.wt,IFERROR(VALUE(LEFT($L26,FIND(" ",$L26&amp;" ")-1)),$L26),_xlpm.ppk,_xlfn.SWITCH(TRUE,_xlpm.cat="GAMEFOWL",62,_xlpm.cat="POULTRY",45,_xlpm.cat="SWINE",48,_xlpm.cat="HOGS",48,_xlpm.cat="RABBIT",40,45),_xlpm.code,IFERROR(VALUE(LEFT($A26,FIND(" ",$A26&amp;" ")-1)),0),_xlpm.v,1+MOD(_xlpm.code,13)/100,ROUND(_xlpm.ppk*_xlpm.wt*_xlpm.v,0)))</f>
        <v>2448</v>
      </c>
      <c r="H26" s="6" cm="1">
        <f t="array" ref="H26">IF(OR($A26="",$L26=""),"",_xlfn.LET(_xlpm.cat,UPPER($E26),_xlpm.base,_xlfn.SWITCH(TRUE,_xlpm.cat="GAMEFOWL",0.22,_xlpm.cat="POULTRY",0.18,_xlpm.cat="SWINE",0.16,_xlpm.cat="HOGS",0.16,_xlpm.cat="RABBIT",0.15,0.17),_xlpm.code,IFERROR(VALUE(LEFT($A26,FIND(" ",$A26&amp;" ")-1)),0),_xlpm.v,MOD(_xlpm.code,9)/1000,MIN(0.3,MAX(0.1,_xlpm.base+_xlpm.v))))</f>
        <v>0.16200000000000001</v>
      </c>
      <c r="I26" s="5" t="s">
        <v>33</v>
      </c>
      <c r="J26" s="5">
        <v>4</v>
      </c>
      <c r="K26" s="5">
        <v>0.17</v>
      </c>
      <c r="L26" s="5">
        <v>50</v>
      </c>
      <c r="M26" s="5">
        <v>4</v>
      </c>
      <c r="N26" s="5">
        <v>2</v>
      </c>
      <c r="O26" s="5">
        <v>2</v>
      </c>
      <c r="Q26" s="5" t="s">
        <v>34</v>
      </c>
      <c r="R26" s="5" t="s">
        <v>34</v>
      </c>
      <c r="S26" s="5" t="s">
        <v>39</v>
      </c>
      <c r="T26" s="7">
        <v>5000000000060</v>
      </c>
      <c r="U26" s="5" t="s">
        <v>129</v>
      </c>
      <c r="V26" s="7">
        <v>5000000000126</v>
      </c>
      <c r="W26" s="5" t="s">
        <v>130</v>
      </c>
      <c r="X26" s="5">
        <v>20.105212556862515</v>
      </c>
      <c r="Y26" s="5">
        <v>19.528299745060774</v>
      </c>
      <c r="Z26" s="5" t="s">
        <v>34</v>
      </c>
      <c r="AA26" s="5" t="s">
        <v>34</v>
      </c>
      <c r="AB26" s="5" t="s">
        <v>34</v>
      </c>
      <c r="AC26" s="5">
        <v>7.8918784490958904</v>
      </c>
      <c r="AD26" s="5" t="s">
        <v>34</v>
      </c>
    </row>
    <row r="27" spans="1:30" ht="15.55" x14ac:dyDescent="0.3">
      <c r="A27" s="4">
        <v>1000000000557</v>
      </c>
      <c r="B27" s="5" t="s">
        <v>131</v>
      </c>
      <c r="C27" s="4">
        <v>3000000000049</v>
      </c>
      <c r="D27" s="5" t="s">
        <v>132</v>
      </c>
      <c r="E27" s="5" t="s">
        <v>86</v>
      </c>
      <c r="F27" s="5" t="s">
        <v>63</v>
      </c>
      <c r="G27" s="10" cm="1">
        <f t="array" ref="G27">IF(OR($A27="",$L27=""),"",_xlfn.LET(_xlpm.cat,UPPER($E27),_xlpm.wt,IFERROR(VALUE(LEFT($L27,FIND(" ",$L27&amp;" ")-1)),$L27),_xlpm.ppk,_xlfn.SWITCH(TRUE,_xlpm.cat="GAMEFOWL",62,_xlpm.cat="POULTRY",45,_xlpm.cat="SWINE",48,_xlpm.cat="HOGS",48,_xlpm.cat="RABBIT",40,45),_xlpm.code,IFERROR(VALUE(LEFT($A27,FIND(" ",$A27&amp;" ")-1)),0),_xlpm.v,1+MOD(_xlpm.code,13)/100,ROUND(_xlpm.ppk*_xlpm.wt*_xlpm.v,0)))</f>
        <v>1736</v>
      </c>
      <c r="H27" s="6" cm="1">
        <f t="array" ref="H27">IF(OR($A27="",$L27=""),"",_xlfn.LET(_xlpm.cat,UPPER($E27),_xlpm.base,_xlfn.SWITCH(TRUE,_xlpm.cat="GAMEFOWL",0.22,_xlpm.cat="POULTRY",0.18,_xlpm.cat="SWINE",0.16,_xlpm.cat="HOGS",0.16,_xlpm.cat="RABBIT",0.15,0.17),_xlpm.code,IFERROR(VALUE(LEFT($A27,FIND(" ",$A27&amp;" ")-1)),0),_xlpm.v,MOD(_xlpm.code,9)/1000,MIN(0.3,MAX(0.1,_xlpm.base+_xlpm.v))))</f>
        <v>0.22</v>
      </c>
      <c r="I27" s="5" t="s">
        <v>106</v>
      </c>
      <c r="J27" s="5">
        <v>4</v>
      </c>
      <c r="K27" s="5">
        <v>0.33</v>
      </c>
      <c r="L27" s="5">
        <v>25</v>
      </c>
      <c r="M27" s="5">
        <v>4</v>
      </c>
      <c r="N27" s="5">
        <v>2</v>
      </c>
      <c r="O27" s="5">
        <v>2</v>
      </c>
      <c r="Q27" s="5" t="s">
        <v>34</v>
      </c>
      <c r="R27" s="5" t="s">
        <v>34</v>
      </c>
      <c r="S27" s="5" t="s">
        <v>34</v>
      </c>
      <c r="T27" s="7" t="s">
        <v>34</v>
      </c>
      <c r="U27" s="5" t="s">
        <v>34</v>
      </c>
      <c r="V27" s="7" t="s">
        <v>34</v>
      </c>
      <c r="W27" s="5" t="s">
        <v>34</v>
      </c>
      <c r="X27" s="5" t="s">
        <v>34</v>
      </c>
      <c r="Y27" s="5" t="s">
        <v>34</v>
      </c>
      <c r="Z27" s="5" t="s">
        <v>34</v>
      </c>
      <c r="AA27" s="5" t="s">
        <v>34</v>
      </c>
      <c r="AB27" s="5" t="s">
        <v>34</v>
      </c>
      <c r="AC27" s="5" t="s">
        <v>34</v>
      </c>
      <c r="AD27" s="5" t="s">
        <v>34</v>
      </c>
    </row>
    <row r="28" spans="1:30" ht="15.55" x14ac:dyDescent="0.3">
      <c r="A28" s="4">
        <v>1000000000591</v>
      </c>
      <c r="B28" s="5" t="s">
        <v>133</v>
      </c>
      <c r="C28" s="4">
        <v>3000000000238</v>
      </c>
      <c r="D28" s="5" t="s">
        <v>134</v>
      </c>
      <c r="E28" s="5" t="s">
        <v>86</v>
      </c>
      <c r="F28" s="5" t="s">
        <v>63</v>
      </c>
      <c r="G28" s="10" cm="1">
        <f t="array" ref="G28">IF(OR($A28="",$L28=""),"",_xlfn.LET(_xlpm.cat,UPPER($E28),_xlpm.wt,IFERROR(VALUE(LEFT($L28,FIND(" ",$L28&amp;" ")-1)),$L28),_xlpm.ppk,_xlfn.SWITCH(TRUE,_xlpm.cat="GAMEFOWL",62,_xlpm.cat="POULTRY",45,_xlpm.cat="SWINE",48,_xlpm.cat="HOGS",48,_xlpm.cat="RABBIT",40,45),_xlpm.code,IFERROR(VALUE(LEFT($A28,FIND(" ",$A28&amp;" ")-1)),0),_xlpm.v,1+MOD(_xlpm.code,13)/100,ROUND(_xlpm.ppk*_xlpm.wt*_xlpm.v,0)))</f>
        <v>3317</v>
      </c>
      <c r="H28" s="6" cm="1">
        <f t="array" ref="H28">IF(OR($A28="",$L28=""),"",_xlfn.LET(_xlpm.cat,UPPER($E28),_xlpm.base,_xlfn.SWITCH(TRUE,_xlpm.cat="GAMEFOWL",0.22,_xlpm.cat="POULTRY",0.18,_xlpm.cat="SWINE",0.16,_xlpm.cat="HOGS",0.16,_xlpm.cat="RABBIT",0.15,0.17),_xlpm.code,IFERROR(VALUE(LEFT($A28,FIND(" ",$A28&amp;" ")-1)),0),_xlpm.v,MOD(_xlpm.code,9)/1000,MIN(0.3,MAX(0.1,_xlpm.base+_xlpm.v))))</f>
        <v>0.22700000000000001</v>
      </c>
      <c r="I28" s="5" t="s">
        <v>106</v>
      </c>
      <c r="J28" s="5">
        <v>4</v>
      </c>
      <c r="K28" s="5">
        <v>0.33</v>
      </c>
      <c r="L28" s="5">
        <v>50</v>
      </c>
      <c r="M28" s="5">
        <v>4</v>
      </c>
      <c r="N28" s="5">
        <v>2</v>
      </c>
      <c r="O28" s="5">
        <v>2</v>
      </c>
      <c r="Q28" s="5" t="s">
        <v>34</v>
      </c>
      <c r="R28" s="5" t="s">
        <v>34</v>
      </c>
      <c r="S28" s="5" t="s">
        <v>39</v>
      </c>
      <c r="T28" s="7">
        <v>5000000000063</v>
      </c>
      <c r="U28" s="5" t="s">
        <v>135</v>
      </c>
      <c r="V28" s="7">
        <v>5000000000128</v>
      </c>
      <c r="W28" s="5" t="s">
        <v>136</v>
      </c>
      <c r="X28" s="5" t="s">
        <v>34</v>
      </c>
      <c r="Y28" s="5">
        <v>13.257850616884644</v>
      </c>
      <c r="Z28" s="5">
        <v>7.2707210847457642</v>
      </c>
      <c r="AA28" s="5" t="s">
        <v>34</v>
      </c>
      <c r="AB28" s="5" t="s">
        <v>34</v>
      </c>
      <c r="AC28" s="5">
        <v>7.0324996736962637</v>
      </c>
      <c r="AD28" s="5" t="s">
        <v>34</v>
      </c>
    </row>
    <row r="29" spans="1:30" ht="15.55" x14ac:dyDescent="0.3">
      <c r="A29" s="4">
        <v>1000000000588</v>
      </c>
      <c r="B29" s="5" t="s">
        <v>137</v>
      </c>
      <c r="C29" s="4">
        <v>3000000000234</v>
      </c>
      <c r="D29" s="5" t="s">
        <v>138</v>
      </c>
      <c r="E29" s="5" t="s">
        <v>86</v>
      </c>
      <c r="F29" s="5" t="s">
        <v>113</v>
      </c>
      <c r="G29" s="10" cm="1">
        <f t="array" ref="G29">IF(OR($A29="",$L29=""),"",_xlfn.LET(_xlpm.cat,UPPER($E29),_xlpm.wt,IFERROR(VALUE(LEFT($L29,FIND(" ",$L29&amp;" ")-1)),$L29),_xlpm.ppk,_xlfn.SWITCH(TRUE,_xlpm.cat="GAMEFOWL",62,_xlpm.cat="POULTRY",45,_xlpm.cat="SWINE",48,_xlpm.cat="HOGS",48,_xlpm.cat="RABBIT",40,45),_xlpm.code,IFERROR(VALUE(LEFT($A29,FIND(" ",$A29&amp;" ")-1)),0),_xlpm.v,1+MOD(_xlpm.code,13)/100,ROUND(_xlpm.ppk*_xlpm.wt*_xlpm.v,0)))</f>
        <v>3224</v>
      </c>
      <c r="H29" s="6" cm="1">
        <f t="array" ref="H29">IF(OR($A29="",$L29=""),"",_xlfn.LET(_xlpm.cat,UPPER($E29),_xlpm.base,_xlfn.SWITCH(TRUE,_xlpm.cat="GAMEFOWL",0.22,_xlpm.cat="POULTRY",0.18,_xlpm.cat="SWINE",0.16,_xlpm.cat="HOGS",0.16,_xlpm.cat="RABBIT",0.15,0.17),_xlpm.code,IFERROR(VALUE(LEFT($A29,FIND(" ",$A29&amp;" ")-1)),0),_xlpm.v,MOD(_xlpm.code,9)/1000,MIN(0.3,MAX(0.1,_xlpm.base+_xlpm.v))))</f>
        <v>0.224</v>
      </c>
      <c r="I29" s="5" t="s">
        <v>139</v>
      </c>
      <c r="J29" s="5">
        <v>3</v>
      </c>
      <c r="K29" s="5">
        <v>0.17</v>
      </c>
      <c r="L29" s="5">
        <v>50</v>
      </c>
      <c r="M29" s="5">
        <v>4</v>
      </c>
      <c r="N29" s="5">
        <v>2</v>
      </c>
      <c r="O29" s="5">
        <v>2</v>
      </c>
      <c r="Q29" s="5" t="s">
        <v>34</v>
      </c>
      <c r="R29" s="5" t="s">
        <v>34</v>
      </c>
      <c r="S29" s="5" t="s">
        <v>39</v>
      </c>
      <c r="T29" s="7">
        <v>5000000000020</v>
      </c>
      <c r="U29" s="5" t="s">
        <v>140</v>
      </c>
      <c r="V29" s="7">
        <v>5000000000129</v>
      </c>
      <c r="W29" s="5" t="s">
        <v>141</v>
      </c>
      <c r="X29" s="5">
        <v>18.959690047375933</v>
      </c>
      <c r="Y29" s="5" t="s">
        <v>34</v>
      </c>
      <c r="Z29" s="5" t="s">
        <v>34</v>
      </c>
      <c r="AA29" s="5" t="s">
        <v>34</v>
      </c>
      <c r="AB29" s="5" t="s">
        <v>34</v>
      </c>
      <c r="AC29" s="5" t="s">
        <v>34</v>
      </c>
      <c r="AD29" s="5" t="s">
        <v>34</v>
      </c>
    </row>
    <row r="30" spans="1:30" ht="15.55" x14ac:dyDescent="0.3">
      <c r="A30" s="4">
        <v>1000000000589</v>
      </c>
      <c r="B30" s="5" t="s">
        <v>142</v>
      </c>
      <c r="C30" s="4">
        <v>3000000000236</v>
      </c>
      <c r="D30" s="5" t="s">
        <v>143</v>
      </c>
      <c r="E30" s="5" t="s">
        <v>86</v>
      </c>
      <c r="F30" s="5" t="s">
        <v>63</v>
      </c>
      <c r="G30" s="10" cm="1">
        <f t="array" ref="G30">IF(OR($A30="",$L30=""),"",_xlfn.LET(_xlpm.cat,UPPER($E30),_xlpm.wt,IFERROR(VALUE(LEFT($L30,FIND(" ",$L30&amp;" ")-1)),$L30),_xlpm.ppk,_xlfn.SWITCH(TRUE,_xlpm.cat="GAMEFOWL",62,_xlpm.cat="POULTRY",45,_xlpm.cat="SWINE",48,_xlpm.cat="HOGS",48,_xlpm.cat="RABBIT",40,45),_xlpm.code,IFERROR(VALUE(LEFT($A30,FIND(" ",$A30&amp;" ")-1)),0),_xlpm.v,1+MOD(_xlpm.code,13)/100,ROUND(_xlpm.ppk*_xlpm.wt*_xlpm.v,0)))</f>
        <v>3255</v>
      </c>
      <c r="H30" s="6" cm="1">
        <f t="array" ref="H30">IF(OR($A30="",$L30=""),"",_xlfn.LET(_xlpm.cat,UPPER($E30),_xlpm.base,_xlfn.SWITCH(TRUE,_xlpm.cat="GAMEFOWL",0.22,_xlpm.cat="POULTRY",0.18,_xlpm.cat="SWINE",0.16,_xlpm.cat="HOGS",0.16,_xlpm.cat="RABBIT",0.15,0.17),_xlpm.code,IFERROR(VALUE(LEFT($A30,FIND(" ",$A30&amp;" ")-1)),0),_xlpm.v,MOD(_xlpm.code,9)/1000,MIN(0.3,MAX(0.1,_xlpm.base+_xlpm.v))))</f>
        <v>0.22500000000000001</v>
      </c>
      <c r="I30" s="5" t="s">
        <v>64</v>
      </c>
      <c r="J30" s="5">
        <v>4</v>
      </c>
      <c r="K30" s="5">
        <v>0.33</v>
      </c>
      <c r="L30" s="5">
        <v>50</v>
      </c>
      <c r="M30" s="5">
        <v>4</v>
      </c>
      <c r="N30" s="5">
        <v>2</v>
      </c>
      <c r="O30" s="5">
        <v>2</v>
      </c>
      <c r="Q30" s="5" t="s">
        <v>34</v>
      </c>
      <c r="R30" s="5" t="s">
        <v>34</v>
      </c>
      <c r="S30" s="5" t="s">
        <v>39</v>
      </c>
      <c r="T30" s="7">
        <v>5000000000062</v>
      </c>
      <c r="U30" s="5" t="s">
        <v>144</v>
      </c>
      <c r="V30" s="7">
        <v>5000000000127</v>
      </c>
      <c r="W30" s="5" t="s">
        <v>145</v>
      </c>
      <c r="X30" s="5">
        <v>13.782505342588466</v>
      </c>
      <c r="Y30" s="5">
        <v>12.870283185487422</v>
      </c>
      <c r="Z30" s="5" t="s">
        <v>34</v>
      </c>
      <c r="AA30" s="5">
        <v>7.8093784242730075</v>
      </c>
      <c r="AB30" s="5" t="s">
        <v>34</v>
      </c>
      <c r="AC30" s="5" t="s">
        <v>34</v>
      </c>
      <c r="AD30" s="5" t="s">
        <v>34</v>
      </c>
    </row>
    <row r="31" spans="1:30" ht="15.55" x14ac:dyDescent="0.3">
      <c r="A31" s="4">
        <v>1000000000480</v>
      </c>
      <c r="B31" s="5" t="s">
        <v>146</v>
      </c>
      <c r="C31" s="4">
        <v>3000000000152</v>
      </c>
      <c r="D31" s="5" t="s">
        <v>147</v>
      </c>
      <c r="E31" s="5" t="s">
        <v>31</v>
      </c>
      <c r="F31" s="5" t="s">
        <v>32</v>
      </c>
      <c r="G31" s="10" cm="1">
        <f t="array" ref="G31">IF(OR($A31="",$L31=""),"",_xlfn.LET(_xlpm.cat,UPPER($E31),_xlpm.wt,IFERROR(VALUE(LEFT($L31,FIND(" ",$L31&amp;" ")-1)),$L31),_xlpm.ppk,_xlfn.SWITCH(TRUE,_xlpm.cat="GAMEFOWL",62,_xlpm.cat="POULTRY",45,_xlpm.cat="SWINE",48,_xlpm.cat="HOGS",48,_xlpm.cat="RABBIT",40,45),_xlpm.code,IFERROR(VALUE(LEFT($A31,FIND(" ",$A31&amp;" ")-1)),0),_xlpm.v,1+MOD(_xlpm.code,13)/100,ROUND(_xlpm.ppk*_xlpm.wt*_xlpm.v,0)))</f>
        <v>2400</v>
      </c>
      <c r="H31" s="6" cm="1">
        <f t="array" ref="H31">IF(OR($A31="",$L31=""),"",_xlfn.LET(_xlpm.cat,UPPER($E31),_xlpm.base,_xlfn.SWITCH(TRUE,_xlpm.cat="GAMEFOWL",0.22,_xlpm.cat="POULTRY",0.18,_xlpm.cat="SWINE",0.16,_xlpm.cat="HOGS",0.16,_xlpm.cat="RABBIT",0.15,0.17),_xlpm.code,IFERROR(VALUE(LEFT($A31,FIND(" ",$A31&amp;" ")-1)),0),_xlpm.v,MOD(_xlpm.code,9)/1000,MIN(0.3,MAX(0.1,_xlpm.base+_xlpm.v))))</f>
        <v>0.16400000000000001</v>
      </c>
      <c r="I31" s="5" t="s">
        <v>33</v>
      </c>
      <c r="J31" s="5">
        <v>4</v>
      </c>
      <c r="K31" s="5">
        <v>0.17</v>
      </c>
      <c r="L31" s="5">
        <v>50</v>
      </c>
      <c r="M31" s="5">
        <v>4</v>
      </c>
      <c r="N31" s="5">
        <v>2</v>
      </c>
      <c r="O31" s="5">
        <v>2</v>
      </c>
      <c r="Q31" s="5" t="s">
        <v>148</v>
      </c>
      <c r="R31" s="5" t="s">
        <v>34</v>
      </c>
      <c r="S31" s="5" t="s">
        <v>149</v>
      </c>
      <c r="T31" s="7">
        <v>5000000000050</v>
      </c>
      <c r="U31" s="5" t="s">
        <v>150</v>
      </c>
      <c r="V31" s="7">
        <v>5000000000081</v>
      </c>
      <c r="W31" s="5" t="s">
        <v>151</v>
      </c>
      <c r="X31" s="5" t="s">
        <v>34</v>
      </c>
      <c r="Y31" s="5" t="s">
        <v>34</v>
      </c>
      <c r="Z31" s="5" t="s">
        <v>34</v>
      </c>
      <c r="AA31" s="5" t="s">
        <v>34</v>
      </c>
      <c r="AB31" s="5" t="s">
        <v>34</v>
      </c>
      <c r="AC31" s="5" t="s">
        <v>34</v>
      </c>
      <c r="AD31" s="5" t="s">
        <v>34</v>
      </c>
    </row>
    <row r="32" spans="1:30" ht="15.55" x14ac:dyDescent="0.3">
      <c r="A32" s="4">
        <v>1000000000594</v>
      </c>
      <c r="B32" s="5" t="s">
        <v>152</v>
      </c>
      <c r="C32" s="4">
        <v>3000000000242</v>
      </c>
      <c r="D32" s="5" t="s">
        <v>153</v>
      </c>
      <c r="E32" s="5" t="s">
        <v>86</v>
      </c>
      <c r="F32" s="5" t="s">
        <v>63</v>
      </c>
      <c r="G32" s="10" cm="1">
        <f t="array" ref="G32">IF(OR($A32="",$L32=""),"",_xlfn.LET(_xlpm.cat,UPPER($E32),_xlpm.wt,IFERROR(VALUE(LEFT($L32,FIND(" ",$L32&amp;" ")-1)),$L32),_xlpm.ppk,_xlfn.SWITCH(TRUE,_xlpm.cat="GAMEFOWL",62,_xlpm.cat="POULTRY",45,_xlpm.cat="SWINE",48,_xlpm.cat="HOGS",48,_xlpm.cat="RABBIT",40,45),_xlpm.code,IFERROR(VALUE(LEFT($A32,FIND(" ",$A32&amp;" ")-1)),0),_xlpm.v,1+MOD(_xlpm.code,13)/100,ROUND(_xlpm.ppk*_xlpm.wt*_xlpm.v,0)))</f>
        <v>3410</v>
      </c>
      <c r="H32" s="6" cm="1">
        <f t="array" ref="H32">IF(OR($A32="",$L32=""),"",_xlfn.LET(_xlpm.cat,UPPER($E32),_xlpm.base,_xlfn.SWITCH(TRUE,_xlpm.cat="GAMEFOWL",0.22,_xlpm.cat="POULTRY",0.18,_xlpm.cat="SWINE",0.16,_xlpm.cat="HOGS",0.16,_xlpm.cat="RABBIT",0.15,0.17),_xlpm.code,IFERROR(VALUE(LEFT($A32,FIND(" ",$A32&amp;" ")-1)),0),_xlpm.v,MOD(_xlpm.code,9)/1000,MIN(0.3,MAX(0.1,_xlpm.base+_xlpm.v))))</f>
        <v>0.221</v>
      </c>
      <c r="I32" s="5" t="s">
        <v>139</v>
      </c>
      <c r="J32" s="5">
        <v>3</v>
      </c>
      <c r="K32" s="5">
        <v>0.17</v>
      </c>
      <c r="L32" s="5">
        <v>50</v>
      </c>
      <c r="M32" s="5">
        <v>3</v>
      </c>
      <c r="N32" s="5">
        <v>2</v>
      </c>
      <c r="O32" s="5">
        <v>2</v>
      </c>
      <c r="Q32" s="5" t="s">
        <v>34</v>
      </c>
      <c r="R32" s="5" t="s">
        <v>34</v>
      </c>
      <c r="S32" s="5" t="s">
        <v>39</v>
      </c>
      <c r="T32" s="7">
        <v>5000000000142</v>
      </c>
      <c r="U32" s="5" t="s">
        <v>154</v>
      </c>
      <c r="V32" s="7">
        <v>5000000000143</v>
      </c>
      <c r="W32" s="5" t="s">
        <v>155</v>
      </c>
      <c r="X32" s="5">
        <v>19.513631257519059</v>
      </c>
      <c r="Y32" s="5" t="s">
        <v>34</v>
      </c>
      <c r="Z32" s="5" t="s">
        <v>34</v>
      </c>
      <c r="AA32" s="5" t="s">
        <v>34</v>
      </c>
      <c r="AB32" s="5" t="s">
        <v>34</v>
      </c>
      <c r="AC32" s="5" t="s">
        <v>34</v>
      </c>
      <c r="AD32" s="5" t="s">
        <v>34</v>
      </c>
    </row>
    <row r="33" spans="1:30" ht="15.55" x14ac:dyDescent="0.3">
      <c r="A33" s="4">
        <v>1000000000500</v>
      </c>
      <c r="B33" s="5" t="s">
        <v>156</v>
      </c>
      <c r="C33" s="4">
        <v>3000000000156</v>
      </c>
      <c r="D33" s="5" t="s">
        <v>157</v>
      </c>
      <c r="E33" s="5" t="s">
        <v>62</v>
      </c>
      <c r="F33" s="5" t="s">
        <v>63</v>
      </c>
      <c r="G33" s="10" cm="1">
        <f t="array" ref="G33">IF(OR($A33="",$L33=""),"",_xlfn.LET(_xlpm.cat,UPPER($E33),_xlpm.wt,IFERROR(VALUE(LEFT($L33,FIND(" ",$L33&amp;" ")-1)),$L33),_xlpm.ppk,_xlfn.SWITCH(TRUE,_xlpm.cat="GAMEFOWL",62,_xlpm.cat="POULTRY",45,_xlpm.cat="SWINE",48,_xlpm.cat="HOGS",48,_xlpm.cat="RABBIT",40,45),_xlpm.code,IFERROR(VALUE(LEFT($A33,FIND(" ",$A33&amp;" ")-1)),0),_xlpm.v,1+MOD(_xlpm.code,13)/100,ROUND(_xlpm.ppk*_xlpm.wt*_xlpm.v,0)))</f>
        <v>2408</v>
      </c>
      <c r="H33" s="6" cm="1">
        <f t="array" ref="H33">IF(OR($A33="",$L33=""),"",_xlfn.LET(_xlpm.cat,UPPER($E33),_xlpm.base,_xlfn.SWITCH(TRUE,_xlpm.cat="GAMEFOWL",0.22,_xlpm.cat="POULTRY",0.18,_xlpm.cat="SWINE",0.16,_xlpm.cat="HOGS",0.16,_xlpm.cat="RABBIT",0.15,0.17),_xlpm.code,IFERROR(VALUE(LEFT($A33,FIND(" ",$A33&amp;" ")-1)),0),_xlpm.v,MOD(_xlpm.code,9)/1000,MIN(0.3,MAX(0.1,_xlpm.base+_xlpm.v))))</f>
        <v>0.186</v>
      </c>
      <c r="I33" s="5" t="s">
        <v>33</v>
      </c>
      <c r="J33" s="5">
        <v>4</v>
      </c>
      <c r="K33" s="5">
        <v>0.17</v>
      </c>
      <c r="L33" s="5">
        <v>50</v>
      </c>
      <c r="M33" s="5">
        <v>4</v>
      </c>
      <c r="N33" s="5">
        <v>2</v>
      </c>
      <c r="O33" s="5">
        <v>2</v>
      </c>
      <c r="Q33" s="5" t="s">
        <v>34</v>
      </c>
      <c r="R33" s="5" t="s">
        <v>34</v>
      </c>
      <c r="S33" s="5" t="s">
        <v>39</v>
      </c>
      <c r="T33" s="7">
        <v>5000000000051</v>
      </c>
      <c r="U33" s="5" t="s">
        <v>158</v>
      </c>
      <c r="V33" s="7" t="s">
        <v>34</v>
      </c>
      <c r="W33" s="5" t="s">
        <v>159</v>
      </c>
      <c r="X33" s="5" t="s">
        <v>34</v>
      </c>
      <c r="Y33" s="5" t="s">
        <v>34</v>
      </c>
      <c r="Z33" s="5" t="s">
        <v>34</v>
      </c>
      <c r="AA33" s="5" t="s">
        <v>34</v>
      </c>
      <c r="AB33" s="5" t="s">
        <v>34</v>
      </c>
      <c r="AC33" s="5" t="s">
        <v>34</v>
      </c>
      <c r="AD33" s="5" t="s">
        <v>34</v>
      </c>
    </row>
    <row r="34" spans="1:30" ht="15.55" x14ac:dyDescent="0.3">
      <c r="A34" s="4">
        <v>1000000000857</v>
      </c>
      <c r="B34" s="5" t="s">
        <v>160</v>
      </c>
      <c r="C34" s="4">
        <v>3000000000120</v>
      </c>
      <c r="D34" s="5" t="s">
        <v>161</v>
      </c>
      <c r="E34" s="5" t="s">
        <v>31</v>
      </c>
      <c r="F34" s="5" t="s">
        <v>32</v>
      </c>
      <c r="G34" s="10" cm="1">
        <f t="array" ref="G34">IF(OR($A34="",$L34=""),"",_xlfn.LET(_xlpm.cat,UPPER($E34),_xlpm.wt,IFERROR(VALUE(LEFT($L34,FIND(" ",$L34&amp;" ")-1)),$L34),_xlpm.ppk,_xlfn.SWITCH(TRUE,_xlpm.cat="GAMEFOWL",62,_xlpm.cat="POULTRY",45,_xlpm.cat="SWINE",48,_xlpm.cat="HOGS",48,_xlpm.cat="RABBIT",40,45),_xlpm.code,IFERROR(VALUE(LEFT($A34,FIND(" ",$A34&amp;" ")-1)),0),_xlpm.v,1+MOD(_xlpm.code,13)/100,ROUND(_xlpm.ppk*_xlpm.wt*_xlpm.v,0)))</f>
        <v>2400</v>
      </c>
      <c r="H34" s="6" cm="1">
        <f t="array" ref="H34">IF(OR($A34="",$L34=""),"",_xlfn.LET(_xlpm.cat,UPPER($E34),_xlpm.base,_xlfn.SWITCH(TRUE,_xlpm.cat="GAMEFOWL",0.22,_xlpm.cat="POULTRY",0.18,_xlpm.cat="SWINE",0.16,_xlpm.cat="HOGS",0.16,_xlpm.cat="RABBIT",0.15,0.17),_xlpm.code,IFERROR(VALUE(LEFT($A34,FIND(" ",$A34&amp;" ")-1)),0),_xlpm.v,MOD(_xlpm.code,9)/1000,MIN(0.3,MAX(0.1,_xlpm.base+_xlpm.v))))</f>
        <v>0.16300000000000001</v>
      </c>
      <c r="I34" s="5" t="s">
        <v>33</v>
      </c>
      <c r="J34" s="5">
        <v>4</v>
      </c>
      <c r="K34" s="5">
        <v>0.17</v>
      </c>
      <c r="L34" s="5">
        <v>50</v>
      </c>
      <c r="M34" s="5">
        <v>4</v>
      </c>
      <c r="N34" s="5">
        <v>2</v>
      </c>
      <c r="O34" s="5">
        <v>2</v>
      </c>
      <c r="Q34" s="5" t="s">
        <v>34</v>
      </c>
      <c r="R34" s="5" t="s">
        <v>34</v>
      </c>
      <c r="S34" s="5" t="s">
        <v>34</v>
      </c>
      <c r="T34" s="7" t="s">
        <v>34</v>
      </c>
      <c r="U34" s="5" t="s">
        <v>34</v>
      </c>
      <c r="V34" s="7" t="s">
        <v>34</v>
      </c>
      <c r="W34" s="5" t="s">
        <v>34</v>
      </c>
      <c r="X34" s="5" t="s">
        <v>34</v>
      </c>
      <c r="Y34" s="5" t="s">
        <v>34</v>
      </c>
      <c r="Z34" s="5" t="s">
        <v>34</v>
      </c>
      <c r="AA34" s="5" t="s">
        <v>34</v>
      </c>
      <c r="AB34" s="5" t="s">
        <v>34</v>
      </c>
      <c r="AC34" s="5" t="s">
        <v>34</v>
      </c>
      <c r="AD34" s="5" t="s">
        <v>34</v>
      </c>
    </row>
    <row r="35" spans="1:30" ht="15.55" x14ac:dyDescent="0.3">
      <c r="A35" s="4">
        <v>1000000000481</v>
      </c>
      <c r="B35" s="5" t="s">
        <v>162</v>
      </c>
      <c r="C35" s="4">
        <v>3000000000154</v>
      </c>
      <c r="D35" s="5" t="s">
        <v>163</v>
      </c>
      <c r="E35" s="5" t="s">
        <v>31</v>
      </c>
      <c r="F35" s="5" t="s">
        <v>32</v>
      </c>
      <c r="G35" s="10" cm="1">
        <f t="array" ref="G35">IF(OR($A35="",$L35=""),"",_xlfn.LET(_xlpm.cat,UPPER($E35),_xlpm.wt,IFERROR(VALUE(LEFT($L35,FIND(" ",$L35&amp;" ")-1)),$L35),_xlpm.ppk,_xlfn.SWITCH(TRUE,_xlpm.cat="GAMEFOWL",62,_xlpm.cat="POULTRY",45,_xlpm.cat="SWINE",48,_xlpm.cat="HOGS",48,_xlpm.cat="RABBIT",40,45),_xlpm.code,IFERROR(VALUE(LEFT($A35,FIND(" ",$A35&amp;" ")-1)),0),_xlpm.v,1+MOD(_xlpm.code,13)/100,ROUND(_xlpm.ppk*_xlpm.wt*_xlpm.v,0)))</f>
        <v>2424</v>
      </c>
      <c r="H35" s="6" cm="1">
        <f t="array" ref="H35">IF(OR($A35="",$L35=""),"",_xlfn.LET(_xlpm.cat,UPPER($E35),_xlpm.base,_xlfn.SWITCH(TRUE,_xlpm.cat="GAMEFOWL",0.22,_xlpm.cat="POULTRY",0.18,_xlpm.cat="SWINE",0.16,_xlpm.cat="HOGS",0.16,_xlpm.cat="RABBIT",0.15,0.17),_xlpm.code,IFERROR(VALUE(LEFT($A35,FIND(" ",$A35&amp;" ")-1)),0),_xlpm.v,MOD(_xlpm.code,9)/1000,MIN(0.3,MAX(0.1,_xlpm.base+_xlpm.v))))</f>
        <v>0.16500000000000001</v>
      </c>
      <c r="I35" s="5" t="s">
        <v>33</v>
      </c>
      <c r="J35" s="5">
        <v>4</v>
      </c>
      <c r="K35" s="5">
        <v>0.17</v>
      </c>
      <c r="L35" s="5">
        <v>50</v>
      </c>
      <c r="M35" s="5">
        <v>4</v>
      </c>
      <c r="N35" s="5">
        <v>2</v>
      </c>
      <c r="O35" s="5">
        <v>2</v>
      </c>
      <c r="Q35" s="5" t="s">
        <v>164</v>
      </c>
      <c r="R35" s="5" t="s">
        <v>34</v>
      </c>
      <c r="S35" s="5" t="s">
        <v>63</v>
      </c>
      <c r="T35" s="7">
        <v>5000000000050</v>
      </c>
      <c r="U35" s="5" t="s">
        <v>150</v>
      </c>
      <c r="V35" s="7">
        <v>5000000000081</v>
      </c>
      <c r="W35" s="5" t="s">
        <v>151</v>
      </c>
      <c r="X35" s="5" t="s">
        <v>34</v>
      </c>
      <c r="Y35" s="5" t="s">
        <v>34</v>
      </c>
      <c r="Z35" s="5" t="s">
        <v>34</v>
      </c>
      <c r="AA35" s="5" t="s">
        <v>34</v>
      </c>
      <c r="AB35" s="5" t="s">
        <v>34</v>
      </c>
      <c r="AC35" s="5" t="s">
        <v>34</v>
      </c>
      <c r="AD35" s="5" t="s">
        <v>34</v>
      </c>
    </row>
    <row r="36" spans="1:30" ht="15.55" x14ac:dyDescent="0.3">
      <c r="A36" s="4">
        <v>1000000000539</v>
      </c>
      <c r="B36" s="5" t="s">
        <v>165</v>
      </c>
      <c r="C36" s="4">
        <v>3000000000848</v>
      </c>
      <c r="D36" s="5" t="s">
        <v>166</v>
      </c>
      <c r="E36" s="5" t="s">
        <v>62</v>
      </c>
      <c r="F36" s="5" t="s">
        <v>63</v>
      </c>
      <c r="G36" s="10" cm="1">
        <f t="array" ref="G36">IF(OR($A36="",$L36=""),"",_xlfn.LET(_xlpm.cat,UPPER($E36),_xlpm.wt,IFERROR(VALUE(LEFT($L36,FIND(" ",$L36&amp;" ")-1)),$L36),_xlpm.ppk,_xlfn.SWITCH(TRUE,_xlpm.cat="GAMEFOWL",62,_xlpm.cat="POULTRY",45,_xlpm.cat="SWINE",48,_xlpm.cat="HOGS",48,_xlpm.cat="RABBIT",40,45),_xlpm.code,IFERROR(VALUE(LEFT($A36,FIND(" ",$A36&amp;" ")-1)),0),_xlpm.v,1+MOD(_xlpm.code,13)/100,ROUND(_xlpm.ppk*_xlpm.wt*_xlpm.v,0)))</f>
        <v>2408</v>
      </c>
      <c r="H36" s="6" cm="1">
        <f t="array" ref="H36">IF(OR($A36="",$L36=""),"",_xlfn.LET(_xlpm.cat,UPPER($E36),_xlpm.base,_xlfn.SWITCH(TRUE,_xlpm.cat="GAMEFOWL",0.22,_xlpm.cat="POULTRY",0.18,_xlpm.cat="SWINE",0.16,_xlpm.cat="HOGS",0.16,_xlpm.cat="RABBIT",0.15,0.17),_xlpm.code,IFERROR(VALUE(LEFT($A36,FIND(" ",$A36&amp;" ")-1)),0),_xlpm.v,MOD(_xlpm.code,9)/1000,MIN(0.3,MAX(0.1,_xlpm.base+_xlpm.v))))</f>
        <v>0.18</v>
      </c>
      <c r="I36" s="5" t="s">
        <v>64</v>
      </c>
      <c r="J36" s="5">
        <v>4</v>
      </c>
      <c r="K36" s="5">
        <v>0.33</v>
      </c>
      <c r="L36" s="5">
        <v>50</v>
      </c>
      <c r="M36" s="5">
        <v>4</v>
      </c>
      <c r="N36" s="5">
        <v>2</v>
      </c>
      <c r="O36" s="5">
        <v>2</v>
      </c>
      <c r="Q36" s="5" t="s">
        <v>34</v>
      </c>
      <c r="R36" s="5" t="s">
        <v>34</v>
      </c>
      <c r="S36" s="5" t="s">
        <v>39</v>
      </c>
      <c r="T36" s="7">
        <v>5000000000554</v>
      </c>
      <c r="U36" s="5" t="s">
        <v>167</v>
      </c>
      <c r="V36" s="7">
        <v>5000000000136</v>
      </c>
      <c r="W36" s="5" t="s">
        <v>168</v>
      </c>
      <c r="X36" s="5">
        <v>13.999103999999996</v>
      </c>
      <c r="Y36" s="5">
        <v>12.399206400000004</v>
      </c>
      <c r="Z36" s="5" t="s">
        <v>34</v>
      </c>
      <c r="AA36" s="5">
        <v>7.881436526263137</v>
      </c>
      <c r="AB36" s="5" t="s">
        <v>34</v>
      </c>
      <c r="AC36" s="5" t="s">
        <v>34</v>
      </c>
      <c r="AD36" s="5" t="s">
        <v>34</v>
      </c>
    </row>
    <row r="37" spans="1:30" ht="15.55" x14ac:dyDescent="0.3">
      <c r="A37" s="4">
        <v>1000000000528</v>
      </c>
      <c r="B37" s="5" t="s">
        <v>169</v>
      </c>
      <c r="C37" s="4">
        <v>3000000000838</v>
      </c>
      <c r="D37" s="5" t="s">
        <v>170</v>
      </c>
      <c r="E37" s="5" t="s">
        <v>62</v>
      </c>
      <c r="F37" s="5" t="s">
        <v>63</v>
      </c>
      <c r="G37" s="10" cm="1">
        <f t="array" ref="G37">IF(OR($A37="",$L37=""),"",_xlfn.LET(_xlpm.cat,UPPER($E37),_xlpm.wt,IFERROR(VALUE(LEFT($L37,FIND(" ",$L37&amp;" ")-1)),$L37),_xlpm.ppk,_xlfn.SWITCH(TRUE,_xlpm.cat="GAMEFOWL",62,_xlpm.cat="POULTRY",45,_xlpm.cat="SWINE",48,_xlpm.cat="HOGS",48,_xlpm.cat="RABBIT",40,45),_xlpm.code,IFERROR(VALUE(LEFT($A37,FIND(" ",$A37&amp;" ")-1)),0),_xlpm.v,1+MOD(_xlpm.code,13)/100,ROUND(_xlpm.ppk*_xlpm.wt*_xlpm.v,0)))</f>
        <v>2453</v>
      </c>
      <c r="H37" s="6" cm="1">
        <f t="array" ref="H37">IF(OR($A37="",$L37=""),"",_xlfn.LET(_xlpm.cat,UPPER($E37),_xlpm.base,_xlfn.SWITCH(TRUE,_xlpm.cat="GAMEFOWL",0.22,_xlpm.cat="POULTRY",0.18,_xlpm.cat="SWINE",0.16,_xlpm.cat="HOGS",0.16,_xlpm.cat="RABBIT",0.15,0.17),_xlpm.code,IFERROR(VALUE(LEFT($A37,FIND(" ",$A37&amp;" ")-1)),0),_xlpm.v,MOD(_xlpm.code,9)/1000,MIN(0.3,MAX(0.1,_xlpm.base+_xlpm.v))))</f>
        <v>0.187</v>
      </c>
      <c r="I37" s="5" t="s">
        <v>33</v>
      </c>
      <c r="J37" s="5">
        <v>4</v>
      </c>
      <c r="K37" s="5">
        <v>0.17</v>
      </c>
      <c r="L37" s="5">
        <v>50</v>
      </c>
      <c r="M37" s="5">
        <v>4</v>
      </c>
      <c r="N37" s="5">
        <v>2</v>
      </c>
      <c r="O37" s="5">
        <v>2</v>
      </c>
      <c r="Q37" s="5" t="s">
        <v>34</v>
      </c>
      <c r="R37" s="5" t="s">
        <v>34</v>
      </c>
      <c r="S37" s="5" t="s">
        <v>39</v>
      </c>
      <c r="T37" s="7">
        <v>5000000000553</v>
      </c>
      <c r="U37" s="5" t="s">
        <v>171</v>
      </c>
      <c r="V37" s="7">
        <v>5000000000135</v>
      </c>
      <c r="W37" s="5" t="s">
        <v>172</v>
      </c>
      <c r="X37" s="5" t="s">
        <v>34</v>
      </c>
      <c r="Y37" s="5">
        <v>20.148588823429368</v>
      </c>
      <c r="Z37" s="5">
        <v>8.4407067625899312</v>
      </c>
      <c r="AA37" s="5">
        <v>8.8646572512479196</v>
      </c>
      <c r="AB37" s="5" t="s">
        <v>34</v>
      </c>
      <c r="AC37" s="5">
        <v>8.4205136842105279</v>
      </c>
      <c r="AD37" s="5" t="s">
        <v>34</v>
      </c>
    </row>
    <row r="38" spans="1:30" ht="15.55" x14ac:dyDescent="0.3">
      <c r="A38" s="4">
        <v>1000000000531</v>
      </c>
      <c r="B38" s="5" t="s">
        <v>173</v>
      </c>
      <c r="C38" s="4">
        <v>3000000000842</v>
      </c>
      <c r="D38" s="5" t="s">
        <v>174</v>
      </c>
      <c r="E38" s="5" t="s">
        <v>62</v>
      </c>
      <c r="F38" s="5" t="s">
        <v>63</v>
      </c>
      <c r="G38" s="10" cm="1">
        <f t="array" ref="G38">IF(OR($A38="",$L38=""),"",_xlfn.LET(_xlpm.cat,UPPER($E38),_xlpm.wt,IFERROR(VALUE(LEFT($L38,FIND(" ",$L38&amp;" ")-1)),$L38),_xlpm.ppk,_xlfn.SWITCH(TRUE,_xlpm.cat="GAMEFOWL",62,_xlpm.cat="POULTRY",45,_xlpm.cat="SWINE",48,_xlpm.cat="HOGS",48,_xlpm.cat="RABBIT",40,45),_xlpm.code,IFERROR(VALUE(LEFT($A38,FIND(" ",$A38&amp;" ")-1)),0),_xlpm.v,1+MOD(_xlpm.code,13)/100,ROUND(_xlpm.ppk*_xlpm.wt*_xlpm.v,0)))</f>
        <v>2520</v>
      </c>
      <c r="H38" s="6" cm="1">
        <f t="array" ref="H38">IF(OR($A38="",$L38=""),"",_xlfn.LET(_xlpm.cat,UPPER($E38),_xlpm.base,_xlfn.SWITCH(TRUE,_xlpm.cat="GAMEFOWL",0.22,_xlpm.cat="POULTRY",0.18,_xlpm.cat="SWINE",0.16,_xlpm.cat="HOGS",0.16,_xlpm.cat="RABBIT",0.15,0.17),_xlpm.code,IFERROR(VALUE(LEFT($A38,FIND(" ",$A38&amp;" ")-1)),0),_xlpm.v,MOD(_xlpm.code,9)/1000,MIN(0.3,MAX(0.1,_xlpm.base+_xlpm.v))))</f>
        <v>0.18099999999999999</v>
      </c>
      <c r="I38" s="5" t="s">
        <v>64</v>
      </c>
      <c r="J38" s="5">
        <v>4</v>
      </c>
      <c r="K38" s="5">
        <v>0.33</v>
      </c>
      <c r="L38" s="5">
        <v>50</v>
      </c>
      <c r="M38" s="5">
        <v>4</v>
      </c>
      <c r="N38" s="5">
        <v>2</v>
      </c>
      <c r="O38" s="5">
        <v>2</v>
      </c>
      <c r="Q38" s="5" t="s">
        <v>34</v>
      </c>
      <c r="R38" s="5" t="s">
        <v>34</v>
      </c>
      <c r="S38" s="5" t="s">
        <v>39</v>
      </c>
      <c r="T38" s="7">
        <v>5000000000022</v>
      </c>
      <c r="U38" s="5" t="s">
        <v>175</v>
      </c>
      <c r="V38" s="7">
        <v>5000000000023</v>
      </c>
      <c r="W38" s="5" t="s">
        <v>176</v>
      </c>
      <c r="X38" s="5" t="s">
        <v>34</v>
      </c>
      <c r="Y38" s="5" t="s">
        <v>34</v>
      </c>
      <c r="Z38" s="5" t="s">
        <v>34</v>
      </c>
      <c r="AA38" s="5">
        <v>8.0560214840989435</v>
      </c>
      <c r="AB38" s="5" t="s">
        <v>34</v>
      </c>
      <c r="AC38" s="5" t="s">
        <v>34</v>
      </c>
      <c r="AD38" s="5" t="s">
        <v>34</v>
      </c>
    </row>
    <row r="39" spans="1:30" ht="15.55" x14ac:dyDescent="0.3">
      <c r="A39" s="4">
        <v>1000000000530</v>
      </c>
      <c r="B39" s="5" t="s">
        <v>177</v>
      </c>
      <c r="C39" s="4">
        <v>3000000000840</v>
      </c>
      <c r="D39" s="5" t="s">
        <v>178</v>
      </c>
      <c r="E39" s="5" t="s">
        <v>62</v>
      </c>
      <c r="F39" s="5" t="s">
        <v>63</v>
      </c>
      <c r="G39" s="10" cm="1">
        <f t="array" ref="G39">IF(OR($A39="",$L39=""),"",_xlfn.LET(_xlpm.cat,UPPER($E39),_xlpm.wt,IFERROR(VALUE(LEFT($L39,FIND(" ",$L39&amp;" ")-1)),$L39),_xlpm.ppk,_xlfn.SWITCH(TRUE,_xlpm.cat="GAMEFOWL",62,_xlpm.cat="POULTRY",45,_xlpm.cat="SWINE",48,_xlpm.cat="HOGS",48,_xlpm.cat="RABBIT",40,45),_xlpm.code,IFERROR(VALUE(LEFT($A39,FIND(" ",$A39&amp;" ")-1)),0),_xlpm.v,1+MOD(_xlpm.code,13)/100,ROUND(_xlpm.ppk*_xlpm.wt*_xlpm.v,0)))</f>
        <v>2498</v>
      </c>
      <c r="H39" s="6" cm="1">
        <f t="array" ref="H39">IF(OR($A39="",$L39=""),"",_xlfn.LET(_xlpm.cat,UPPER($E39),_xlpm.base,_xlfn.SWITCH(TRUE,_xlpm.cat="GAMEFOWL",0.22,_xlpm.cat="POULTRY",0.18,_xlpm.cat="SWINE",0.16,_xlpm.cat="HOGS",0.16,_xlpm.cat="RABBIT",0.15,0.17),_xlpm.code,IFERROR(VALUE(LEFT($A39,FIND(" ",$A39&amp;" ")-1)),0),_xlpm.v,MOD(_xlpm.code,9)/1000,MIN(0.3,MAX(0.1,_xlpm.base+_xlpm.v))))</f>
        <v>0.18</v>
      </c>
      <c r="I39" s="5" t="s">
        <v>139</v>
      </c>
      <c r="J39" s="5">
        <v>3</v>
      </c>
      <c r="K39" s="5">
        <v>0.17</v>
      </c>
      <c r="L39" s="5">
        <v>50</v>
      </c>
      <c r="M39" s="5">
        <v>3</v>
      </c>
      <c r="N39" s="5">
        <v>2</v>
      </c>
      <c r="O39" s="5">
        <v>2</v>
      </c>
      <c r="Q39" s="5" t="s">
        <v>34</v>
      </c>
      <c r="R39" s="5" t="s">
        <v>34</v>
      </c>
      <c r="S39" s="5" t="s">
        <v>39</v>
      </c>
      <c r="T39" s="7">
        <v>5000000000550</v>
      </c>
      <c r="U39" s="5" t="s">
        <v>179</v>
      </c>
      <c r="V39" s="7">
        <v>5000000000412</v>
      </c>
      <c r="W39" s="5" t="s">
        <v>180</v>
      </c>
      <c r="X39" s="5">
        <v>19.858303684335976</v>
      </c>
      <c r="Y39" s="5" t="s">
        <v>34</v>
      </c>
      <c r="Z39" s="5">
        <v>7.6795084800000009</v>
      </c>
      <c r="AA39" s="5" t="s">
        <v>34</v>
      </c>
      <c r="AB39" s="5" t="s">
        <v>34</v>
      </c>
      <c r="AC39" s="5">
        <v>7.999487999999995</v>
      </c>
      <c r="AD39" s="5">
        <v>7.6770518234165062</v>
      </c>
    </row>
    <row r="40" spans="1:30" ht="15.55" x14ac:dyDescent="0.3">
      <c r="A40" s="4">
        <v>1000000000544</v>
      </c>
      <c r="B40" s="5" t="s">
        <v>181</v>
      </c>
      <c r="C40" s="4">
        <v>3000000000031</v>
      </c>
      <c r="D40" s="5" t="s">
        <v>182</v>
      </c>
      <c r="E40" s="5" t="s">
        <v>86</v>
      </c>
      <c r="F40" s="5" t="s">
        <v>63</v>
      </c>
      <c r="G40" s="10" cm="1">
        <f t="array" ref="G40">IF(OR($A40="",$L40=""),"",_xlfn.LET(_xlpm.cat,UPPER($E40),_xlpm.wt,IFERROR(VALUE(LEFT($L40,FIND(" ",$L40&amp;" ")-1)),$L40),_xlpm.ppk,_xlfn.SWITCH(TRUE,_xlpm.cat="GAMEFOWL",62,_xlpm.cat="POULTRY",45,_xlpm.cat="SWINE",48,_xlpm.cat="HOGS",48,_xlpm.cat="RABBIT",40,45),_xlpm.code,IFERROR(VALUE(LEFT($A40,FIND(" ",$A40&amp;" ")-1)),0),_xlpm.v,1+MOD(_xlpm.code,13)/100,ROUND(_xlpm.ppk*_xlpm.wt*_xlpm.v,0)))</f>
        <v>1736</v>
      </c>
      <c r="H40" s="6" cm="1">
        <f t="array" ref="H40">IF(OR($A40="",$L40=""),"",_xlfn.LET(_xlpm.cat,UPPER($E40),_xlpm.base,_xlfn.SWITCH(TRUE,_xlpm.cat="GAMEFOWL",0.22,_xlpm.cat="POULTRY",0.18,_xlpm.cat="SWINE",0.16,_xlpm.cat="HOGS",0.16,_xlpm.cat="RABBIT",0.15,0.17),_xlpm.code,IFERROR(VALUE(LEFT($A40,FIND(" ",$A40&amp;" ")-1)),0),_xlpm.v,MOD(_xlpm.code,9)/1000,MIN(0.3,MAX(0.1,_xlpm.base+_xlpm.v))))</f>
        <v>0.22500000000000001</v>
      </c>
      <c r="I40" s="5" t="s">
        <v>122</v>
      </c>
      <c r="J40" s="5">
        <v>3</v>
      </c>
      <c r="K40" s="5">
        <v>0</v>
      </c>
      <c r="L40" s="5">
        <v>25</v>
      </c>
      <c r="M40" s="5">
        <v>0.8</v>
      </c>
      <c r="P40" s="5">
        <v>0.8</v>
      </c>
      <c r="Q40" s="5" t="s">
        <v>34</v>
      </c>
      <c r="R40" s="5" t="s">
        <v>34</v>
      </c>
      <c r="S40" s="5" t="s">
        <v>34</v>
      </c>
      <c r="T40" s="7" t="s">
        <v>34</v>
      </c>
      <c r="U40" s="5" t="s">
        <v>34</v>
      </c>
      <c r="V40" s="7" t="s">
        <v>34</v>
      </c>
      <c r="W40" s="5" t="s">
        <v>34</v>
      </c>
      <c r="X40" s="5" t="s">
        <v>34</v>
      </c>
      <c r="Y40" s="5" t="s">
        <v>34</v>
      </c>
      <c r="Z40" s="5" t="s">
        <v>34</v>
      </c>
      <c r="AA40" s="5" t="s">
        <v>34</v>
      </c>
      <c r="AB40" s="5" t="s">
        <v>34</v>
      </c>
      <c r="AC40" s="5" t="s">
        <v>34</v>
      </c>
      <c r="AD40" s="5" t="s">
        <v>34</v>
      </c>
    </row>
    <row r="41" spans="1:30" ht="15.55" x14ac:dyDescent="0.3">
      <c r="A41" s="4">
        <v>1000000000038</v>
      </c>
      <c r="B41" s="5" t="s">
        <v>183</v>
      </c>
      <c r="C41" s="4">
        <v>3000000000844</v>
      </c>
      <c r="D41" s="5" t="s">
        <v>184</v>
      </c>
      <c r="E41" s="5" t="s">
        <v>62</v>
      </c>
      <c r="F41" s="5" t="s">
        <v>63</v>
      </c>
      <c r="G41" s="10" cm="1">
        <f t="array" ref="G41">IF(OR($A41="",$L41=""),"",_xlfn.LET(_xlpm.cat,UPPER($E41),_xlpm.wt,IFERROR(VALUE(LEFT($L41,FIND(" ",$L41&amp;" ")-1)),$L41),_xlpm.ppk,_xlfn.SWITCH(TRUE,_xlpm.cat="GAMEFOWL",62,_xlpm.cat="POULTRY",45,_xlpm.cat="SWINE",48,_xlpm.cat="HOGS",48,_xlpm.cat="RABBIT",40,45),_xlpm.code,IFERROR(VALUE(LEFT($A41,FIND(" ",$A41&amp;" ")-1)),0),_xlpm.v,1+MOD(_xlpm.code,13)/100,ROUND(_xlpm.ppk*_xlpm.wt*_xlpm.v,0)))</f>
        <v>2250</v>
      </c>
      <c r="H41" s="6" cm="1">
        <f t="array" ref="H41">IF(OR($A41="",$L41=""),"",_xlfn.LET(_xlpm.cat,UPPER($E41),_xlpm.base,_xlfn.SWITCH(TRUE,_xlpm.cat="GAMEFOWL",0.22,_xlpm.cat="POULTRY",0.18,_xlpm.cat="SWINE",0.16,_xlpm.cat="HOGS",0.16,_xlpm.cat="RABBIT",0.15,0.17),_xlpm.code,IFERROR(VALUE(LEFT($A41,FIND(" ",$A41&amp;" ")-1)),0),_xlpm.v,MOD(_xlpm.code,9)/1000,MIN(0.3,MAX(0.1,_xlpm.base+_xlpm.v))))</f>
        <v>0.183</v>
      </c>
      <c r="I41" s="5" t="s">
        <v>33</v>
      </c>
      <c r="J41" s="5">
        <v>4</v>
      </c>
      <c r="K41" s="5">
        <v>0.17</v>
      </c>
      <c r="L41" s="5">
        <v>50</v>
      </c>
      <c r="M41" s="5">
        <v>4</v>
      </c>
      <c r="N41" s="5">
        <v>2</v>
      </c>
      <c r="O41" s="5">
        <v>2</v>
      </c>
      <c r="Q41" s="5" t="s">
        <v>34</v>
      </c>
      <c r="R41" s="5" t="s">
        <v>34</v>
      </c>
      <c r="S41" s="5" t="s">
        <v>39</v>
      </c>
      <c r="T41" s="7">
        <v>5000000000551</v>
      </c>
      <c r="U41" s="5" t="s">
        <v>185</v>
      </c>
      <c r="V41" s="7">
        <v>5000000000746</v>
      </c>
      <c r="W41" s="5" t="s">
        <v>186</v>
      </c>
      <c r="X41" s="5" t="s">
        <v>34</v>
      </c>
      <c r="Y41" s="5" t="s">
        <v>34</v>
      </c>
      <c r="Z41" s="5">
        <v>7.1995391999999985</v>
      </c>
      <c r="AA41" s="5">
        <v>8.2430984702549583</v>
      </c>
      <c r="AB41" s="5" t="s">
        <v>34</v>
      </c>
      <c r="AC41" s="5" t="s">
        <v>34</v>
      </c>
      <c r="AD41" s="5" t="s">
        <v>34</v>
      </c>
    </row>
    <row r="42" spans="1:30" ht="15.55" x14ac:dyDescent="0.3">
      <c r="A42" s="4">
        <v>1000000000467</v>
      </c>
      <c r="B42" s="5" t="s">
        <v>187</v>
      </c>
      <c r="C42" s="4">
        <v>3000000000144</v>
      </c>
      <c r="D42" s="5" t="s">
        <v>188</v>
      </c>
      <c r="E42" s="5" t="s">
        <v>31</v>
      </c>
      <c r="F42" s="5" t="s">
        <v>32</v>
      </c>
      <c r="G42" s="10" cm="1">
        <f t="array" ref="G42">IF(OR($A42="",$L42=""),"",_xlfn.LET(_xlpm.cat,UPPER($E42),_xlpm.wt,IFERROR(VALUE(LEFT($L42,FIND(" ",$L42&amp;" ")-1)),$L42),_xlpm.ppk,_xlfn.SWITCH(TRUE,_xlpm.cat="GAMEFOWL",62,_xlpm.cat="POULTRY",45,_xlpm.cat="SWINE",48,_xlpm.cat="HOGS",48,_xlpm.cat="RABBIT",40,45),_xlpm.code,IFERROR(VALUE(LEFT($A42,FIND(" ",$A42&amp;" ")-1)),0),_xlpm.v,1+MOD(_xlpm.code,13)/100,ROUND(_xlpm.ppk*_xlpm.wt*_xlpm.v,0)))</f>
        <v>2400</v>
      </c>
      <c r="H42" s="6" cm="1">
        <f t="array" ref="H42">IF(OR($A42="",$L42=""),"",_xlfn.LET(_xlpm.cat,UPPER($E42),_xlpm.base,_xlfn.SWITCH(TRUE,_xlpm.cat="GAMEFOWL",0.22,_xlpm.cat="POULTRY",0.18,_xlpm.cat="SWINE",0.16,_xlpm.cat="HOGS",0.16,_xlpm.cat="RABBIT",0.15,0.17),_xlpm.code,IFERROR(VALUE(LEFT($A42,FIND(" ",$A42&amp;" ")-1)),0),_xlpm.v,MOD(_xlpm.code,9)/1000,MIN(0.3,MAX(0.1,_xlpm.base+_xlpm.v))))</f>
        <v>0.16</v>
      </c>
      <c r="I42" s="5" t="s">
        <v>48</v>
      </c>
      <c r="J42" s="5">
        <v>3</v>
      </c>
      <c r="K42" s="5">
        <v>0.17</v>
      </c>
      <c r="L42" s="5">
        <v>50</v>
      </c>
      <c r="M42" s="5">
        <v>4</v>
      </c>
      <c r="N42" s="5">
        <v>2</v>
      </c>
      <c r="O42" s="5">
        <v>2</v>
      </c>
      <c r="Q42" s="5" t="s">
        <v>34</v>
      </c>
      <c r="R42" s="5" t="s">
        <v>34</v>
      </c>
      <c r="S42" s="5" t="s">
        <v>39</v>
      </c>
      <c r="T42" s="7">
        <v>5000000000057</v>
      </c>
      <c r="U42" s="5" t="s">
        <v>189</v>
      </c>
      <c r="V42" s="7">
        <v>5000000000102</v>
      </c>
      <c r="W42" s="5" t="s">
        <v>190</v>
      </c>
      <c r="X42" s="5" t="s">
        <v>34</v>
      </c>
      <c r="Y42" s="5" t="s">
        <v>34</v>
      </c>
      <c r="Z42" s="5" t="s">
        <v>34</v>
      </c>
      <c r="AA42" s="5" t="s">
        <v>34</v>
      </c>
      <c r="AB42" s="5" t="s">
        <v>34</v>
      </c>
      <c r="AC42" s="5" t="s">
        <v>34</v>
      </c>
      <c r="AD42" s="5" t="s">
        <v>34</v>
      </c>
    </row>
    <row r="43" spans="1:30" ht="15.55" x14ac:dyDescent="0.3">
      <c r="A43" s="4">
        <v>1000000001599</v>
      </c>
      <c r="B43" s="5" t="s">
        <v>191</v>
      </c>
      <c r="C43" s="4">
        <v>3000000000198</v>
      </c>
      <c r="D43" s="5" t="s">
        <v>192</v>
      </c>
      <c r="E43" s="5" t="s">
        <v>62</v>
      </c>
      <c r="F43" s="5" t="s">
        <v>63</v>
      </c>
      <c r="G43" s="10" cm="1">
        <f t="array" ref="G43">IF(OR($A43="",$L43=""),"",_xlfn.LET(_xlpm.cat,UPPER($E43),_xlpm.wt,IFERROR(VALUE(LEFT($L43,FIND(" ",$L43&amp;" ")-1)),$L43),_xlpm.ppk,_xlfn.SWITCH(TRUE,_xlpm.cat="GAMEFOWL",62,_xlpm.cat="POULTRY",45,_xlpm.cat="SWINE",48,_xlpm.cat="HOGS",48,_xlpm.cat="RABBIT",40,45),_xlpm.code,IFERROR(VALUE(LEFT($A43,FIND(" ",$A43&amp;" ")-1)),0),_xlpm.v,1+MOD(_xlpm.code,13)/100,ROUND(_xlpm.ppk*_xlpm.wt*_xlpm.v,0)))</f>
        <v>2273</v>
      </c>
      <c r="H43" s="6" cm="1">
        <f t="array" ref="H43">IF(OR($A43="",$L43=""),"",_xlfn.LET(_xlpm.cat,UPPER($E43),_xlpm.base,_xlfn.SWITCH(TRUE,_xlpm.cat="GAMEFOWL",0.22,_xlpm.cat="POULTRY",0.18,_xlpm.cat="SWINE",0.16,_xlpm.cat="HOGS",0.16,_xlpm.cat="RABBIT",0.15,0.17),_xlpm.code,IFERROR(VALUE(LEFT($A43,FIND(" ",$A43&amp;" ")-1)),0),_xlpm.v,MOD(_xlpm.code,9)/1000,MIN(0.3,MAX(0.1,_xlpm.base+_xlpm.v))))</f>
        <v>0.187</v>
      </c>
      <c r="I43" s="5" t="s">
        <v>64</v>
      </c>
      <c r="J43" s="5">
        <v>4</v>
      </c>
      <c r="K43" s="5">
        <v>0.33</v>
      </c>
      <c r="L43" s="5">
        <v>50</v>
      </c>
      <c r="M43" s="5">
        <v>4</v>
      </c>
      <c r="N43" s="5">
        <v>2</v>
      </c>
      <c r="O43" s="5">
        <v>2</v>
      </c>
      <c r="Q43" s="5" t="s">
        <v>34</v>
      </c>
      <c r="R43" s="5" t="s">
        <v>34</v>
      </c>
      <c r="S43" s="5" t="s">
        <v>34</v>
      </c>
      <c r="T43" s="7" t="s">
        <v>34</v>
      </c>
      <c r="U43" s="5" t="s">
        <v>34</v>
      </c>
      <c r="V43" s="7" t="s">
        <v>34</v>
      </c>
      <c r="W43" s="5" t="s">
        <v>34</v>
      </c>
      <c r="X43" s="5" t="s">
        <v>34</v>
      </c>
      <c r="Y43" s="5" t="s">
        <v>34</v>
      </c>
      <c r="Z43" s="5" t="s">
        <v>34</v>
      </c>
      <c r="AA43" s="5" t="s">
        <v>34</v>
      </c>
      <c r="AB43" s="5" t="s">
        <v>34</v>
      </c>
      <c r="AC43" s="5" t="s">
        <v>34</v>
      </c>
      <c r="AD43" s="5" t="s">
        <v>34</v>
      </c>
    </row>
    <row r="44" spans="1:30" ht="15.55" x14ac:dyDescent="0.3">
      <c r="A44" s="4">
        <v>1000000001126</v>
      </c>
      <c r="B44" s="5" t="s">
        <v>100</v>
      </c>
      <c r="C44" s="4">
        <v>3000000000170</v>
      </c>
      <c r="D44" s="5" t="s">
        <v>101</v>
      </c>
      <c r="E44" s="5" t="s">
        <v>62</v>
      </c>
      <c r="F44" s="5" t="s">
        <v>63</v>
      </c>
      <c r="G44" s="10" cm="1">
        <f t="array" ref="G44">IF(OR($A44="",$L44=""),"",_xlfn.LET(_xlpm.cat,UPPER($E44),_xlpm.wt,IFERROR(VALUE(LEFT($L44,FIND(" ",$L44&amp;" ")-1)),$L44),_xlpm.ppk,_xlfn.SWITCH(TRUE,_xlpm.cat="GAMEFOWL",62,_xlpm.cat="POULTRY",45,_xlpm.cat="SWINE",48,_xlpm.cat="HOGS",48,_xlpm.cat="RABBIT",40,45),_xlpm.code,IFERROR(VALUE(LEFT($A44,FIND(" ",$A44&amp;" ")-1)),0),_xlpm.v,1+MOD(_xlpm.code,13)/100,ROUND(_xlpm.ppk*_xlpm.wt*_xlpm.v,0)))</f>
        <v>2453</v>
      </c>
      <c r="H44" s="6" cm="1">
        <f t="array" ref="H44">IF(OR($A44="",$L44=""),"",_xlfn.LET(_xlpm.cat,UPPER($E44),_xlpm.base,_xlfn.SWITCH(TRUE,_xlpm.cat="GAMEFOWL",0.22,_xlpm.cat="POULTRY",0.18,_xlpm.cat="SWINE",0.16,_xlpm.cat="HOGS",0.16,_xlpm.cat="RABBIT",0.15,0.17),_xlpm.code,IFERROR(VALUE(LEFT($A44,FIND(" ",$A44&amp;" ")-1)),0),_xlpm.v,MOD(_xlpm.code,9)/1000,MIN(0.3,MAX(0.1,_xlpm.base+_xlpm.v))))</f>
        <v>0.182</v>
      </c>
      <c r="I44" s="5" t="s">
        <v>77</v>
      </c>
      <c r="J44" s="5">
        <v>4</v>
      </c>
      <c r="K44" s="5">
        <v>0.33</v>
      </c>
      <c r="L44" s="5">
        <v>50</v>
      </c>
      <c r="M44" s="5">
        <v>4</v>
      </c>
      <c r="N44" s="5">
        <v>2</v>
      </c>
      <c r="O44" s="5">
        <v>2</v>
      </c>
      <c r="Q44" s="5">
        <v>1126</v>
      </c>
      <c r="R44" s="5" t="s">
        <v>34</v>
      </c>
      <c r="S44" s="5" t="s">
        <v>39</v>
      </c>
      <c r="T44" s="7">
        <v>5000000000564</v>
      </c>
      <c r="U44" s="5" t="s">
        <v>102</v>
      </c>
      <c r="V44" s="7">
        <v>5000000000116</v>
      </c>
      <c r="W44" s="5" t="s">
        <v>103</v>
      </c>
      <c r="X44" s="5" t="s">
        <v>34</v>
      </c>
      <c r="Y44" s="5" t="s">
        <v>34</v>
      </c>
      <c r="Z44" s="5">
        <v>7.5878590452572841</v>
      </c>
      <c r="AA44" s="5">
        <v>8.5544764019138757</v>
      </c>
      <c r="AB44" s="5" t="s">
        <v>34</v>
      </c>
      <c r="AC44" s="5">
        <v>8.0679359229130725</v>
      </c>
      <c r="AD44" s="5" t="s">
        <v>34</v>
      </c>
    </row>
    <row r="45" spans="1:30" ht="15.55" x14ac:dyDescent="0.3">
      <c r="A45" s="4">
        <v>1000000000501</v>
      </c>
      <c r="B45" s="5" t="s">
        <v>67</v>
      </c>
      <c r="C45" s="4">
        <v>3000000000824</v>
      </c>
      <c r="D45" s="5" t="s">
        <v>68</v>
      </c>
      <c r="E45" s="5" t="s">
        <v>62</v>
      </c>
      <c r="F45" s="5" t="s">
        <v>63</v>
      </c>
      <c r="G45" s="10" cm="1">
        <f t="array" ref="G45">IF(OR($A45="",$L45=""),"",_xlfn.LET(_xlpm.cat,UPPER($E45),_xlpm.wt,IFERROR(VALUE(LEFT($L45,FIND(" ",$L45&amp;" ")-1)),$L45),_xlpm.ppk,_xlfn.SWITCH(TRUE,_xlpm.cat="GAMEFOWL",62,_xlpm.cat="POULTRY",45,_xlpm.cat="SWINE",48,_xlpm.cat="HOGS",48,_xlpm.cat="RABBIT",40,45),_xlpm.code,IFERROR(VALUE(LEFT($A45,FIND(" ",$A45&amp;" ")-1)),0),_xlpm.v,1+MOD(_xlpm.code,13)/100,ROUND(_xlpm.ppk*_xlpm.wt*_xlpm.v,0)))</f>
        <v>2430</v>
      </c>
      <c r="H45" s="6" cm="1">
        <f t="array" ref="H45">IF(OR($A45="",$L45=""),"",_xlfn.LET(_xlpm.cat,UPPER($E45),_xlpm.base,_xlfn.SWITCH(TRUE,_xlpm.cat="GAMEFOWL",0.22,_xlpm.cat="POULTRY",0.18,_xlpm.cat="SWINE",0.16,_xlpm.cat="HOGS",0.16,_xlpm.cat="RABBIT",0.15,0.17),_xlpm.code,IFERROR(VALUE(LEFT($A45,FIND(" ",$A45&amp;" ")-1)),0),_xlpm.v,MOD(_xlpm.code,9)/1000,MIN(0.3,MAX(0.1,_xlpm.base+_xlpm.v))))</f>
        <v>0.187</v>
      </c>
      <c r="I45" s="5" t="s">
        <v>64</v>
      </c>
      <c r="J45" s="5">
        <v>3</v>
      </c>
      <c r="K45" s="5">
        <v>0.33</v>
      </c>
      <c r="L45" s="5">
        <v>50</v>
      </c>
      <c r="M45" s="5">
        <v>4</v>
      </c>
      <c r="N45" s="5">
        <v>2</v>
      </c>
      <c r="O45" s="5">
        <v>2</v>
      </c>
      <c r="Q45" s="5" t="s">
        <v>34</v>
      </c>
      <c r="R45" s="5" t="s">
        <v>34</v>
      </c>
      <c r="S45" s="5" t="s">
        <v>39</v>
      </c>
      <c r="T45" s="7">
        <v>5000000000540</v>
      </c>
      <c r="U45" s="5" t="s">
        <v>69</v>
      </c>
      <c r="V45" s="7">
        <v>5000000000092</v>
      </c>
      <c r="W45" s="5" t="s">
        <v>70</v>
      </c>
      <c r="X45" s="5" t="s">
        <v>34</v>
      </c>
      <c r="Y45" s="5" t="s">
        <v>34</v>
      </c>
      <c r="Z45" s="5" t="s">
        <v>34</v>
      </c>
      <c r="AA45" s="5">
        <v>7.7475821833234795</v>
      </c>
      <c r="AB45" s="5" t="s">
        <v>34</v>
      </c>
      <c r="AC45" s="5" t="s">
        <v>34</v>
      </c>
      <c r="AD45" s="5" t="s">
        <v>34</v>
      </c>
    </row>
    <row r="46" spans="1:30" ht="15.55" x14ac:dyDescent="0.3">
      <c r="A46" s="4">
        <v>1000000000503</v>
      </c>
      <c r="B46" s="5" t="s">
        <v>75</v>
      </c>
      <c r="C46" s="4">
        <v>3000000000826</v>
      </c>
      <c r="D46" s="5" t="s">
        <v>76</v>
      </c>
      <c r="E46" s="5" t="s">
        <v>62</v>
      </c>
      <c r="F46" s="5" t="s">
        <v>63</v>
      </c>
      <c r="G46" s="10" cm="1">
        <f t="array" ref="G46">IF(OR($A46="",$L46=""),"",_xlfn.LET(_xlpm.cat,UPPER($E46),_xlpm.wt,IFERROR(VALUE(LEFT($L46,FIND(" ",$L46&amp;" ")-1)),$L46),_xlpm.ppk,_xlfn.SWITCH(TRUE,_xlpm.cat="GAMEFOWL",62,_xlpm.cat="POULTRY",45,_xlpm.cat="SWINE",48,_xlpm.cat="HOGS",48,_xlpm.cat="RABBIT",40,45),_xlpm.code,IFERROR(VALUE(LEFT($A46,FIND(" ",$A46&amp;" ")-1)),0),_xlpm.v,1+MOD(_xlpm.code,13)/100,ROUND(_xlpm.ppk*_xlpm.wt*_xlpm.v,0)))</f>
        <v>2475</v>
      </c>
      <c r="H46" s="6" cm="1">
        <f t="array" ref="H46">IF(OR($A46="",$L46=""),"",_xlfn.LET(_xlpm.cat,UPPER($E46),_xlpm.base,_xlfn.SWITCH(TRUE,_xlpm.cat="GAMEFOWL",0.22,_xlpm.cat="POULTRY",0.18,_xlpm.cat="SWINE",0.16,_xlpm.cat="HOGS",0.16,_xlpm.cat="RABBIT",0.15,0.17),_xlpm.code,IFERROR(VALUE(LEFT($A46,FIND(" ",$A46&amp;" ")-1)),0),_xlpm.v,MOD(_xlpm.code,9)/1000,MIN(0.3,MAX(0.1,_xlpm.base+_xlpm.v))))</f>
        <v>0.18</v>
      </c>
      <c r="I46" s="5" t="s">
        <v>77</v>
      </c>
      <c r="J46" s="5">
        <v>4</v>
      </c>
      <c r="K46" s="5">
        <v>0.33</v>
      </c>
      <c r="L46" s="5">
        <v>50</v>
      </c>
      <c r="M46" s="5">
        <v>4</v>
      </c>
      <c r="N46" s="5">
        <v>2</v>
      </c>
      <c r="O46" s="5">
        <v>2</v>
      </c>
      <c r="Q46" s="5" t="s">
        <v>34</v>
      </c>
      <c r="R46" s="5" t="s">
        <v>34</v>
      </c>
      <c r="S46" s="5" t="s">
        <v>39</v>
      </c>
      <c r="T46" s="7">
        <v>5000000000545</v>
      </c>
      <c r="U46" s="5" t="s">
        <v>78</v>
      </c>
      <c r="V46" s="7">
        <v>5000000000094</v>
      </c>
      <c r="W46" s="5" t="s">
        <v>79</v>
      </c>
      <c r="X46" s="5" t="s">
        <v>34</v>
      </c>
      <c r="Y46" s="5" t="s">
        <v>34</v>
      </c>
      <c r="Z46" s="5" t="s">
        <v>34</v>
      </c>
      <c r="AA46" s="5" t="s">
        <v>34</v>
      </c>
      <c r="AB46" s="5" t="s">
        <v>34</v>
      </c>
      <c r="AC46" s="5" t="s">
        <v>34</v>
      </c>
      <c r="AD46" s="5" t="s">
        <v>34</v>
      </c>
    </row>
    <row r="47" spans="1:30" ht="15.55" x14ac:dyDescent="0.3">
      <c r="A47" s="4">
        <v>1000000001403</v>
      </c>
      <c r="B47" s="5" t="s">
        <v>193</v>
      </c>
      <c r="C47" s="4">
        <v>3000000001116</v>
      </c>
      <c r="D47" s="5" t="s">
        <v>194</v>
      </c>
      <c r="E47" s="5" t="s">
        <v>31</v>
      </c>
      <c r="F47" s="5" t="s">
        <v>32</v>
      </c>
      <c r="G47" s="10" cm="1">
        <f t="array" ref="G47">IF(OR($A47="",$L47=""),"",_xlfn.LET(_xlpm.cat,UPPER($E47),_xlpm.wt,IFERROR(VALUE(LEFT($L47,FIND(" ",$L47&amp;" ")-1)),$L47),_xlpm.ppk,_xlfn.SWITCH(TRUE,_xlpm.cat="GAMEFOWL",62,_xlpm.cat="POULTRY",45,_xlpm.cat="SWINE",48,_xlpm.cat="HOGS",48,_xlpm.cat="RABBIT",40,45),_xlpm.code,IFERROR(VALUE(LEFT($A47,FIND(" ",$A47&amp;" ")-1)),0),_xlpm.v,1+MOD(_xlpm.code,13)/100,ROUND(_xlpm.ppk*_xlpm.wt*_xlpm.v,0)))</f>
        <v>2400</v>
      </c>
      <c r="H47" s="6" cm="1">
        <f t="array" ref="H47">IF(OR($A47="",$L47=""),"",_xlfn.LET(_xlpm.cat,UPPER($E47),_xlpm.base,_xlfn.SWITCH(TRUE,_xlpm.cat="GAMEFOWL",0.22,_xlpm.cat="POULTRY",0.18,_xlpm.cat="SWINE",0.16,_xlpm.cat="HOGS",0.16,_xlpm.cat="RABBIT",0.15,0.17),_xlpm.code,IFERROR(VALUE(LEFT($A47,FIND(" ",$A47&amp;" ")-1)),0),_xlpm.v,MOD(_xlpm.code,9)/1000,MIN(0.3,MAX(0.1,_xlpm.base+_xlpm.v))))</f>
        <v>0.16</v>
      </c>
      <c r="I47" s="5" t="s">
        <v>33</v>
      </c>
      <c r="J47" s="5">
        <v>4</v>
      </c>
      <c r="K47" s="5">
        <v>0.17</v>
      </c>
      <c r="L47" s="5">
        <v>50</v>
      </c>
      <c r="M47" s="5">
        <v>4</v>
      </c>
      <c r="N47" s="5">
        <v>2</v>
      </c>
      <c r="O47" s="5">
        <v>2</v>
      </c>
      <c r="Q47" s="5">
        <v>1403</v>
      </c>
      <c r="R47" s="5" t="s">
        <v>34</v>
      </c>
      <c r="S47" s="5" t="s">
        <v>195</v>
      </c>
      <c r="T47" s="7">
        <v>5000000000053</v>
      </c>
      <c r="U47" s="5" t="s">
        <v>196</v>
      </c>
      <c r="V47" s="7">
        <v>5000000000107</v>
      </c>
      <c r="W47" s="5" t="s">
        <v>197</v>
      </c>
      <c r="X47" s="5" t="s">
        <v>34</v>
      </c>
      <c r="Y47" s="5" t="s">
        <v>34</v>
      </c>
      <c r="Z47" s="5" t="s">
        <v>34</v>
      </c>
      <c r="AA47" s="5" t="s">
        <v>34</v>
      </c>
      <c r="AB47" s="5" t="s">
        <v>34</v>
      </c>
      <c r="AC47" s="5" t="s">
        <v>34</v>
      </c>
      <c r="AD47" s="5" t="s">
        <v>34</v>
      </c>
    </row>
    <row r="48" spans="1:30" ht="15.55" x14ac:dyDescent="0.3">
      <c r="A48" s="4">
        <v>1000000000176</v>
      </c>
      <c r="B48" s="5" t="s">
        <v>198</v>
      </c>
      <c r="C48" s="4">
        <v>3000000000830</v>
      </c>
      <c r="D48" s="5" t="s">
        <v>199</v>
      </c>
      <c r="E48" s="5" t="s">
        <v>62</v>
      </c>
      <c r="F48" s="5" t="s">
        <v>63</v>
      </c>
      <c r="G48" s="10" cm="1">
        <f t="array" ref="G48">IF(OR($A48="",$L48=""),"",_xlfn.LET(_xlpm.cat,UPPER($E48),_xlpm.wt,IFERROR(VALUE(LEFT($L48,FIND(" ",$L48&amp;" ")-1)),$L48),_xlpm.ppk,_xlfn.SWITCH(TRUE,_xlpm.cat="GAMEFOWL",62,_xlpm.cat="POULTRY",45,_xlpm.cat="SWINE",48,_xlpm.cat="HOGS",48,_xlpm.cat="RABBIT",40,45),_xlpm.code,IFERROR(VALUE(LEFT($A48,FIND(" ",$A48&amp;" ")-1)),0),_xlpm.v,1+MOD(_xlpm.code,13)/100,ROUND(_xlpm.ppk*_xlpm.wt*_xlpm.v,0)))</f>
        <v>2430</v>
      </c>
      <c r="H48" s="6" cm="1">
        <f t="array" ref="H48">IF(OR($A48="",$L48=""),"",_xlfn.LET(_xlpm.cat,UPPER($E48),_xlpm.base,_xlfn.SWITCH(TRUE,_xlpm.cat="GAMEFOWL",0.22,_xlpm.cat="POULTRY",0.18,_xlpm.cat="SWINE",0.16,_xlpm.cat="HOGS",0.16,_xlpm.cat="RABBIT",0.15,0.17),_xlpm.code,IFERROR(VALUE(LEFT($A48,FIND(" ",$A48&amp;" ")-1)),0),_xlpm.v,MOD(_xlpm.code,9)/1000,MIN(0.3,MAX(0.1,_xlpm.base+_xlpm.v))))</f>
        <v>0.186</v>
      </c>
      <c r="I48" s="5" t="s">
        <v>64</v>
      </c>
      <c r="J48" s="5">
        <v>4</v>
      </c>
      <c r="K48" s="5">
        <v>0.33</v>
      </c>
      <c r="L48" s="5">
        <v>50</v>
      </c>
      <c r="M48" s="5">
        <v>4</v>
      </c>
      <c r="N48" s="5">
        <v>2</v>
      </c>
      <c r="O48" s="5">
        <v>2</v>
      </c>
      <c r="Q48" s="5" t="s">
        <v>34</v>
      </c>
      <c r="R48" s="5" t="s">
        <v>34</v>
      </c>
      <c r="S48" s="5" t="s">
        <v>39</v>
      </c>
      <c r="T48" s="7">
        <v>5000000000573</v>
      </c>
      <c r="U48" s="5" t="s">
        <v>200</v>
      </c>
      <c r="V48" s="7">
        <v>5000000001531</v>
      </c>
      <c r="W48" s="5" t="s">
        <v>201</v>
      </c>
      <c r="X48" s="5" t="s">
        <v>34</v>
      </c>
      <c r="Y48" s="5" t="s">
        <v>34</v>
      </c>
      <c r="Z48" s="5" t="s">
        <v>34</v>
      </c>
      <c r="AA48" s="5">
        <v>7.993105429787235</v>
      </c>
      <c r="AB48" s="5" t="s">
        <v>34</v>
      </c>
      <c r="AC48" s="5" t="s">
        <v>34</v>
      </c>
      <c r="AD48" s="5" t="s">
        <v>34</v>
      </c>
    </row>
    <row r="49" spans="1:30" ht="15.55" x14ac:dyDescent="0.3">
      <c r="A49" s="4">
        <v>1000000000042</v>
      </c>
      <c r="B49" s="5" t="s">
        <v>202</v>
      </c>
      <c r="C49" s="4">
        <v>3000000000206</v>
      </c>
      <c r="D49" s="5" t="s">
        <v>203</v>
      </c>
      <c r="E49" s="5" t="s">
        <v>62</v>
      </c>
      <c r="F49" s="5" t="s">
        <v>63</v>
      </c>
      <c r="G49" s="10" cm="1">
        <f t="array" ref="G49">IF(OR($A49="",$L49=""),"",_xlfn.LET(_xlpm.cat,UPPER($E49),_xlpm.wt,IFERROR(VALUE(LEFT($L49,FIND(" ",$L49&amp;" ")-1)),$L49),_xlpm.ppk,_xlfn.SWITCH(TRUE,_xlpm.cat="GAMEFOWL",62,_xlpm.cat="POULTRY",45,_xlpm.cat="SWINE",48,_xlpm.cat="HOGS",48,_xlpm.cat="RABBIT",40,45),_xlpm.code,IFERROR(VALUE(LEFT($A49,FIND(" ",$A49&amp;" ")-1)),0),_xlpm.v,1+MOD(_xlpm.code,13)/100,ROUND(_xlpm.ppk*_xlpm.wt*_xlpm.v,0)))</f>
        <v>2340</v>
      </c>
      <c r="H49" s="6" cm="1">
        <f t="array" ref="H49">IF(OR($A49="",$L49=""),"",_xlfn.LET(_xlpm.cat,UPPER($E49),_xlpm.base,_xlfn.SWITCH(TRUE,_xlpm.cat="GAMEFOWL",0.22,_xlpm.cat="POULTRY",0.18,_xlpm.cat="SWINE",0.16,_xlpm.cat="HOGS",0.16,_xlpm.cat="RABBIT",0.15,0.17),_xlpm.code,IFERROR(VALUE(LEFT($A49,FIND(" ",$A49&amp;" ")-1)),0),_xlpm.v,MOD(_xlpm.code,9)/1000,MIN(0.3,MAX(0.1,_xlpm.base+_xlpm.v))))</f>
        <v>0.187</v>
      </c>
      <c r="I49" s="5" t="s">
        <v>64</v>
      </c>
      <c r="J49" s="5">
        <v>4</v>
      </c>
      <c r="K49" s="5">
        <v>0.33</v>
      </c>
      <c r="L49" s="5">
        <v>50</v>
      </c>
      <c r="M49" s="5">
        <v>4</v>
      </c>
      <c r="N49" s="5">
        <v>2</v>
      </c>
      <c r="O49" s="5">
        <v>2</v>
      </c>
      <c r="Q49" s="5" t="s">
        <v>34</v>
      </c>
      <c r="R49" s="5" t="s">
        <v>34</v>
      </c>
      <c r="S49" s="5" t="s">
        <v>39</v>
      </c>
      <c r="T49" s="7">
        <v>5000000000574</v>
      </c>
      <c r="U49" s="5" t="s">
        <v>204</v>
      </c>
      <c r="V49" s="7">
        <v>5000000000099</v>
      </c>
      <c r="W49" s="5" t="s">
        <v>205</v>
      </c>
      <c r="X49" s="5" t="s">
        <v>34</v>
      </c>
      <c r="Y49" s="5">
        <v>14.099097600000002</v>
      </c>
      <c r="Z49" s="5" t="s">
        <v>34</v>
      </c>
      <c r="AA49" s="5">
        <v>7.9382092617577227</v>
      </c>
      <c r="AB49" s="5" t="s">
        <v>34</v>
      </c>
      <c r="AC49" s="5" t="s">
        <v>34</v>
      </c>
      <c r="AD49" s="5" t="s">
        <v>34</v>
      </c>
    </row>
    <row r="50" spans="1:30" ht="15.55" x14ac:dyDescent="0.3">
      <c r="A50" s="4">
        <v>1000000001123</v>
      </c>
      <c r="B50" s="5" t="s">
        <v>206</v>
      </c>
      <c r="C50" s="4">
        <v>3000000000168</v>
      </c>
      <c r="D50" s="5" t="s">
        <v>207</v>
      </c>
      <c r="E50" s="5" t="s">
        <v>62</v>
      </c>
      <c r="F50" s="5" t="s">
        <v>63</v>
      </c>
      <c r="G50" s="10" cm="1">
        <f t="array" ref="G50">IF(OR($A50="",$L50=""),"",_xlfn.LET(_xlpm.cat,UPPER($E50),_xlpm.wt,IFERROR(VALUE(LEFT($L50,FIND(" ",$L50&amp;" ")-1)),$L50),_xlpm.ppk,_xlfn.SWITCH(TRUE,_xlpm.cat="GAMEFOWL",62,_xlpm.cat="POULTRY",45,_xlpm.cat="SWINE",48,_xlpm.cat="HOGS",48,_xlpm.cat="RABBIT",40,45),_xlpm.code,IFERROR(VALUE(LEFT($A50,FIND(" ",$A50&amp;" ")-1)),0),_xlpm.v,1+MOD(_xlpm.code,13)/100,ROUND(_xlpm.ppk*_xlpm.wt*_xlpm.v,0)))</f>
        <v>2385</v>
      </c>
      <c r="H50" s="6" cm="1">
        <f t="array" ref="H50">IF(OR($A50="",$L50=""),"",_xlfn.LET(_xlpm.cat,UPPER($E50),_xlpm.base,_xlfn.SWITCH(TRUE,_xlpm.cat="GAMEFOWL",0.22,_xlpm.cat="POULTRY",0.18,_xlpm.cat="SWINE",0.16,_xlpm.cat="HOGS",0.16,_xlpm.cat="RABBIT",0.15,0.17),_xlpm.code,IFERROR(VALUE(LEFT($A50,FIND(" ",$A50&amp;" ")-1)),0),_xlpm.v,MOD(_xlpm.code,9)/1000,MIN(0.3,MAX(0.1,_xlpm.base+_xlpm.v))))</f>
        <v>0.188</v>
      </c>
      <c r="I50" s="5" t="s">
        <v>77</v>
      </c>
      <c r="J50" s="5">
        <v>4</v>
      </c>
      <c r="K50" s="5">
        <v>0.33</v>
      </c>
      <c r="L50" s="5">
        <v>50</v>
      </c>
      <c r="M50" s="5">
        <v>4</v>
      </c>
      <c r="N50" s="5">
        <v>2</v>
      </c>
      <c r="O50" s="5">
        <v>2</v>
      </c>
      <c r="Q50" s="5" t="s">
        <v>208</v>
      </c>
      <c r="R50" s="5" t="s">
        <v>34</v>
      </c>
      <c r="S50" s="5" t="s">
        <v>63</v>
      </c>
      <c r="T50" s="7">
        <v>5000000000563</v>
      </c>
      <c r="U50" s="5" t="s">
        <v>209</v>
      </c>
      <c r="V50" s="7">
        <v>5000000000615</v>
      </c>
      <c r="W50" s="5" t="s">
        <v>210</v>
      </c>
      <c r="X50" s="5" t="s">
        <v>34</v>
      </c>
      <c r="Y50" s="5" t="s">
        <v>34</v>
      </c>
      <c r="Z50" s="5">
        <v>7.6358749090909139</v>
      </c>
      <c r="AA50" s="5">
        <v>8.1634119344262288</v>
      </c>
      <c r="AB50" s="5" t="s">
        <v>34</v>
      </c>
      <c r="AC50" s="5" t="s">
        <v>34</v>
      </c>
      <c r="AD50" s="5" t="s">
        <v>34</v>
      </c>
    </row>
    <row r="51" spans="1:30" ht="15.55" x14ac:dyDescent="0.3">
      <c r="A51" s="4">
        <v>1000000000019</v>
      </c>
      <c r="B51" s="5" t="s">
        <v>211</v>
      </c>
      <c r="C51" s="4">
        <v>3000000000391</v>
      </c>
      <c r="D51" s="5" t="s">
        <v>212</v>
      </c>
      <c r="E51" s="5" t="s">
        <v>62</v>
      </c>
      <c r="F51" s="5" t="s">
        <v>63</v>
      </c>
      <c r="G51" s="10" cm="1">
        <f t="array" ref="G51">IF(OR($A51="",$L51=""),"",_xlfn.LET(_xlpm.cat,UPPER($E51),_xlpm.wt,IFERROR(VALUE(LEFT($L51,FIND(" ",$L51&amp;" ")-1)),$L51),_xlpm.ppk,_xlfn.SWITCH(TRUE,_xlpm.cat="GAMEFOWL",62,_xlpm.cat="POULTRY",45,_xlpm.cat="SWINE",48,_xlpm.cat="HOGS",48,_xlpm.cat="RABBIT",40,45),_xlpm.code,IFERROR(VALUE(LEFT($A51,FIND(" ",$A51&amp;" ")-1)),0),_xlpm.v,1+MOD(_xlpm.code,13)/100,ROUND(_xlpm.ppk*_xlpm.wt*_xlpm.v,0)))</f>
        <v>2408</v>
      </c>
      <c r="H51" s="6" cm="1">
        <f t="array" ref="H51">IF(OR($A51="",$L51=""),"",_xlfn.LET(_xlpm.cat,UPPER($E51),_xlpm.base,_xlfn.SWITCH(TRUE,_xlpm.cat="GAMEFOWL",0.22,_xlpm.cat="POULTRY",0.18,_xlpm.cat="SWINE",0.16,_xlpm.cat="HOGS",0.16,_xlpm.cat="RABBIT",0.15,0.17),_xlpm.code,IFERROR(VALUE(LEFT($A51,FIND(" ",$A51&amp;" ")-1)),0),_xlpm.v,MOD(_xlpm.code,9)/1000,MIN(0.3,MAX(0.1,_xlpm.base+_xlpm.v))))</f>
        <v>0.182</v>
      </c>
      <c r="I51" s="5" t="s">
        <v>77</v>
      </c>
      <c r="J51" s="5">
        <v>4</v>
      </c>
      <c r="K51" s="5">
        <v>0.33</v>
      </c>
      <c r="L51" s="5">
        <v>50</v>
      </c>
      <c r="M51" s="5">
        <v>4</v>
      </c>
      <c r="N51" s="5">
        <v>2</v>
      </c>
      <c r="O51" s="5">
        <v>2</v>
      </c>
      <c r="Q51" s="5" t="s">
        <v>34</v>
      </c>
      <c r="R51" s="5" t="s">
        <v>34</v>
      </c>
      <c r="S51" s="5" t="s">
        <v>39</v>
      </c>
      <c r="T51" s="7">
        <v>5000000000547</v>
      </c>
      <c r="U51" s="5" t="s">
        <v>213</v>
      </c>
      <c r="V51" s="7">
        <v>5000000000140</v>
      </c>
      <c r="W51" s="5" t="s">
        <v>214</v>
      </c>
      <c r="X51" s="5" t="s">
        <v>34</v>
      </c>
      <c r="Y51" s="5" t="s">
        <v>34</v>
      </c>
      <c r="Z51" s="5" t="s">
        <v>34</v>
      </c>
      <c r="AA51" s="5">
        <v>7.9994880000000101</v>
      </c>
      <c r="AB51" s="5" t="s">
        <v>34</v>
      </c>
      <c r="AC51" s="5" t="s">
        <v>34</v>
      </c>
      <c r="AD51" s="5" t="s">
        <v>34</v>
      </c>
    </row>
    <row r="52" spans="1:30" ht="15.55" x14ac:dyDescent="0.3">
      <c r="A52" s="4">
        <v>1000000001240</v>
      </c>
      <c r="B52" s="5" t="s">
        <v>215</v>
      </c>
      <c r="C52" s="4">
        <v>3000000000466</v>
      </c>
      <c r="D52" s="5" t="s">
        <v>216</v>
      </c>
      <c r="E52" s="5" t="s">
        <v>62</v>
      </c>
      <c r="F52" s="5" t="s">
        <v>63</v>
      </c>
      <c r="G52" s="10" cm="1">
        <f t="array" ref="G52">IF(OR($A52="",$L52=""),"",_xlfn.LET(_xlpm.cat,UPPER($E52),_xlpm.wt,IFERROR(VALUE(LEFT($L52,FIND(" ",$L52&amp;" ")-1)),$L52),_xlpm.ppk,_xlfn.SWITCH(TRUE,_xlpm.cat="GAMEFOWL",62,_xlpm.cat="POULTRY",45,_xlpm.cat="SWINE",48,_xlpm.cat="HOGS",48,_xlpm.cat="RABBIT",40,45),_xlpm.code,IFERROR(VALUE(LEFT($A52,FIND(" ",$A52&amp;" ")-1)),0),_xlpm.v,1+MOD(_xlpm.code,13)/100,ROUND(_xlpm.ppk*_xlpm.wt*_xlpm.v,0)))</f>
        <v>2385</v>
      </c>
      <c r="H52" s="6" cm="1">
        <f t="array" ref="H52">IF(OR($A52="",$L52=""),"",_xlfn.LET(_xlpm.cat,UPPER($E52),_xlpm.base,_xlfn.SWITCH(TRUE,_xlpm.cat="GAMEFOWL",0.22,_xlpm.cat="POULTRY",0.18,_xlpm.cat="SWINE",0.16,_xlpm.cat="HOGS",0.16,_xlpm.cat="RABBIT",0.15,0.17),_xlpm.code,IFERROR(VALUE(LEFT($A52,FIND(" ",$A52&amp;" ")-1)),0),_xlpm.v,MOD(_xlpm.code,9)/1000,MIN(0.3,MAX(0.1,_xlpm.base+_xlpm.v))))</f>
        <v>0.188</v>
      </c>
      <c r="I52" s="5" t="s">
        <v>77</v>
      </c>
      <c r="J52" s="5">
        <v>4</v>
      </c>
      <c r="K52" s="5">
        <v>0.33</v>
      </c>
      <c r="L52" s="5">
        <v>50</v>
      </c>
      <c r="M52" s="5">
        <v>4</v>
      </c>
      <c r="N52" s="5">
        <v>2</v>
      </c>
      <c r="O52" s="5">
        <v>2</v>
      </c>
      <c r="Q52" s="5" t="s">
        <v>217</v>
      </c>
      <c r="R52" s="5" t="s">
        <v>34</v>
      </c>
      <c r="S52" s="5" t="s">
        <v>218</v>
      </c>
      <c r="T52" s="7">
        <v>5000000000564</v>
      </c>
      <c r="U52" s="5" t="s">
        <v>102</v>
      </c>
      <c r="V52" s="7">
        <v>5000000000116</v>
      </c>
      <c r="W52" s="5" t="s">
        <v>103</v>
      </c>
      <c r="X52" s="5" t="s">
        <v>34</v>
      </c>
      <c r="Y52" s="5" t="s">
        <v>34</v>
      </c>
      <c r="Z52" s="5" t="s">
        <v>34</v>
      </c>
      <c r="AA52" s="5">
        <v>8.6148332307692339</v>
      </c>
      <c r="AB52" s="5" t="s">
        <v>34</v>
      </c>
      <c r="AC52" s="5">
        <v>8.0119872000000001</v>
      </c>
      <c r="AD52" s="5" t="s">
        <v>34</v>
      </c>
    </row>
    <row r="53" spans="1:30" ht="15.55" x14ac:dyDescent="0.3">
      <c r="A53" s="4">
        <v>1000000001257</v>
      </c>
      <c r="B53" s="5" t="s">
        <v>219</v>
      </c>
      <c r="C53" s="4">
        <v>3000000000464</v>
      </c>
      <c r="D53" s="5" t="s">
        <v>220</v>
      </c>
      <c r="E53" s="5" t="s">
        <v>62</v>
      </c>
      <c r="F53" s="5" t="s">
        <v>34</v>
      </c>
      <c r="G53" s="10" cm="1">
        <f t="array" ref="G53">IF(OR($A53="",$L53=""),"",_xlfn.LET(_xlpm.cat,UPPER($E53),_xlpm.wt,IFERROR(VALUE(LEFT($L53,FIND(" ",$L53&amp;" ")-1)),$L53),_xlpm.ppk,_xlfn.SWITCH(TRUE,_xlpm.cat="GAMEFOWL",62,_xlpm.cat="POULTRY",45,_xlpm.cat="SWINE",48,_xlpm.cat="HOGS",48,_xlpm.cat="RABBIT",40,45),_xlpm.code,IFERROR(VALUE(LEFT($A53,FIND(" ",$A53&amp;" ")-1)),0),_xlpm.v,1+MOD(_xlpm.code,13)/100,ROUND(_xlpm.ppk*_xlpm.wt*_xlpm.v,0)))</f>
        <v>2475</v>
      </c>
      <c r="H53" s="6" cm="1">
        <f t="array" ref="H53">IF(OR($A53="",$L53=""),"",_xlfn.LET(_xlpm.cat,UPPER($E53),_xlpm.base,_xlfn.SWITCH(TRUE,_xlpm.cat="GAMEFOWL",0.22,_xlpm.cat="POULTRY",0.18,_xlpm.cat="SWINE",0.16,_xlpm.cat="HOGS",0.16,_xlpm.cat="RABBIT",0.15,0.17),_xlpm.code,IFERROR(VALUE(LEFT($A53,FIND(" ",$A53&amp;" ")-1)),0),_xlpm.v,MOD(_xlpm.code,9)/1000,MIN(0.3,MAX(0.1,_xlpm.base+_xlpm.v))))</f>
        <v>0.187</v>
      </c>
      <c r="I53" s="5" t="s">
        <v>57</v>
      </c>
      <c r="K53" s="5">
        <v>0</v>
      </c>
      <c r="L53" s="5">
        <v>50</v>
      </c>
      <c r="M53" s="5">
        <v>3</v>
      </c>
      <c r="N53" s="5">
        <v>2</v>
      </c>
      <c r="O53" s="5">
        <v>2</v>
      </c>
      <c r="Q53" s="5" t="s">
        <v>221</v>
      </c>
      <c r="R53" s="5" t="s">
        <v>34</v>
      </c>
      <c r="S53" s="5" t="s">
        <v>222</v>
      </c>
      <c r="T53" s="7">
        <v>5000000000565</v>
      </c>
      <c r="U53" s="5" t="s">
        <v>223</v>
      </c>
      <c r="V53" s="7">
        <v>5000000000117</v>
      </c>
      <c r="W53" s="5" t="s">
        <v>224</v>
      </c>
      <c r="X53" s="5" t="s">
        <v>34</v>
      </c>
      <c r="Y53" s="5" t="s">
        <v>34</v>
      </c>
      <c r="Z53" s="5" t="s">
        <v>34</v>
      </c>
      <c r="AA53" s="5" t="s">
        <v>34</v>
      </c>
      <c r="AB53" s="5" t="s">
        <v>34</v>
      </c>
      <c r="AC53" s="5" t="s">
        <v>34</v>
      </c>
      <c r="AD53" s="5" t="s">
        <v>34</v>
      </c>
    </row>
    <row r="54" spans="1:30" ht="15.55" x14ac:dyDescent="0.3">
      <c r="A54" s="4">
        <v>1000000000012</v>
      </c>
      <c r="B54" s="5" t="s">
        <v>225</v>
      </c>
      <c r="C54" s="4">
        <v>3000000000332</v>
      </c>
      <c r="D54" s="5" t="s">
        <v>226</v>
      </c>
      <c r="E54" s="5" t="s">
        <v>62</v>
      </c>
      <c r="F54" s="5" t="s">
        <v>63</v>
      </c>
      <c r="G54" s="10" cm="1">
        <f t="array" ref="G54">IF(OR($A54="",$L54=""),"",_xlfn.LET(_xlpm.cat,UPPER($E54),_xlpm.wt,IFERROR(VALUE(LEFT($L54,FIND(" ",$L54&amp;" ")-1)),$L54),_xlpm.ppk,_xlfn.SWITCH(TRUE,_xlpm.cat="GAMEFOWL",62,_xlpm.cat="POULTRY",45,_xlpm.cat="SWINE",48,_xlpm.cat="HOGS",48,_xlpm.cat="RABBIT",40,45),_xlpm.code,IFERROR(VALUE(LEFT($A54,FIND(" ",$A54&amp;" ")-1)),0),_xlpm.v,1+MOD(_xlpm.code,13)/100,ROUND(_xlpm.ppk*_xlpm.wt*_xlpm.v,0)))</f>
        <v>2250</v>
      </c>
      <c r="H54" s="6" cm="1">
        <f t="array" ref="H54">IF(OR($A54="",$L54=""),"",_xlfn.LET(_xlpm.cat,UPPER($E54),_xlpm.base,_xlfn.SWITCH(TRUE,_xlpm.cat="GAMEFOWL",0.22,_xlpm.cat="POULTRY",0.18,_xlpm.cat="SWINE",0.16,_xlpm.cat="HOGS",0.16,_xlpm.cat="RABBIT",0.15,0.17),_xlpm.code,IFERROR(VALUE(LEFT($A54,FIND(" ",$A54&amp;" ")-1)),0),_xlpm.v,MOD(_xlpm.code,9)/1000,MIN(0.3,MAX(0.1,_xlpm.base+_xlpm.v))))</f>
        <v>0.184</v>
      </c>
      <c r="I54" s="5" t="s">
        <v>106</v>
      </c>
      <c r="J54" s="5">
        <v>3</v>
      </c>
      <c r="K54" s="5">
        <v>0.33</v>
      </c>
      <c r="L54" s="5">
        <v>50</v>
      </c>
      <c r="M54" s="5">
        <v>4</v>
      </c>
      <c r="N54" s="5">
        <v>2</v>
      </c>
      <c r="O54" s="5">
        <v>2</v>
      </c>
      <c r="Q54" s="5" t="s">
        <v>227</v>
      </c>
      <c r="R54" s="5" t="s">
        <v>34</v>
      </c>
      <c r="S54" s="5" t="s">
        <v>228</v>
      </c>
      <c r="T54" s="7">
        <v>5000000000558</v>
      </c>
      <c r="U54" s="5" t="s">
        <v>229</v>
      </c>
      <c r="V54" s="7">
        <v>5000000000113</v>
      </c>
      <c r="W54" s="5" t="s">
        <v>230</v>
      </c>
      <c r="X54" s="5" t="s">
        <v>34</v>
      </c>
      <c r="Y54" s="5" t="s">
        <v>34</v>
      </c>
      <c r="Z54" s="5">
        <v>7.3654889180740462</v>
      </c>
      <c r="AA54" s="5">
        <v>7.7137920000000006</v>
      </c>
      <c r="AB54" s="5" t="s">
        <v>34</v>
      </c>
      <c r="AC54" s="5" t="s">
        <v>34</v>
      </c>
      <c r="AD54" s="5" t="s">
        <v>34</v>
      </c>
    </row>
    <row r="55" spans="1:30" ht="15.55" x14ac:dyDescent="0.3">
      <c r="A55" s="4">
        <v>1000000000018</v>
      </c>
      <c r="B55" s="5" t="s">
        <v>231</v>
      </c>
      <c r="C55" s="4">
        <v>3000000000364</v>
      </c>
      <c r="D55" s="5" t="s">
        <v>232</v>
      </c>
      <c r="E55" s="5" t="s">
        <v>31</v>
      </c>
      <c r="F55" s="5" t="s">
        <v>32</v>
      </c>
      <c r="G55" s="10" cm="1">
        <f t="array" ref="G55">IF(OR($A55="",$L55=""),"",_xlfn.LET(_xlpm.cat,UPPER($E55),_xlpm.wt,IFERROR(VALUE(LEFT($L55,FIND(" ",$L55&amp;" ")-1)),$L55),_xlpm.ppk,_xlfn.SWITCH(TRUE,_xlpm.cat="GAMEFOWL",62,_xlpm.cat="POULTRY",45,_xlpm.cat="SWINE",48,_xlpm.cat="HOGS",48,_xlpm.cat="RABBIT",40,45),_xlpm.code,IFERROR(VALUE(LEFT($A55,FIND(" ",$A55&amp;" ")-1)),0),_xlpm.v,1+MOD(_xlpm.code,13)/100,ROUND(_xlpm.ppk*_xlpm.wt*_xlpm.v,0)))</f>
        <v>2544</v>
      </c>
      <c r="H55" s="6" cm="1">
        <f t="array" ref="H55">IF(OR($A55="",$L55=""),"",_xlfn.LET(_xlpm.cat,UPPER($E55),_xlpm.base,_xlfn.SWITCH(TRUE,_xlpm.cat="GAMEFOWL",0.22,_xlpm.cat="POULTRY",0.18,_xlpm.cat="SWINE",0.16,_xlpm.cat="HOGS",0.16,_xlpm.cat="RABBIT",0.15,0.17),_xlpm.code,IFERROR(VALUE(LEFT($A55,FIND(" ",$A55&amp;" ")-1)),0),_xlpm.v,MOD(_xlpm.code,9)/1000,MIN(0.3,MAX(0.1,_xlpm.base+_xlpm.v))))</f>
        <v>0.161</v>
      </c>
      <c r="I55" s="5" t="s">
        <v>33</v>
      </c>
      <c r="J55" s="5">
        <v>4</v>
      </c>
      <c r="K55" s="5">
        <v>0.17</v>
      </c>
      <c r="L55" s="5">
        <v>50</v>
      </c>
      <c r="M55" s="5">
        <v>4</v>
      </c>
      <c r="N55" s="5">
        <v>2</v>
      </c>
      <c r="O55" s="5">
        <v>2</v>
      </c>
      <c r="Q55" s="5" t="s">
        <v>34</v>
      </c>
      <c r="R55" s="5" t="s">
        <v>34</v>
      </c>
      <c r="S55" s="5" t="s">
        <v>34</v>
      </c>
      <c r="T55" s="7" t="s">
        <v>34</v>
      </c>
      <c r="U55" s="5" t="s">
        <v>34</v>
      </c>
      <c r="V55" s="7" t="s">
        <v>34</v>
      </c>
      <c r="W55" s="5" t="s">
        <v>34</v>
      </c>
      <c r="X55" s="5" t="s">
        <v>34</v>
      </c>
      <c r="Y55" s="5" t="s">
        <v>34</v>
      </c>
      <c r="Z55" s="5" t="s">
        <v>34</v>
      </c>
      <c r="AA55" s="5" t="s">
        <v>34</v>
      </c>
      <c r="AB55" s="5" t="s">
        <v>34</v>
      </c>
      <c r="AC55" s="5" t="s">
        <v>34</v>
      </c>
      <c r="AD55" s="5" t="s">
        <v>34</v>
      </c>
    </row>
    <row r="56" spans="1:30" ht="15.55" x14ac:dyDescent="0.3">
      <c r="A56" s="4">
        <v>1000000001252</v>
      </c>
      <c r="B56" s="5" t="s">
        <v>233</v>
      </c>
      <c r="C56" s="4">
        <v>3000000000182</v>
      </c>
      <c r="D56" s="5" t="s">
        <v>234</v>
      </c>
      <c r="E56" s="5" t="s">
        <v>62</v>
      </c>
      <c r="F56" s="5" t="s">
        <v>34</v>
      </c>
      <c r="G56" s="10" cm="1">
        <f t="array" ref="G56">IF(OR($A56="",$L56=""),"",_xlfn.LET(_xlpm.cat,UPPER($E56),_xlpm.wt,IFERROR(VALUE(LEFT($L56,FIND(" ",$L56&amp;" ")-1)),$L56),_xlpm.ppk,_xlfn.SWITCH(TRUE,_xlpm.cat="GAMEFOWL",62,_xlpm.cat="POULTRY",45,_xlpm.cat="SWINE",48,_xlpm.cat="HOGS",48,_xlpm.cat="RABBIT",40,45),_xlpm.code,IFERROR(VALUE(LEFT($A56,FIND(" ",$A56&amp;" ")-1)),0),_xlpm.v,1+MOD(_xlpm.code,13)/100,ROUND(_xlpm.ppk*_xlpm.wt*_xlpm.v,0)))</f>
        <v>2363</v>
      </c>
      <c r="H56" s="6" cm="1">
        <f t="array" ref="H56">IF(OR($A56="",$L56=""),"",_xlfn.LET(_xlpm.cat,UPPER($E56),_xlpm.base,_xlfn.SWITCH(TRUE,_xlpm.cat="GAMEFOWL",0.22,_xlpm.cat="POULTRY",0.18,_xlpm.cat="SWINE",0.16,_xlpm.cat="HOGS",0.16,_xlpm.cat="RABBIT",0.15,0.17),_xlpm.code,IFERROR(VALUE(LEFT($A56,FIND(" ",$A56&amp;" ")-1)),0),_xlpm.v,MOD(_xlpm.code,9)/1000,MIN(0.3,MAX(0.1,_xlpm.base+_xlpm.v))))</f>
        <v>0.182</v>
      </c>
      <c r="I56" s="5" t="s">
        <v>57</v>
      </c>
      <c r="K56" s="5">
        <v>0</v>
      </c>
      <c r="L56" s="5">
        <v>50</v>
      </c>
      <c r="M56" s="5">
        <v>4</v>
      </c>
      <c r="N56" s="5">
        <v>2</v>
      </c>
      <c r="O56" s="5">
        <v>2</v>
      </c>
      <c r="Q56" s="5" t="s">
        <v>235</v>
      </c>
      <c r="R56" s="5" t="s">
        <v>34</v>
      </c>
      <c r="S56" s="5" t="s">
        <v>222</v>
      </c>
      <c r="T56" s="7">
        <v>5000000000561</v>
      </c>
      <c r="U56" s="5" t="s">
        <v>98</v>
      </c>
      <c r="V56" s="7">
        <v>5000000000125</v>
      </c>
      <c r="W56" s="5" t="s">
        <v>99</v>
      </c>
      <c r="X56" s="5" t="s">
        <v>34</v>
      </c>
      <c r="Y56" s="5" t="s">
        <v>34</v>
      </c>
      <c r="Z56" s="5" t="s">
        <v>34</v>
      </c>
      <c r="AA56" s="5" t="s">
        <v>34</v>
      </c>
      <c r="AB56" s="5" t="s">
        <v>34</v>
      </c>
      <c r="AC56" s="5" t="s">
        <v>34</v>
      </c>
      <c r="AD56" s="5" t="s">
        <v>34</v>
      </c>
    </row>
    <row r="57" spans="1:30" ht="15.55" x14ac:dyDescent="0.3">
      <c r="A57" s="4">
        <v>1000000001254</v>
      </c>
      <c r="B57" s="5" t="s">
        <v>236</v>
      </c>
      <c r="C57" s="4">
        <v>3000000000186</v>
      </c>
      <c r="D57" s="5" t="s">
        <v>237</v>
      </c>
      <c r="E57" s="5" t="s">
        <v>62</v>
      </c>
      <c r="F57" s="5" t="s">
        <v>34</v>
      </c>
      <c r="G57" s="10" cm="1">
        <f t="array" ref="G57">IF(OR($A57="",$L57=""),"",_xlfn.LET(_xlpm.cat,UPPER($E57),_xlpm.wt,IFERROR(VALUE(LEFT($L57,FIND(" ",$L57&amp;" ")-1)),$L57),_xlpm.ppk,_xlfn.SWITCH(TRUE,_xlpm.cat="GAMEFOWL",62,_xlpm.cat="POULTRY",45,_xlpm.cat="SWINE",48,_xlpm.cat="HOGS",48,_xlpm.cat="RABBIT",40,45),_xlpm.code,IFERROR(VALUE(LEFT($A57,FIND(" ",$A57&amp;" ")-1)),0),_xlpm.v,1+MOD(_xlpm.code,13)/100,ROUND(_xlpm.ppk*_xlpm.wt*_xlpm.v,0)))</f>
        <v>2408</v>
      </c>
      <c r="H57" s="6" cm="1">
        <f t="array" ref="H57">IF(OR($A57="",$L57=""),"",_xlfn.LET(_xlpm.cat,UPPER($E57),_xlpm.base,_xlfn.SWITCH(TRUE,_xlpm.cat="GAMEFOWL",0.22,_xlpm.cat="POULTRY",0.18,_xlpm.cat="SWINE",0.16,_xlpm.cat="HOGS",0.16,_xlpm.cat="RABBIT",0.15,0.17),_xlpm.code,IFERROR(VALUE(LEFT($A57,FIND(" ",$A57&amp;" ")-1)),0),_xlpm.v,MOD(_xlpm.code,9)/1000,MIN(0.3,MAX(0.1,_xlpm.base+_xlpm.v))))</f>
        <v>0.184</v>
      </c>
      <c r="I57" s="5" t="s">
        <v>106</v>
      </c>
      <c r="J57" s="5">
        <v>4</v>
      </c>
      <c r="K57" s="5">
        <v>0.33</v>
      </c>
      <c r="L57" s="5">
        <v>50</v>
      </c>
      <c r="M57" s="5">
        <v>2</v>
      </c>
      <c r="N57" s="5">
        <v>2</v>
      </c>
      <c r="O57" s="5">
        <v>2</v>
      </c>
      <c r="Q57" s="5" t="s">
        <v>238</v>
      </c>
      <c r="R57" s="5" t="s">
        <v>34</v>
      </c>
      <c r="S57" s="5" t="s">
        <v>222</v>
      </c>
      <c r="T57" s="7">
        <v>5000000000562</v>
      </c>
      <c r="U57" s="5" t="s">
        <v>108</v>
      </c>
      <c r="V57" s="7">
        <v>5000000000122</v>
      </c>
      <c r="W57" s="5" t="s">
        <v>109</v>
      </c>
      <c r="X57" s="5" t="s">
        <v>34</v>
      </c>
      <c r="Y57" s="5" t="s">
        <v>34</v>
      </c>
      <c r="Z57" s="5" t="s">
        <v>34</v>
      </c>
      <c r="AA57" s="5" t="s">
        <v>34</v>
      </c>
      <c r="AB57" s="5" t="s">
        <v>34</v>
      </c>
      <c r="AC57" s="5" t="s">
        <v>34</v>
      </c>
      <c r="AD57" s="5" t="s">
        <v>34</v>
      </c>
    </row>
    <row r="58" spans="1:30" ht="15.55" x14ac:dyDescent="0.3">
      <c r="A58" s="4">
        <v>1000000000736</v>
      </c>
      <c r="B58" s="5" t="s">
        <v>239</v>
      </c>
      <c r="C58" s="4">
        <v>3000000000172</v>
      </c>
      <c r="D58" s="5" t="s">
        <v>240</v>
      </c>
      <c r="E58" s="5" t="s">
        <v>62</v>
      </c>
      <c r="F58" s="5" t="s">
        <v>63</v>
      </c>
      <c r="G58" s="10" cm="1">
        <f t="array" ref="G58">IF(OR($A58="",$L58=""),"",_xlfn.LET(_xlpm.cat,UPPER($E58),_xlpm.wt,IFERROR(VALUE(LEFT($L58,FIND(" ",$L58&amp;" ")-1)),$L58),_xlpm.ppk,_xlfn.SWITCH(TRUE,_xlpm.cat="GAMEFOWL",62,_xlpm.cat="POULTRY",45,_xlpm.cat="SWINE",48,_xlpm.cat="HOGS",48,_xlpm.cat="RABBIT",40,45),_xlpm.code,IFERROR(VALUE(LEFT($A58,FIND(" ",$A58&amp;" ")-1)),0),_xlpm.v,1+MOD(_xlpm.code,13)/100,ROUND(_xlpm.ppk*_xlpm.wt*_xlpm.v,0)))</f>
        <v>2453</v>
      </c>
      <c r="H58" s="6" cm="1">
        <f t="array" ref="H58">IF(OR($A58="",$L58=""),"",_xlfn.LET(_xlpm.cat,UPPER($E58),_xlpm.base,_xlfn.SWITCH(TRUE,_xlpm.cat="GAMEFOWL",0.22,_xlpm.cat="POULTRY",0.18,_xlpm.cat="SWINE",0.16,_xlpm.cat="HOGS",0.16,_xlpm.cat="RABBIT",0.15,0.17),_xlpm.code,IFERROR(VALUE(LEFT($A58,FIND(" ",$A58&amp;" ")-1)),0),_xlpm.v,MOD(_xlpm.code,9)/1000,MIN(0.3,MAX(0.1,_xlpm.base+_xlpm.v))))</f>
        <v>0.188</v>
      </c>
      <c r="I58" s="5" t="s">
        <v>77</v>
      </c>
      <c r="J58" s="5">
        <v>4</v>
      </c>
      <c r="K58" s="5">
        <v>0.33</v>
      </c>
      <c r="L58" s="5">
        <v>50</v>
      </c>
      <c r="M58" s="5">
        <v>2</v>
      </c>
      <c r="N58" s="5">
        <v>2</v>
      </c>
      <c r="O58" s="5">
        <v>2</v>
      </c>
      <c r="Q58" s="5" t="s">
        <v>241</v>
      </c>
      <c r="R58" s="5" t="s">
        <v>34</v>
      </c>
      <c r="S58" s="5" t="s">
        <v>92</v>
      </c>
      <c r="T58" s="7">
        <v>5000000000565</v>
      </c>
      <c r="U58" s="5" t="s">
        <v>223</v>
      </c>
      <c r="V58" s="7">
        <v>5000000000117</v>
      </c>
      <c r="W58" s="5" t="s">
        <v>224</v>
      </c>
      <c r="X58" s="5" t="s">
        <v>34</v>
      </c>
      <c r="Y58" s="5" t="s">
        <v>34</v>
      </c>
      <c r="Z58" s="5">
        <v>7.774150309859154</v>
      </c>
      <c r="AA58" s="5">
        <v>8.5802368558951958</v>
      </c>
      <c r="AB58" s="5" t="s">
        <v>34</v>
      </c>
      <c r="AC58" s="5" t="s">
        <v>34</v>
      </c>
      <c r="AD58" s="5" t="s">
        <v>34</v>
      </c>
    </row>
    <row r="59" spans="1:30" ht="15.55" x14ac:dyDescent="0.3">
      <c r="A59" s="4">
        <v>1000000001253</v>
      </c>
      <c r="B59" s="5" t="s">
        <v>242</v>
      </c>
      <c r="C59" s="4">
        <v>3000000000184</v>
      </c>
      <c r="D59" s="5" t="s">
        <v>243</v>
      </c>
      <c r="E59" s="5" t="s">
        <v>62</v>
      </c>
      <c r="F59" s="5" t="s">
        <v>34</v>
      </c>
      <c r="G59" s="10" cm="1">
        <f t="array" ref="G59">IF(OR($A59="",$L59=""),"",_xlfn.LET(_xlpm.cat,UPPER($E59),_xlpm.wt,IFERROR(VALUE(LEFT($L59,FIND(" ",$L59&amp;" ")-1)),$L59),_xlpm.ppk,_xlfn.SWITCH(TRUE,_xlpm.cat="GAMEFOWL",62,_xlpm.cat="POULTRY",45,_xlpm.cat="SWINE",48,_xlpm.cat="HOGS",48,_xlpm.cat="RABBIT",40,45),_xlpm.code,IFERROR(VALUE(LEFT($A59,FIND(" ",$A59&amp;" ")-1)),0),_xlpm.v,1+MOD(_xlpm.code,13)/100,ROUND(_xlpm.ppk*_xlpm.wt*_xlpm.v,0)))</f>
        <v>2385</v>
      </c>
      <c r="H59" s="6" cm="1">
        <f t="array" ref="H59">IF(OR($A59="",$L59=""),"",_xlfn.LET(_xlpm.cat,UPPER($E59),_xlpm.base,_xlfn.SWITCH(TRUE,_xlpm.cat="GAMEFOWL",0.22,_xlpm.cat="POULTRY",0.18,_xlpm.cat="SWINE",0.16,_xlpm.cat="HOGS",0.16,_xlpm.cat="RABBIT",0.15,0.17),_xlpm.code,IFERROR(VALUE(LEFT($A59,FIND(" ",$A59&amp;" ")-1)),0),_xlpm.v,MOD(_xlpm.code,9)/1000,MIN(0.3,MAX(0.1,_xlpm.base+_xlpm.v))))</f>
        <v>0.183</v>
      </c>
      <c r="I59" s="5" t="s">
        <v>57</v>
      </c>
      <c r="K59" s="5">
        <v>0</v>
      </c>
      <c r="L59" s="5">
        <v>50</v>
      </c>
      <c r="M59" s="5">
        <v>4</v>
      </c>
      <c r="N59" s="5">
        <v>2</v>
      </c>
      <c r="O59" s="5">
        <v>2</v>
      </c>
      <c r="Q59" s="5" t="s">
        <v>244</v>
      </c>
      <c r="R59" s="5" t="s">
        <v>34</v>
      </c>
      <c r="S59" s="5" t="s">
        <v>245</v>
      </c>
      <c r="T59" s="7">
        <v>5000000000562</v>
      </c>
      <c r="U59" s="5" t="s">
        <v>108</v>
      </c>
      <c r="V59" s="7">
        <v>5000000000122</v>
      </c>
      <c r="W59" s="5" t="s">
        <v>109</v>
      </c>
      <c r="X59" s="5" t="s">
        <v>34</v>
      </c>
      <c r="Y59" s="5" t="s">
        <v>34</v>
      </c>
      <c r="Z59" s="5" t="s">
        <v>34</v>
      </c>
      <c r="AA59" s="5" t="s">
        <v>34</v>
      </c>
      <c r="AB59" s="5" t="s">
        <v>34</v>
      </c>
      <c r="AC59" s="5" t="s">
        <v>34</v>
      </c>
      <c r="AD59" s="5" t="s">
        <v>34</v>
      </c>
    </row>
    <row r="60" spans="1:30" ht="15.55" x14ac:dyDescent="0.3">
      <c r="A60" s="4">
        <v>1000000000245</v>
      </c>
      <c r="B60" s="5" t="s">
        <v>246</v>
      </c>
      <c r="C60" s="4">
        <v>3000000000555</v>
      </c>
      <c r="D60" s="5" t="s">
        <v>247</v>
      </c>
      <c r="E60" s="5" t="s">
        <v>31</v>
      </c>
      <c r="F60" s="5" t="s">
        <v>32</v>
      </c>
      <c r="G60" s="10" cm="1">
        <f t="array" ref="G60">IF(OR($A60="",$L60=""),"",_xlfn.LET(_xlpm.cat,UPPER($E60),_xlpm.wt,IFERROR(VALUE(LEFT($L60,FIND(" ",$L60&amp;" ")-1)),$L60),_xlpm.ppk,_xlfn.SWITCH(TRUE,_xlpm.cat="GAMEFOWL",62,_xlpm.cat="POULTRY",45,_xlpm.cat="SWINE",48,_xlpm.cat="HOGS",48,_xlpm.cat="RABBIT",40,45),_xlpm.code,IFERROR(VALUE(LEFT($A60,FIND(" ",$A60&amp;" ")-1)),0),_xlpm.v,1+MOD(_xlpm.code,13)/100,ROUND(_xlpm.ppk*_xlpm.wt*_xlpm.v,0)))</f>
        <v>2688</v>
      </c>
      <c r="H60" s="6" cm="1">
        <f t="array" ref="H60">IF(OR($A60="",$L60=""),"",_xlfn.LET(_xlpm.cat,UPPER($E60),_xlpm.base,_xlfn.SWITCH(TRUE,_xlpm.cat="GAMEFOWL",0.22,_xlpm.cat="POULTRY",0.18,_xlpm.cat="SWINE",0.16,_xlpm.cat="HOGS",0.16,_xlpm.cat="RABBIT",0.15,0.17),_xlpm.code,IFERROR(VALUE(LEFT($A60,FIND(" ",$A60&amp;" ")-1)),0),_xlpm.v,MOD(_xlpm.code,9)/1000,MIN(0.3,MAX(0.1,_xlpm.base+_xlpm.v))))</f>
        <v>0.16300000000000001</v>
      </c>
      <c r="I60" s="5" t="s">
        <v>33</v>
      </c>
      <c r="J60" s="5">
        <v>4</v>
      </c>
      <c r="K60" s="5">
        <v>0.17</v>
      </c>
      <c r="L60" s="5">
        <v>50</v>
      </c>
      <c r="M60" s="5">
        <v>4</v>
      </c>
      <c r="N60" s="5">
        <v>2</v>
      </c>
      <c r="O60" s="5">
        <v>2</v>
      </c>
      <c r="Q60" s="5" t="s">
        <v>34</v>
      </c>
      <c r="R60" s="5" t="s">
        <v>34</v>
      </c>
      <c r="S60" s="5" t="s">
        <v>39</v>
      </c>
      <c r="T60" s="7">
        <v>5000000000414</v>
      </c>
      <c r="U60" s="5" t="s">
        <v>248</v>
      </c>
      <c r="V60" s="7">
        <v>5000000000474</v>
      </c>
      <c r="W60" s="5" t="s">
        <v>249</v>
      </c>
      <c r="X60" s="5">
        <v>19.998719999999981</v>
      </c>
      <c r="Y60" s="5">
        <v>20.077399346177305</v>
      </c>
      <c r="Z60" s="5" t="s">
        <v>34</v>
      </c>
      <c r="AA60" s="5" t="s">
        <v>34</v>
      </c>
      <c r="AB60" s="5" t="s">
        <v>34</v>
      </c>
      <c r="AC60" s="5" t="s">
        <v>34</v>
      </c>
      <c r="AD60" s="5" t="s">
        <v>34</v>
      </c>
    </row>
    <row r="61" spans="1:30" ht="15.55" x14ac:dyDescent="0.3">
      <c r="A61" s="4">
        <v>1000000000042</v>
      </c>
      <c r="B61" s="5" t="s">
        <v>202</v>
      </c>
      <c r="C61" s="4">
        <v>3000000000206</v>
      </c>
      <c r="D61" s="5" t="s">
        <v>203</v>
      </c>
      <c r="E61" s="5" t="s">
        <v>62</v>
      </c>
      <c r="F61" s="5" t="s">
        <v>63</v>
      </c>
      <c r="G61" s="10" cm="1">
        <f t="array" ref="G61">IF(OR($A61="",$L61=""),"",_xlfn.LET(_xlpm.cat,UPPER($E61),_xlpm.wt,IFERROR(VALUE(LEFT($L61,FIND(" ",$L61&amp;" ")-1)),$L61),_xlpm.ppk,_xlfn.SWITCH(TRUE,_xlpm.cat="GAMEFOWL",62,_xlpm.cat="POULTRY",45,_xlpm.cat="SWINE",48,_xlpm.cat="HOGS",48,_xlpm.cat="RABBIT",40,45),_xlpm.code,IFERROR(VALUE(LEFT($A61,FIND(" ",$A61&amp;" ")-1)),0),_xlpm.v,1+MOD(_xlpm.code,13)/100,ROUND(_xlpm.ppk*_xlpm.wt*_xlpm.v,0)))</f>
        <v>2340</v>
      </c>
      <c r="H61" s="6" cm="1">
        <f t="array" ref="H61">IF(OR($A61="",$L61=""),"",_xlfn.LET(_xlpm.cat,UPPER($E61),_xlpm.base,_xlfn.SWITCH(TRUE,_xlpm.cat="GAMEFOWL",0.22,_xlpm.cat="POULTRY",0.18,_xlpm.cat="SWINE",0.16,_xlpm.cat="HOGS",0.16,_xlpm.cat="RABBIT",0.15,0.17),_xlpm.code,IFERROR(VALUE(LEFT($A61,FIND(" ",$A61&amp;" ")-1)),0),_xlpm.v,MOD(_xlpm.code,9)/1000,MIN(0.3,MAX(0.1,_xlpm.base+_xlpm.v))))</f>
        <v>0.187</v>
      </c>
      <c r="I61" s="5" t="s">
        <v>64</v>
      </c>
      <c r="J61" s="5">
        <v>4</v>
      </c>
      <c r="K61" s="5">
        <v>0.33</v>
      </c>
      <c r="L61" s="5">
        <v>50</v>
      </c>
      <c r="M61" s="5">
        <v>4</v>
      </c>
      <c r="N61" s="5">
        <v>2</v>
      </c>
      <c r="O61" s="5">
        <v>2</v>
      </c>
      <c r="Q61" s="5" t="s">
        <v>34</v>
      </c>
      <c r="R61" s="5" t="s">
        <v>34</v>
      </c>
      <c r="S61" s="5" t="s">
        <v>39</v>
      </c>
      <c r="T61" s="7">
        <v>5000000000574</v>
      </c>
      <c r="U61" s="5" t="s">
        <v>204</v>
      </c>
      <c r="V61" s="7">
        <v>5000000000099</v>
      </c>
      <c r="W61" s="5" t="s">
        <v>205</v>
      </c>
      <c r="X61" s="5" t="s">
        <v>34</v>
      </c>
      <c r="Y61" s="5">
        <v>14.099097600000002</v>
      </c>
      <c r="Z61" s="5" t="s">
        <v>34</v>
      </c>
      <c r="AA61" s="5">
        <v>7.9382092617577227</v>
      </c>
      <c r="AB61" s="5" t="s">
        <v>34</v>
      </c>
      <c r="AC61" s="5" t="s">
        <v>34</v>
      </c>
      <c r="AD61" s="5" t="s">
        <v>34</v>
      </c>
    </row>
    <row r="62" spans="1:30" ht="15.55" x14ac:dyDescent="0.3">
      <c r="A62" s="4">
        <v>1000000001256</v>
      </c>
      <c r="B62" s="5" t="s">
        <v>250</v>
      </c>
      <c r="C62" s="4">
        <v>3000000000462</v>
      </c>
      <c r="D62" s="5" t="s">
        <v>251</v>
      </c>
      <c r="E62" s="5" t="s">
        <v>62</v>
      </c>
      <c r="F62" s="5" t="s">
        <v>34</v>
      </c>
      <c r="G62" s="10" cm="1">
        <f t="array" ref="G62">IF(OR($A62="",$L62=""),"",_xlfn.LET(_xlpm.cat,UPPER($E62),_xlpm.wt,IFERROR(VALUE(LEFT($L62,FIND(" ",$L62&amp;" ")-1)),$L62),_xlpm.ppk,_xlfn.SWITCH(TRUE,_xlpm.cat="GAMEFOWL",62,_xlpm.cat="POULTRY",45,_xlpm.cat="SWINE",48,_xlpm.cat="HOGS",48,_xlpm.cat="RABBIT",40,45),_xlpm.code,IFERROR(VALUE(LEFT($A62,FIND(" ",$A62&amp;" ")-1)),0),_xlpm.v,1+MOD(_xlpm.code,13)/100,ROUND(_xlpm.ppk*_xlpm.wt*_xlpm.v,0)))</f>
        <v>2453</v>
      </c>
      <c r="H62" s="6" cm="1">
        <f t="array" ref="H62">IF(OR($A62="",$L62=""),"",_xlfn.LET(_xlpm.cat,UPPER($E62),_xlpm.base,_xlfn.SWITCH(TRUE,_xlpm.cat="GAMEFOWL",0.22,_xlpm.cat="POULTRY",0.18,_xlpm.cat="SWINE",0.16,_xlpm.cat="HOGS",0.16,_xlpm.cat="RABBIT",0.15,0.17),_xlpm.code,IFERROR(VALUE(LEFT($A62,FIND(" ",$A62&amp;" ")-1)),0),_xlpm.v,MOD(_xlpm.code,9)/1000,MIN(0.3,MAX(0.1,_xlpm.base+_xlpm.v))))</f>
        <v>0.186</v>
      </c>
      <c r="I62" s="5" t="s">
        <v>57</v>
      </c>
      <c r="K62" s="5">
        <v>0</v>
      </c>
      <c r="L62" s="5">
        <v>50</v>
      </c>
      <c r="M62" s="5">
        <v>4</v>
      </c>
      <c r="N62" s="5">
        <v>2</v>
      </c>
      <c r="O62" s="5">
        <v>2</v>
      </c>
      <c r="Q62" s="5" t="s">
        <v>252</v>
      </c>
      <c r="R62" s="5" t="s">
        <v>34</v>
      </c>
      <c r="S62" s="5" t="s">
        <v>222</v>
      </c>
      <c r="T62" s="7">
        <v>5000000000564</v>
      </c>
      <c r="U62" s="5" t="s">
        <v>102</v>
      </c>
      <c r="V62" s="7">
        <v>5000000000116</v>
      </c>
      <c r="W62" s="5" t="s">
        <v>103</v>
      </c>
      <c r="X62" s="5" t="s">
        <v>34</v>
      </c>
      <c r="Y62" s="5" t="s">
        <v>34</v>
      </c>
      <c r="Z62" s="5" t="s">
        <v>34</v>
      </c>
      <c r="AA62" s="5" t="s">
        <v>34</v>
      </c>
      <c r="AB62" s="5" t="s">
        <v>34</v>
      </c>
      <c r="AC62" s="5" t="s">
        <v>34</v>
      </c>
      <c r="AD62" s="5" t="s">
        <v>34</v>
      </c>
    </row>
    <row r="63" spans="1:30" ht="15.55" x14ac:dyDescent="0.3">
      <c r="A63" s="4">
        <v>1000000001255</v>
      </c>
      <c r="B63" s="5" t="s">
        <v>253</v>
      </c>
      <c r="C63" s="4">
        <v>3000000000188</v>
      </c>
      <c r="D63" s="5" t="s">
        <v>254</v>
      </c>
      <c r="E63" s="5" t="s">
        <v>62</v>
      </c>
      <c r="F63" s="5" t="s">
        <v>34</v>
      </c>
      <c r="G63" s="10" cm="1">
        <f t="array" ref="G63">IF(OR($A63="",$L63=""),"",_xlfn.LET(_xlpm.cat,UPPER($E63),_xlpm.wt,IFERROR(VALUE(LEFT($L63,FIND(" ",$L63&amp;" ")-1)),$L63),_xlpm.ppk,_xlfn.SWITCH(TRUE,_xlpm.cat="GAMEFOWL",62,_xlpm.cat="POULTRY",45,_xlpm.cat="SWINE",48,_xlpm.cat="HOGS",48,_xlpm.cat="RABBIT",40,45),_xlpm.code,IFERROR(VALUE(LEFT($A63,FIND(" ",$A63&amp;" ")-1)),0),_xlpm.v,1+MOD(_xlpm.code,13)/100,ROUND(_xlpm.ppk*_xlpm.wt*_xlpm.v,0)))</f>
        <v>2430</v>
      </c>
      <c r="H63" s="6" cm="1">
        <f t="array" ref="H63">IF(OR($A63="",$L63=""),"",_xlfn.LET(_xlpm.cat,UPPER($E63),_xlpm.base,_xlfn.SWITCH(TRUE,_xlpm.cat="GAMEFOWL",0.22,_xlpm.cat="POULTRY",0.18,_xlpm.cat="SWINE",0.16,_xlpm.cat="HOGS",0.16,_xlpm.cat="RABBIT",0.15,0.17),_xlpm.code,IFERROR(VALUE(LEFT($A63,FIND(" ",$A63&amp;" ")-1)),0),_xlpm.v,MOD(_xlpm.code,9)/1000,MIN(0.3,MAX(0.1,_xlpm.base+_xlpm.v))))</f>
        <v>0.185</v>
      </c>
      <c r="I63" s="5" t="s">
        <v>57</v>
      </c>
      <c r="K63" s="5">
        <v>0</v>
      </c>
      <c r="L63" s="5">
        <v>50</v>
      </c>
      <c r="M63" s="5">
        <v>4</v>
      </c>
      <c r="N63" s="5">
        <v>2</v>
      </c>
      <c r="O63" s="5">
        <v>2</v>
      </c>
      <c r="Q63" s="5" t="s">
        <v>255</v>
      </c>
      <c r="R63" s="5" t="s">
        <v>34</v>
      </c>
      <c r="S63" s="5" t="s">
        <v>222</v>
      </c>
      <c r="T63" s="7">
        <v>5000000000610</v>
      </c>
      <c r="U63" s="5" t="s">
        <v>256</v>
      </c>
      <c r="V63" s="7">
        <v>5000000000616</v>
      </c>
      <c r="W63" s="5" t="s">
        <v>257</v>
      </c>
      <c r="X63" s="5" t="s">
        <v>34</v>
      </c>
      <c r="Y63" s="5" t="s">
        <v>34</v>
      </c>
      <c r="Z63" s="5" t="s">
        <v>34</v>
      </c>
      <c r="AA63" s="5" t="s">
        <v>34</v>
      </c>
      <c r="AB63" s="5" t="s">
        <v>34</v>
      </c>
      <c r="AC63" s="5" t="s">
        <v>34</v>
      </c>
      <c r="AD63" s="5" t="s">
        <v>34</v>
      </c>
    </row>
    <row r="64" spans="1:30" ht="15.55" x14ac:dyDescent="0.3">
      <c r="A64" s="4">
        <v>1000000001251</v>
      </c>
      <c r="B64" s="5" t="s">
        <v>258</v>
      </c>
      <c r="C64" s="4">
        <v>3000000000180</v>
      </c>
      <c r="D64" s="5" t="s">
        <v>259</v>
      </c>
      <c r="E64" s="5" t="s">
        <v>62</v>
      </c>
      <c r="F64" s="5" t="s">
        <v>34</v>
      </c>
      <c r="G64" s="10" cm="1">
        <f t="array" ref="G64">IF(OR($A64="",$L64=""),"",_xlfn.LET(_xlpm.cat,UPPER($E64),_xlpm.wt,IFERROR(VALUE(LEFT($L64,FIND(" ",$L64&amp;" ")-1)),$L64),_xlpm.ppk,_xlfn.SWITCH(TRUE,_xlpm.cat="GAMEFOWL",62,_xlpm.cat="POULTRY",45,_xlpm.cat="SWINE",48,_xlpm.cat="HOGS",48,_xlpm.cat="RABBIT",40,45),_xlpm.code,IFERROR(VALUE(LEFT($A64,FIND(" ",$A64&amp;" ")-1)),0),_xlpm.v,1+MOD(_xlpm.code,13)/100,ROUND(_xlpm.ppk*_xlpm.wt*_xlpm.v,0)))</f>
        <v>2340</v>
      </c>
      <c r="H64" s="6" cm="1">
        <f t="array" ref="H64">IF(OR($A64="",$L64=""),"",_xlfn.LET(_xlpm.cat,UPPER($E64),_xlpm.base,_xlfn.SWITCH(TRUE,_xlpm.cat="GAMEFOWL",0.22,_xlpm.cat="POULTRY",0.18,_xlpm.cat="SWINE",0.16,_xlpm.cat="HOGS",0.16,_xlpm.cat="RABBIT",0.15,0.17),_xlpm.code,IFERROR(VALUE(LEFT($A64,FIND(" ",$A64&amp;" ")-1)),0),_xlpm.v,MOD(_xlpm.code,9)/1000,MIN(0.3,MAX(0.1,_xlpm.base+_xlpm.v))))</f>
        <v>0.18099999999999999</v>
      </c>
      <c r="I64" s="5" t="s">
        <v>57</v>
      </c>
      <c r="K64" s="5">
        <v>0</v>
      </c>
      <c r="L64" s="5">
        <v>50</v>
      </c>
      <c r="M64" s="5">
        <v>4</v>
      </c>
      <c r="N64" s="5">
        <v>2</v>
      </c>
      <c r="O64" s="5">
        <v>2</v>
      </c>
      <c r="Q64" s="5" t="s">
        <v>260</v>
      </c>
      <c r="R64" s="5" t="s">
        <v>34</v>
      </c>
      <c r="S64" s="5" t="s">
        <v>222</v>
      </c>
      <c r="T64" s="7">
        <v>5000000000560</v>
      </c>
      <c r="U64" s="5" t="s">
        <v>93</v>
      </c>
      <c r="V64" s="7">
        <v>5000000000124</v>
      </c>
      <c r="W64" s="5" t="s">
        <v>94</v>
      </c>
      <c r="X64" s="5" t="s">
        <v>34</v>
      </c>
      <c r="Y64" s="5" t="s">
        <v>34</v>
      </c>
      <c r="Z64" s="5" t="s">
        <v>34</v>
      </c>
      <c r="AA64" s="5" t="s">
        <v>34</v>
      </c>
      <c r="AB64" s="5" t="s">
        <v>34</v>
      </c>
      <c r="AC64" s="5" t="s">
        <v>34</v>
      </c>
      <c r="AD64" s="5" t="s">
        <v>34</v>
      </c>
    </row>
    <row r="65" spans="1:30" ht="15.55" x14ac:dyDescent="0.3">
      <c r="A65" s="4">
        <v>1000000000013</v>
      </c>
      <c r="B65" s="5" t="s">
        <v>261</v>
      </c>
      <c r="C65" s="4">
        <v>3000000000334</v>
      </c>
      <c r="D65" s="5" t="s">
        <v>262</v>
      </c>
      <c r="E65" s="5" t="s">
        <v>62</v>
      </c>
      <c r="F65" s="5" t="s">
        <v>63</v>
      </c>
      <c r="G65" s="10" cm="1">
        <f t="array" ref="G65">IF(OR($A65="",$L65=""),"",_xlfn.LET(_xlpm.cat,UPPER($E65),_xlpm.wt,IFERROR(VALUE(LEFT($L65,FIND(" ",$L65&amp;" ")-1)),$L65),_xlpm.ppk,_xlfn.SWITCH(TRUE,_xlpm.cat="GAMEFOWL",62,_xlpm.cat="POULTRY",45,_xlpm.cat="SWINE",48,_xlpm.cat="HOGS",48,_xlpm.cat="RABBIT",40,45),_xlpm.code,IFERROR(VALUE(LEFT($A65,FIND(" ",$A65&amp;" ")-1)),0),_xlpm.v,1+MOD(_xlpm.code,13)/100,ROUND(_xlpm.ppk*_xlpm.wt*_xlpm.v,0)))</f>
        <v>2273</v>
      </c>
      <c r="H65" s="6" cm="1">
        <f t="array" ref="H65">IF(OR($A65="",$L65=""),"",_xlfn.LET(_xlpm.cat,UPPER($E65),_xlpm.base,_xlfn.SWITCH(TRUE,_xlpm.cat="GAMEFOWL",0.22,_xlpm.cat="POULTRY",0.18,_xlpm.cat="SWINE",0.16,_xlpm.cat="HOGS",0.16,_xlpm.cat="RABBIT",0.15,0.17),_xlpm.code,IFERROR(VALUE(LEFT($A65,FIND(" ",$A65&amp;" ")-1)),0),_xlpm.v,MOD(_xlpm.code,9)/1000,MIN(0.3,MAX(0.1,_xlpm.base+_xlpm.v))))</f>
        <v>0.185</v>
      </c>
      <c r="I65" s="5" t="s">
        <v>139</v>
      </c>
      <c r="J65" s="5">
        <v>3</v>
      </c>
      <c r="K65" s="5">
        <v>0.17</v>
      </c>
      <c r="L65" s="5">
        <v>50</v>
      </c>
      <c r="M65" s="5">
        <v>4</v>
      </c>
      <c r="N65" s="5">
        <v>2</v>
      </c>
      <c r="O65" s="5">
        <v>2</v>
      </c>
      <c r="Q65" s="5" t="s">
        <v>263</v>
      </c>
      <c r="R65" s="5" t="s">
        <v>34</v>
      </c>
      <c r="S65" s="5" t="s">
        <v>228</v>
      </c>
      <c r="T65" s="7">
        <v>5000000000559</v>
      </c>
      <c r="U65" s="5" t="s">
        <v>264</v>
      </c>
      <c r="V65" s="7">
        <v>5000000000115</v>
      </c>
      <c r="W65" s="5" t="s">
        <v>265</v>
      </c>
      <c r="X65" s="5" t="s">
        <v>34</v>
      </c>
      <c r="Y65" s="5" t="s">
        <v>34</v>
      </c>
      <c r="Z65" s="5" t="s">
        <v>34</v>
      </c>
      <c r="AA65" s="5" t="s">
        <v>34</v>
      </c>
      <c r="AB65" s="5" t="s">
        <v>34</v>
      </c>
      <c r="AC65" s="5">
        <v>8.790730878519879</v>
      </c>
      <c r="AD65" s="5">
        <v>8.8950432357455878</v>
      </c>
    </row>
    <row r="66" spans="1:30" ht="15.55" x14ac:dyDescent="0.3">
      <c r="A66" s="4">
        <v>1000000000592</v>
      </c>
      <c r="B66" s="5" t="s">
        <v>266</v>
      </c>
      <c r="C66" s="4">
        <v>3000000000240</v>
      </c>
      <c r="D66" s="5" t="s">
        <v>267</v>
      </c>
      <c r="E66" s="5" t="s">
        <v>86</v>
      </c>
      <c r="F66" s="5" t="s">
        <v>63</v>
      </c>
      <c r="G66" s="10" cm="1">
        <f t="array" ref="G66">IF(OR($A66="",$L66=""),"",_xlfn.LET(_xlpm.cat,UPPER($E66),_xlpm.wt,IFERROR(VALUE(LEFT($L66,FIND(" ",$L66&amp;" ")-1)),$L66),_xlpm.ppk,_xlfn.SWITCH(TRUE,_xlpm.cat="GAMEFOWL",62,_xlpm.cat="POULTRY",45,_xlpm.cat="SWINE",48,_xlpm.cat="HOGS",48,_xlpm.cat="RABBIT",40,45),_xlpm.code,IFERROR(VALUE(LEFT($A66,FIND(" ",$A66&amp;" ")-1)),0),_xlpm.v,1+MOD(_xlpm.code,13)/100,ROUND(_xlpm.ppk*_xlpm.wt*_xlpm.v,0)))</f>
        <v>670</v>
      </c>
      <c r="H66" s="6" cm="1">
        <f t="array" ref="H66">IF(OR($A66="",$L66=""),"",_xlfn.LET(_xlpm.cat,UPPER($E66),_xlpm.base,_xlfn.SWITCH(TRUE,_xlpm.cat="GAMEFOWL",0.22,_xlpm.cat="POULTRY",0.18,_xlpm.cat="SWINE",0.16,_xlpm.cat="HOGS",0.16,_xlpm.cat="RABBIT",0.15,0.17),_xlpm.code,IFERROR(VALUE(LEFT($A66,FIND(" ",$A66&amp;" ")-1)),0),_xlpm.v,MOD(_xlpm.code,9)/1000,MIN(0.3,MAX(0.1,_xlpm.base+_xlpm.v))))</f>
        <v>0.22800000000000001</v>
      </c>
      <c r="I66" s="5" t="s">
        <v>139</v>
      </c>
      <c r="J66" s="5">
        <v>3</v>
      </c>
      <c r="K66" s="5">
        <v>0.17</v>
      </c>
      <c r="L66" s="5">
        <v>10</v>
      </c>
      <c r="M66" s="5">
        <v>4</v>
      </c>
      <c r="N66" s="5">
        <v>2</v>
      </c>
      <c r="O66" s="5">
        <v>2</v>
      </c>
      <c r="Q66" s="5" t="s">
        <v>34</v>
      </c>
      <c r="R66" s="5" t="s">
        <v>34</v>
      </c>
      <c r="S66" s="5" t="s">
        <v>39</v>
      </c>
      <c r="T66" s="7">
        <v>5000000000066</v>
      </c>
      <c r="U66" s="5" t="s">
        <v>268</v>
      </c>
      <c r="V66" s="7">
        <v>5000000000132</v>
      </c>
      <c r="W66" s="5" t="s">
        <v>269</v>
      </c>
      <c r="X66" s="5" t="s">
        <v>34</v>
      </c>
      <c r="Y66" s="5" t="s">
        <v>34</v>
      </c>
      <c r="Z66" s="5" t="s">
        <v>34</v>
      </c>
      <c r="AA66" s="5" t="s">
        <v>34</v>
      </c>
      <c r="AB66" s="5" t="s">
        <v>34</v>
      </c>
      <c r="AC66" s="5" t="s">
        <v>34</v>
      </c>
      <c r="AD66" s="5" t="s">
        <v>34</v>
      </c>
    </row>
    <row r="67" spans="1:30" ht="15.55" x14ac:dyDescent="0.3">
      <c r="A67" s="4">
        <v>1000000000176</v>
      </c>
      <c r="B67" s="5" t="s">
        <v>198</v>
      </c>
      <c r="C67" s="4">
        <v>3000000000830</v>
      </c>
      <c r="D67" s="5" t="s">
        <v>199</v>
      </c>
      <c r="E67" s="5" t="s">
        <v>62</v>
      </c>
      <c r="F67" s="5" t="s">
        <v>63</v>
      </c>
      <c r="G67" s="10" cm="1">
        <f t="array" ref="G67">IF(OR($A67="",$L67=""),"",_xlfn.LET(_xlpm.cat,UPPER($E67),_xlpm.wt,IFERROR(VALUE(LEFT($L67,FIND(" ",$L67&amp;" ")-1)),$L67),_xlpm.ppk,_xlfn.SWITCH(TRUE,_xlpm.cat="GAMEFOWL",62,_xlpm.cat="POULTRY",45,_xlpm.cat="SWINE",48,_xlpm.cat="HOGS",48,_xlpm.cat="RABBIT",40,45),_xlpm.code,IFERROR(VALUE(LEFT($A67,FIND(" ",$A67&amp;" ")-1)),0),_xlpm.v,1+MOD(_xlpm.code,13)/100,ROUND(_xlpm.ppk*_xlpm.wt*_xlpm.v,0)))</f>
        <v>2430</v>
      </c>
      <c r="H67" s="6" cm="1">
        <f t="array" ref="H67">IF(OR($A67="",$L67=""),"",_xlfn.LET(_xlpm.cat,UPPER($E67),_xlpm.base,_xlfn.SWITCH(TRUE,_xlpm.cat="GAMEFOWL",0.22,_xlpm.cat="POULTRY",0.18,_xlpm.cat="SWINE",0.16,_xlpm.cat="HOGS",0.16,_xlpm.cat="RABBIT",0.15,0.17),_xlpm.code,IFERROR(VALUE(LEFT($A67,FIND(" ",$A67&amp;" ")-1)),0),_xlpm.v,MOD(_xlpm.code,9)/1000,MIN(0.3,MAX(0.1,_xlpm.base+_xlpm.v))))</f>
        <v>0.186</v>
      </c>
      <c r="I67" s="5" t="s">
        <v>64</v>
      </c>
      <c r="J67" s="5">
        <v>4</v>
      </c>
      <c r="K67" s="5">
        <v>0.33</v>
      </c>
      <c r="L67" s="5">
        <v>50</v>
      </c>
      <c r="M67" s="5">
        <v>4</v>
      </c>
      <c r="N67" s="5">
        <v>2</v>
      </c>
      <c r="O67" s="5">
        <v>2</v>
      </c>
      <c r="Q67" s="5" t="s">
        <v>34</v>
      </c>
      <c r="R67" s="5" t="s">
        <v>34</v>
      </c>
      <c r="S67" s="5" t="s">
        <v>39</v>
      </c>
      <c r="T67" s="7">
        <v>5000000000573</v>
      </c>
      <c r="U67" s="5" t="s">
        <v>200</v>
      </c>
      <c r="V67" s="7">
        <v>5000000001531</v>
      </c>
      <c r="W67" s="5" t="s">
        <v>201</v>
      </c>
      <c r="X67" s="5" t="s">
        <v>34</v>
      </c>
      <c r="Y67" s="5" t="s">
        <v>34</v>
      </c>
      <c r="Z67" s="5" t="s">
        <v>34</v>
      </c>
      <c r="AA67" s="5">
        <v>7.993105429787235</v>
      </c>
      <c r="AB67" s="5" t="s">
        <v>34</v>
      </c>
      <c r="AC67" s="5" t="s">
        <v>34</v>
      </c>
      <c r="AD67" s="5" t="s">
        <v>34</v>
      </c>
    </row>
    <row r="68" spans="1:30" ht="15.55" x14ac:dyDescent="0.3">
      <c r="A68" s="4">
        <v>1000000001494</v>
      </c>
      <c r="B68" s="5" t="s">
        <v>60</v>
      </c>
      <c r="C68" s="4">
        <v>3000000000393</v>
      </c>
      <c r="D68" s="5" t="s">
        <v>61</v>
      </c>
      <c r="E68" s="5" t="s">
        <v>62</v>
      </c>
      <c r="F68" s="5" t="s">
        <v>63</v>
      </c>
      <c r="G68" s="10" cm="1">
        <f t="array" ref="G68">IF(OR($A68="",$L68=""),"",_xlfn.LET(_xlpm.cat,UPPER($E68),_xlpm.wt,IFERROR(VALUE(LEFT($L68,FIND(" ",$L68&amp;" ")-1)),$L68),_xlpm.ppk,_xlfn.SWITCH(TRUE,_xlpm.cat="GAMEFOWL",62,_xlpm.cat="POULTRY",45,_xlpm.cat="SWINE",48,_xlpm.cat="HOGS",48,_xlpm.cat="RABBIT",40,45),_xlpm.code,IFERROR(VALUE(LEFT($A68,FIND(" ",$A68&amp;" ")-1)),0),_xlpm.v,1+MOD(_xlpm.code,13)/100,ROUND(_xlpm.ppk*_xlpm.wt*_xlpm.v,0)))</f>
        <v>2250</v>
      </c>
      <c r="H68" s="6" cm="1">
        <f t="array" ref="H68">IF(OR($A68="",$L68=""),"",_xlfn.LET(_xlpm.cat,UPPER($E68),_xlpm.base,_xlfn.SWITCH(TRUE,_xlpm.cat="GAMEFOWL",0.22,_xlpm.cat="POULTRY",0.18,_xlpm.cat="SWINE",0.16,_xlpm.cat="HOGS",0.16,_xlpm.cat="RABBIT",0.15,0.17),_xlpm.code,IFERROR(VALUE(LEFT($A68,FIND(" ",$A68&amp;" ")-1)),0),_xlpm.v,MOD(_xlpm.code,9)/1000,MIN(0.3,MAX(0.1,_xlpm.base+_xlpm.v))))</f>
        <v>0.18099999999999999</v>
      </c>
      <c r="I68" s="5" t="s">
        <v>64</v>
      </c>
      <c r="J68" s="5">
        <v>4</v>
      </c>
      <c r="K68" s="5">
        <v>0.33</v>
      </c>
      <c r="L68" s="5">
        <v>50</v>
      </c>
      <c r="M68" s="5">
        <v>4</v>
      </c>
      <c r="N68" s="5">
        <v>2</v>
      </c>
      <c r="O68" s="5">
        <v>2</v>
      </c>
      <c r="Q68" s="5" t="s">
        <v>34</v>
      </c>
      <c r="R68" s="5" t="s">
        <v>34</v>
      </c>
      <c r="S68" s="5" t="s">
        <v>39</v>
      </c>
      <c r="T68" s="7">
        <v>5000000000008</v>
      </c>
      <c r="U68" s="5" t="s">
        <v>65</v>
      </c>
      <c r="V68" s="7">
        <v>5000000000674</v>
      </c>
      <c r="W68" s="5" t="s">
        <v>66</v>
      </c>
      <c r="X68" s="5" t="s">
        <v>34</v>
      </c>
      <c r="Y68" s="5" t="s">
        <v>34</v>
      </c>
      <c r="Z68" s="5" t="s">
        <v>34</v>
      </c>
      <c r="AA68" s="5">
        <v>8.3128253458483758</v>
      </c>
      <c r="AB68" s="5" t="s">
        <v>34</v>
      </c>
      <c r="AC68" s="5" t="s">
        <v>34</v>
      </c>
      <c r="AD68" s="5" t="s">
        <v>34</v>
      </c>
    </row>
    <row r="69" spans="1:30" ht="15.55" x14ac:dyDescent="0.3">
      <c r="A69" s="4">
        <v>1000000001446</v>
      </c>
      <c r="B69" s="5" t="s">
        <v>270</v>
      </c>
      <c r="C69" s="4">
        <v>3000000000252</v>
      </c>
      <c r="D69" s="5" t="s">
        <v>271</v>
      </c>
      <c r="E69" s="5" t="s">
        <v>86</v>
      </c>
      <c r="F69" s="5" t="s">
        <v>63</v>
      </c>
      <c r="G69" s="10" cm="1">
        <f t="array" ref="G69">IF(OR($A69="",$L69=""),"",_xlfn.LET(_xlpm.cat,UPPER($E69),_xlpm.wt,IFERROR(VALUE(LEFT($L69,FIND(" ",$L69&amp;" ")-1)),$L69),_xlpm.ppk,_xlfn.SWITCH(TRUE,_xlpm.cat="GAMEFOWL",62,_xlpm.cat="POULTRY",45,_xlpm.cat="SWINE",48,_xlpm.cat="HOGS",48,_xlpm.cat="RABBIT",40,45),_xlpm.code,IFERROR(VALUE(LEFT($A69,FIND(" ",$A69&amp;" ")-1)),0),_xlpm.v,1+MOD(_xlpm.code,13)/100,ROUND(_xlpm.ppk*_xlpm.wt*_xlpm.v,0)))</f>
        <v>3224</v>
      </c>
      <c r="H69" s="6" cm="1">
        <f t="array" ref="H69">IF(OR($A69="",$L69=""),"",_xlfn.LET(_xlpm.cat,UPPER($E69),_xlpm.base,_xlfn.SWITCH(TRUE,_xlpm.cat="GAMEFOWL",0.22,_xlpm.cat="POULTRY",0.18,_xlpm.cat="SWINE",0.16,_xlpm.cat="HOGS",0.16,_xlpm.cat="RABBIT",0.15,0.17),_xlpm.code,IFERROR(VALUE(LEFT($A69,FIND(" ",$A69&amp;" ")-1)),0),_xlpm.v,MOD(_xlpm.code,9)/1000,MIN(0.3,MAX(0.1,_xlpm.base+_xlpm.v))))</f>
        <v>0.22700000000000001</v>
      </c>
      <c r="I69" s="5" t="s">
        <v>139</v>
      </c>
      <c r="J69" s="5">
        <v>3</v>
      </c>
      <c r="K69" s="5">
        <v>0.17</v>
      </c>
      <c r="L69" s="5">
        <v>50</v>
      </c>
      <c r="M69" s="5">
        <v>4</v>
      </c>
      <c r="N69" s="5">
        <v>2</v>
      </c>
      <c r="O69" s="5">
        <v>2</v>
      </c>
      <c r="Q69" s="5" t="s">
        <v>34</v>
      </c>
      <c r="R69" s="5" t="s">
        <v>34</v>
      </c>
      <c r="S69" s="5" t="s">
        <v>34</v>
      </c>
      <c r="T69" s="7" t="s">
        <v>34</v>
      </c>
      <c r="U69" s="5" t="s">
        <v>34</v>
      </c>
      <c r="V69" s="7" t="s">
        <v>34</v>
      </c>
      <c r="W69" s="5" t="s">
        <v>34</v>
      </c>
      <c r="X69" s="5" t="s">
        <v>34</v>
      </c>
      <c r="Y69" s="5" t="s">
        <v>34</v>
      </c>
      <c r="Z69" s="5" t="s">
        <v>34</v>
      </c>
      <c r="AA69" s="5" t="s">
        <v>34</v>
      </c>
      <c r="AB69" s="5" t="s">
        <v>34</v>
      </c>
      <c r="AC69" s="5" t="s">
        <v>34</v>
      </c>
      <c r="AD69" s="5" t="s">
        <v>34</v>
      </c>
    </row>
    <row r="70" spans="1:30" ht="15.55" x14ac:dyDescent="0.3">
      <c r="A70" s="4">
        <v>1000000001474</v>
      </c>
      <c r="B70" s="5" t="s">
        <v>272</v>
      </c>
      <c r="C70" s="4">
        <v>3000000000065</v>
      </c>
      <c r="D70" s="5" t="s">
        <v>273</v>
      </c>
      <c r="E70" s="5" t="s">
        <v>86</v>
      </c>
      <c r="F70" s="5" t="s">
        <v>63</v>
      </c>
      <c r="G70" s="10" cm="1">
        <f t="array" ref="G70">IF(OR($A70="",$L70=""),"",_xlfn.LET(_xlpm.cat,UPPER($E70),_xlpm.wt,IFERROR(VALUE(LEFT($L70,FIND(" ",$L70&amp;" ")-1)),$L70),_xlpm.ppk,_xlfn.SWITCH(TRUE,_xlpm.cat="GAMEFOWL",62,_xlpm.cat="POULTRY",45,_xlpm.cat="SWINE",48,_xlpm.cat="HOGS",48,_xlpm.cat="RABBIT",40,45),_xlpm.code,IFERROR(VALUE(LEFT($A70,FIND(" ",$A70&amp;" ")-1)),0),_xlpm.v,1+MOD(_xlpm.code,13)/100,ROUND(_xlpm.ppk*_xlpm.wt*_xlpm.v,0)))</f>
        <v>1643</v>
      </c>
      <c r="H70" s="6" cm="1">
        <f t="array" ref="H70">IF(OR($A70="",$L70=""),"",_xlfn.LET(_xlpm.cat,UPPER($E70),_xlpm.base,_xlfn.SWITCH(TRUE,_xlpm.cat="GAMEFOWL",0.22,_xlpm.cat="POULTRY",0.18,_xlpm.cat="SWINE",0.16,_xlpm.cat="HOGS",0.16,_xlpm.cat="RABBIT",0.15,0.17),_xlpm.code,IFERROR(VALUE(LEFT($A70,FIND(" ",$A70&amp;" ")-1)),0),_xlpm.v,MOD(_xlpm.code,9)/1000,MIN(0.3,MAX(0.1,_xlpm.base+_xlpm.v))))</f>
        <v>0.22800000000000001</v>
      </c>
      <c r="I70" s="5" t="s">
        <v>139</v>
      </c>
      <c r="J70" s="5">
        <v>3</v>
      </c>
      <c r="K70" s="5">
        <v>0.17</v>
      </c>
      <c r="L70" s="5">
        <v>25</v>
      </c>
      <c r="M70" s="5">
        <v>3</v>
      </c>
      <c r="N70" s="5">
        <v>2</v>
      </c>
      <c r="O70" s="5">
        <v>2</v>
      </c>
      <c r="Q70" s="5" t="s">
        <v>34</v>
      </c>
      <c r="R70" s="5" t="s">
        <v>34</v>
      </c>
      <c r="S70" s="5" t="s">
        <v>39</v>
      </c>
      <c r="T70" s="7">
        <v>5000000000665</v>
      </c>
      <c r="U70" s="5" t="s">
        <v>274</v>
      </c>
      <c r="V70" s="7">
        <v>5000000000130</v>
      </c>
      <c r="W70" s="5" t="s">
        <v>119</v>
      </c>
      <c r="X70" s="5">
        <v>18.839799390629491</v>
      </c>
      <c r="Y70" s="5" t="s">
        <v>34</v>
      </c>
      <c r="Z70" s="5" t="s">
        <v>34</v>
      </c>
      <c r="AA70" s="5" t="s">
        <v>34</v>
      </c>
      <c r="AB70" s="5" t="s">
        <v>34</v>
      </c>
      <c r="AC70" s="5" t="s">
        <v>34</v>
      </c>
      <c r="AD70" s="5" t="s">
        <v>34</v>
      </c>
    </row>
    <row r="71" spans="1:30" ht="15.55" x14ac:dyDescent="0.3">
      <c r="A71" s="4">
        <v>1000000001413</v>
      </c>
      <c r="B71" s="5" t="s">
        <v>275</v>
      </c>
      <c r="C71" s="4">
        <v>3000000000065</v>
      </c>
      <c r="D71" s="5" t="s">
        <v>273</v>
      </c>
      <c r="E71" s="5" t="s">
        <v>86</v>
      </c>
      <c r="F71" s="5" t="s">
        <v>63</v>
      </c>
      <c r="G71" s="10" cm="1">
        <f t="array" ref="G71">IF(OR($A71="",$L71=""),"",_xlfn.LET(_xlpm.cat,UPPER($E71),_xlpm.wt,IFERROR(VALUE(LEFT($L71,FIND(" ",$L71&amp;" ")-1)),$L71),_xlpm.ppk,_xlfn.SWITCH(TRUE,_xlpm.cat="GAMEFOWL",62,_xlpm.cat="POULTRY",45,_xlpm.cat="SWINE",48,_xlpm.cat="HOGS",48,_xlpm.cat="RABBIT",40,45),_xlpm.code,IFERROR(VALUE(LEFT($A71,FIND(" ",$A71&amp;" ")-1)),0),_xlpm.v,1+MOD(_xlpm.code,13)/100,ROUND(_xlpm.ppk*_xlpm.wt*_xlpm.v,0)))</f>
        <v>3410</v>
      </c>
      <c r="H71" s="6" cm="1">
        <f t="array" ref="H71">IF(OR($A71="",$L71=""),"",_xlfn.LET(_xlpm.cat,UPPER($E71),_xlpm.base,_xlfn.SWITCH(TRUE,_xlpm.cat="GAMEFOWL",0.22,_xlpm.cat="POULTRY",0.18,_xlpm.cat="SWINE",0.16,_xlpm.cat="HOGS",0.16,_xlpm.cat="RABBIT",0.15,0.17),_xlpm.code,IFERROR(VALUE(LEFT($A71,FIND(" ",$A71&amp;" ")-1)),0),_xlpm.v,MOD(_xlpm.code,9)/1000,MIN(0.3,MAX(0.1,_xlpm.base+_xlpm.v))))</f>
        <v>0.221</v>
      </c>
      <c r="I71" s="5" t="s">
        <v>139</v>
      </c>
      <c r="J71" s="5">
        <v>3</v>
      </c>
      <c r="K71" s="5">
        <v>0.17</v>
      </c>
      <c r="L71" s="5">
        <v>50</v>
      </c>
      <c r="M71" s="5">
        <v>3</v>
      </c>
      <c r="N71" s="5">
        <v>2</v>
      </c>
      <c r="O71" s="5">
        <v>2</v>
      </c>
      <c r="Q71" s="5" t="s">
        <v>34</v>
      </c>
      <c r="R71" s="5" t="s">
        <v>34</v>
      </c>
      <c r="S71" s="5" t="s">
        <v>34</v>
      </c>
      <c r="T71" s="7" t="s">
        <v>34</v>
      </c>
      <c r="U71" s="5" t="s">
        <v>34</v>
      </c>
      <c r="V71" s="7" t="s">
        <v>34</v>
      </c>
      <c r="W71" s="5" t="s">
        <v>34</v>
      </c>
      <c r="X71" s="5">
        <v>18.839799390629491</v>
      </c>
      <c r="Y71" s="5" t="s">
        <v>34</v>
      </c>
      <c r="Z71" s="5" t="s">
        <v>34</v>
      </c>
      <c r="AA71" s="5" t="s">
        <v>34</v>
      </c>
      <c r="AB71" s="5" t="s">
        <v>34</v>
      </c>
      <c r="AC71" s="5" t="s">
        <v>34</v>
      </c>
      <c r="AD71" s="5" t="s">
        <v>34</v>
      </c>
    </row>
    <row r="72" spans="1:30" ht="15.55" x14ac:dyDescent="0.3">
      <c r="A72" s="4">
        <v>1000000001414</v>
      </c>
      <c r="B72" s="5" t="s">
        <v>276</v>
      </c>
      <c r="C72" s="4">
        <v>3000000000067</v>
      </c>
      <c r="D72" s="5" t="s">
        <v>277</v>
      </c>
      <c r="E72" s="5" t="s">
        <v>86</v>
      </c>
      <c r="F72" s="5" t="s">
        <v>63</v>
      </c>
      <c r="G72" s="10" cm="1">
        <f t="array" ref="G72">IF(OR($A72="",$L72=""),"",_xlfn.LET(_xlpm.cat,UPPER($E72),_xlpm.wt,IFERROR(VALUE(LEFT($L72,FIND(" ",$L72&amp;" ")-1)),$L72),_xlpm.ppk,_xlfn.SWITCH(TRUE,_xlpm.cat="GAMEFOWL",62,_xlpm.cat="POULTRY",45,_xlpm.cat="SWINE",48,_xlpm.cat="HOGS",48,_xlpm.cat="RABBIT",40,45),_xlpm.code,IFERROR(VALUE(LEFT($A72,FIND(" ",$A72&amp;" ")-1)),0),_xlpm.v,1+MOD(_xlpm.code,13)/100,ROUND(_xlpm.ppk*_xlpm.wt*_xlpm.v,0)))</f>
        <v>3441</v>
      </c>
      <c r="H72" s="6" cm="1">
        <f t="array" ref="H72">IF(OR($A72="",$L72=""),"",_xlfn.LET(_xlpm.cat,UPPER($E72),_xlpm.base,_xlfn.SWITCH(TRUE,_xlpm.cat="GAMEFOWL",0.22,_xlpm.cat="POULTRY",0.18,_xlpm.cat="SWINE",0.16,_xlpm.cat="HOGS",0.16,_xlpm.cat="RABBIT",0.15,0.17),_xlpm.code,IFERROR(VALUE(LEFT($A72,FIND(" ",$A72&amp;" ")-1)),0),_xlpm.v,MOD(_xlpm.code,9)/1000,MIN(0.3,MAX(0.1,_xlpm.base+_xlpm.v))))</f>
        <v>0.222</v>
      </c>
      <c r="I72" s="5" t="s">
        <v>139</v>
      </c>
      <c r="J72" s="5">
        <v>3</v>
      </c>
      <c r="K72" s="5">
        <v>0.17</v>
      </c>
      <c r="L72" s="5">
        <v>50</v>
      </c>
      <c r="M72" s="5">
        <v>4</v>
      </c>
      <c r="N72" s="5">
        <v>2</v>
      </c>
      <c r="O72" s="5">
        <v>2</v>
      </c>
      <c r="Q72" s="5" t="s">
        <v>34</v>
      </c>
      <c r="R72" s="5" t="s">
        <v>34</v>
      </c>
      <c r="S72" s="5" t="s">
        <v>34</v>
      </c>
      <c r="T72" s="7" t="s">
        <v>34</v>
      </c>
      <c r="U72" s="5" t="s">
        <v>34</v>
      </c>
      <c r="V72" s="7" t="s">
        <v>34</v>
      </c>
      <c r="W72" s="5" t="s">
        <v>34</v>
      </c>
      <c r="X72" s="5">
        <v>18.195462301761221</v>
      </c>
      <c r="Y72" s="5" t="s">
        <v>34</v>
      </c>
      <c r="Z72" s="5" t="s">
        <v>34</v>
      </c>
      <c r="AA72" s="5" t="s">
        <v>34</v>
      </c>
      <c r="AB72" s="5" t="s">
        <v>34</v>
      </c>
      <c r="AC72" s="5" t="s">
        <v>34</v>
      </c>
      <c r="AD72" s="5" t="s">
        <v>34</v>
      </c>
    </row>
    <row r="73" spans="1:30" ht="15.55" x14ac:dyDescent="0.3">
      <c r="A73" s="4">
        <v>1000000001494</v>
      </c>
      <c r="B73" s="5" t="s">
        <v>60</v>
      </c>
      <c r="C73" s="4">
        <v>3000000000393</v>
      </c>
      <c r="D73" s="5" t="s">
        <v>61</v>
      </c>
      <c r="E73" s="5" t="s">
        <v>62</v>
      </c>
      <c r="F73" s="5" t="s">
        <v>63</v>
      </c>
      <c r="G73" s="10" cm="1">
        <f t="array" ref="G73">IF(OR($A73="",$L73=""),"",_xlfn.LET(_xlpm.cat,UPPER($E73),_xlpm.wt,IFERROR(VALUE(LEFT($L73,FIND(" ",$L73&amp;" ")-1)),$L73),_xlpm.ppk,_xlfn.SWITCH(TRUE,_xlpm.cat="GAMEFOWL",62,_xlpm.cat="POULTRY",45,_xlpm.cat="SWINE",48,_xlpm.cat="HOGS",48,_xlpm.cat="RABBIT",40,45),_xlpm.code,IFERROR(VALUE(LEFT($A73,FIND(" ",$A73&amp;" ")-1)),0),_xlpm.v,1+MOD(_xlpm.code,13)/100,ROUND(_xlpm.ppk*_xlpm.wt*_xlpm.v,0)))</f>
        <v>2250</v>
      </c>
      <c r="H73" s="6" cm="1">
        <f t="array" ref="H73">IF(OR($A73="",$L73=""),"",_xlfn.LET(_xlpm.cat,UPPER($E73),_xlpm.base,_xlfn.SWITCH(TRUE,_xlpm.cat="GAMEFOWL",0.22,_xlpm.cat="POULTRY",0.18,_xlpm.cat="SWINE",0.16,_xlpm.cat="HOGS",0.16,_xlpm.cat="RABBIT",0.15,0.17),_xlpm.code,IFERROR(VALUE(LEFT($A73,FIND(" ",$A73&amp;" ")-1)),0),_xlpm.v,MOD(_xlpm.code,9)/1000,MIN(0.3,MAX(0.1,_xlpm.base+_xlpm.v))))</f>
        <v>0.18099999999999999</v>
      </c>
      <c r="I73" s="5" t="s">
        <v>64</v>
      </c>
      <c r="J73" s="5">
        <v>4</v>
      </c>
      <c r="K73" s="5">
        <v>0.33</v>
      </c>
      <c r="L73" s="5">
        <v>50</v>
      </c>
      <c r="M73" s="5">
        <v>4</v>
      </c>
      <c r="N73" s="5">
        <v>2</v>
      </c>
      <c r="O73" s="5">
        <v>2</v>
      </c>
      <c r="Q73" s="5" t="s">
        <v>34</v>
      </c>
      <c r="R73" s="5" t="s">
        <v>34</v>
      </c>
      <c r="S73" s="5" t="s">
        <v>39</v>
      </c>
      <c r="T73" s="7">
        <v>5000000000008</v>
      </c>
      <c r="U73" s="5" t="s">
        <v>65</v>
      </c>
      <c r="V73" s="7">
        <v>5000000000674</v>
      </c>
      <c r="W73" s="5" t="s">
        <v>66</v>
      </c>
      <c r="X73" s="5" t="s">
        <v>34</v>
      </c>
      <c r="Y73" s="5" t="s">
        <v>34</v>
      </c>
      <c r="Z73" s="5" t="s">
        <v>34</v>
      </c>
      <c r="AA73" s="5">
        <v>8.3128253458483758</v>
      </c>
      <c r="AB73" s="5" t="s">
        <v>34</v>
      </c>
      <c r="AC73" s="5" t="s">
        <v>34</v>
      </c>
      <c r="AD73" s="5" t="s">
        <v>34</v>
      </c>
    </row>
    <row r="74" spans="1:30" ht="15.55" x14ac:dyDescent="0.3">
      <c r="A74" s="4">
        <v>1000000001497</v>
      </c>
      <c r="B74" s="5" t="s">
        <v>278</v>
      </c>
      <c r="C74" s="4">
        <v>3000000000399</v>
      </c>
      <c r="D74" s="5" t="s">
        <v>279</v>
      </c>
      <c r="E74" s="5" t="s">
        <v>62</v>
      </c>
      <c r="F74" s="5" t="s">
        <v>63</v>
      </c>
      <c r="G74" s="10" cm="1">
        <f t="array" ref="G74">IF(OR($A74="",$L74=""),"",_xlfn.LET(_xlpm.cat,UPPER($E74),_xlpm.wt,IFERROR(VALUE(LEFT($L74,FIND(" ",$L74&amp;" ")-1)),$L74),_xlpm.ppk,_xlfn.SWITCH(TRUE,_xlpm.cat="GAMEFOWL",62,_xlpm.cat="POULTRY",45,_xlpm.cat="SWINE",48,_xlpm.cat="HOGS",48,_xlpm.cat="RABBIT",40,45),_xlpm.code,IFERROR(VALUE(LEFT($A74,FIND(" ",$A74&amp;" ")-1)),0),_xlpm.v,1+MOD(_xlpm.code,13)/100,ROUND(_xlpm.ppk*_xlpm.wt*_xlpm.v,0)))</f>
        <v>2318</v>
      </c>
      <c r="H74" s="6" cm="1">
        <f t="array" ref="H74">IF(OR($A74="",$L74=""),"",_xlfn.LET(_xlpm.cat,UPPER($E74),_xlpm.base,_xlfn.SWITCH(TRUE,_xlpm.cat="GAMEFOWL",0.22,_xlpm.cat="POULTRY",0.18,_xlpm.cat="SWINE",0.16,_xlpm.cat="HOGS",0.16,_xlpm.cat="RABBIT",0.15,0.17),_xlpm.code,IFERROR(VALUE(LEFT($A74,FIND(" ",$A74&amp;" ")-1)),0),_xlpm.v,MOD(_xlpm.code,9)/1000,MIN(0.3,MAX(0.1,_xlpm.base+_xlpm.v))))</f>
        <v>0.184</v>
      </c>
      <c r="I74" s="5" t="s">
        <v>77</v>
      </c>
      <c r="J74" s="5">
        <v>4</v>
      </c>
      <c r="K74" s="5">
        <v>0.33</v>
      </c>
      <c r="L74" s="5">
        <v>50</v>
      </c>
      <c r="M74" s="5">
        <v>4</v>
      </c>
      <c r="N74" s="5">
        <v>2</v>
      </c>
      <c r="O74" s="5">
        <v>2</v>
      </c>
      <c r="Q74" s="5" t="s">
        <v>34</v>
      </c>
      <c r="R74" s="5" t="s">
        <v>34</v>
      </c>
      <c r="S74" s="5" t="s">
        <v>39</v>
      </c>
      <c r="T74" s="7">
        <v>5000000000548</v>
      </c>
      <c r="U74" s="5" t="s">
        <v>280</v>
      </c>
      <c r="V74" s="7">
        <v>5000000000676</v>
      </c>
      <c r="W74" s="5" t="s">
        <v>281</v>
      </c>
      <c r="X74" s="5" t="s">
        <v>34</v>
      </c>
      <c r="Y74" s="5" t="s">
        <v>34</v>
      </c>
      <c r="Z74" s="5">
        <v>7.7236435862068973</v>
      </c>
      <c r="AA74" s="5">
        <v>8.6042009157667394</v>
      </c>
      <c r="AB74" s="5" t="s">
        <v>34</v>
      </c>
      <c r="AC74" s="5">
        <v>8.0800880784242182</v>
      </c>
      <c r="AD74" s="5" t="s">
        <v>34</v>
      </c>
    </row>
    <row r="75" spans="1:30" ht="15.55" x14ac:dyDescent="0.3">
      <c r="A75" s="4">
        <v>1000000000011</v>
      </c>
      <c r="B75" s="5" t="s">
        <v>282</v>
      </c>
      <c r="C75" s="4">
        <v>3000000000330</v>
      </c>
      <c r="D75" s="5" t="s">
        <v>283</v>
      </c>
      <c r="E75" s="5" t="s">
        <v>62</v>
      </c>
      <c r="F75" s="5" t="s">
        <v>63</v>
      </c>
      <c r="G75" s="10" cm="1">
        <f t="array" ref="G75">IF(OR($A75="",$L75=""),"",_xlfn.LET(_xlpm.cat,UPPER($E75),_xlpm.wt,IFERROR(VALUE(LEFT($L75,FIND(" ",$L75&amp;" ")-1)),$L75),_xlpm.ppk,_xlfn.SWITCH(TRUE,_xlpm.cat="GAMEFOWL",62,_xlpm.cat="POULTRY",45,_xlpm.cat="SWINE",48,_xlpm.cat="HOGS",48,_xlpm.cat="RABBIT",40,45),_xlpm.code,IFERROR(VALUE(LEFT($A75,FIND(" ",$A75&amp;" ")-1)),0),_xlpm.v,1+MOD(_xlpm.code,13)/100,ROUND(_xlpm.ppk*_xlpm.wt*_xlpm.v,0)))</f>
        <v>2520</v>
      </c>
      <c r="H75" s="6" cm="1">
        <f t="array" ref="H75">IF(OR($A75="",$L75=""),"",_xlfn.LET(_xlpm.cat,UPPER($E75),_xlpm.base,_xlfn.SWITCH(TRUE,_xlpm.cat="GAMEFOWL",0.22,_xlpm.cat="POULTRY",0.18,_xlpm.cat="SWINE",0.16,_xlpm.cat="HOGS",0.16,_xlpm.cat="RABBIT",0.15,0.17),_xlpm.code,IFERROR(VALUE(LEFT($A75,FIND(" ",$A75&amp;" ")-1)),0),_xlpm.v,MOD(_xlpm.code,9)/1000,MIN(0.3,MAX(0.1,_xlpm.base+_xlpm.v))))</f>
        <v>0.183</v>
      </c>
      <c r="I75" s="5" t="s">
        <v>64</v>
      </c>
      <c r="J75" s="5">
        <v>4</v>
      </c>
      <c r="K75" s="5">
        <v>0.33</v>
      </c>
      <c r="L75" s="5">
        <v>50</v>
      </c>
      <c r="M75" s="5">
        <v>4</v>
      </c>
      <c r="N75" s="5">
        <v>2</v>
      </c>
      <c r="O75" s="5">
        <v>2</v>
      </c>
      <c r="Q75" s="5" t="s">
        <v>284</v>
      </c>
      <c r="R75" s="5" t="s">
        <v>34</v>
      </c>
      <c r="S75" s="5" t="s">
        <v>228</v>
      </c>
      <c r="T75" s="7">
        <v>5000000000557</v>
      </c>
      <c r="U75" s="5" t="s">
        <v>285</v>
      </c>
      <c r="V75" s="7">
        <v>5000000000154</v>
      </c>
      <c r="W75" s="5" t="s">
        <v>286</v>
      </c>
      <c r="X75" s="5" t="s">
        <v>34</v>
      </c>
      <c r="Y75" s="5" t="s">
        <v>34</v>
      </c>
      <c r="Z75" s="5" t="s">
        <v>34</v>
      </c>
      <c r="AA75" s="5">
        <v>8.3932654179324739</v>
      </c>
      <c r="AB75" s="5" t="s">
        <v>34</v>
      </c>
      <c r="AC75" s="5" t="s">
        <v>34</v>
      </c>
      <c r="AD75" s="5" t="s">
        <v>34</v>
      </c>
    </row>
    <row r="76" spans="1:30" ht="15.55" x14ac:dyDescent="0.3">
      <c r="A76" s="4">
        <v>1000000000934</v>
      </c>
      <c r="B76" s="5" t="s">
        <v>287</v>
      </c>
      <c r="C76" s="4">
        <v>3000000000080</v>
      </c>
      <c r="D76" s="5" t="s">
        <v>288</v>
      </c>
      <c r="E76" s="5" t="s">
        <v>86</v>
      </c>
      <c r="F76" s="5" t="s">
        <v>63</v>
      </c>
      <c r="G76" s="10" cm="1">
        <f t="array" ref="G76">IF(OR($A76="",$L76=""),"",_xlfn.LET(_xlpm.cat,UPPER($E76),_xlpm.wt,IFERROR(VALUE(LEFT($L76,FIND(" ",$L76&amp;" ")-1)),$L76),_xlpm.ppk,_xlfn.SWITCH(TRUE,_xlpm.cat="GAMEFOWL",62,_xlpm.cat="POULTRY",45,_xlpm.cat="SWINE",48,_xlpm.cat="HOGS",48,_xlpm.cat="RABBIT",40,45),_xlpm.code,IFERROR(VALUE(LEFT($A76,FIND(" ",$A76&amp;" ")-1)),0),_xlpm.v,1+MOD(_xlpm.code,13)/100,ROUND(_xlpm.ppk*_xlpm.wt*_xlpm.v,0)))</f>
        <v>3472</v>
      </c>
      <c r="H76" s="6" cm="1">
        <f t="array" ref="H76">IF(OR($A76="",$L76=""),"",_xlfn.LET(_xlpm.cat,UPPER($E76),_xlpm.base,_xlfn.SWITCH(TRUE,_xlpm.cat="GAMEFOWL",0.22,_xlpm.cat="POULTRY",0.18,_xlpm.cat="SWINE",0.16,_xlpm.cat="HOGS",0.16,_xlpm.cat="RABBIT",0.15,0.17),_xlpm.code,IFERROR(VALUE(LEFT($A76,FIND(" ",$A76&amp;" ")-1)),0),_xlpm.v,MOD(_xlpm.code,9)/1000,MIN(0.3,MAX(0.1,_xlpm.base+_xlpm.v))))</f>
        <v>0.22800000000000001</v>
      </c>
      <c r="I76" s="5" t="s">
        <v>139</v>
      </c>
      <c r="J76" s="5">
        <v>3</v>
      </c>
      <c r="K76" s="5">
        <v>0.17</v>
      </c>
      <c r="L76" s="5">
        <v>50</v>
      </c>
      <c r="M76" s="5">
        <v>4</v>
      </c>
      <c r="N76" s="5">
        <v>2</v>
      </c>
      <c r="O76" s="5">
        <v>2</v>
      </c>
      <c r="Q76" s="5" t="s">
        <v>34</v>
      </c>
      <c r="R76" s="5" t="s">
        <v>34</v>
      </c>
      <c r="S76" s="5" t="s">
        <v>39</v>
      </c>
      <c r="T76" s="7">
        <v>5000000000669</v>
      </c>
      <c r="U76" s="5" t="s">
        <v>289</v>
      </c>
      <c r="V76" s="7">
        <v>5000000000668</v>
      </c>
      <c r="W76" s="5" t="s">
        <v>290</v>
      </c>
      <c r="X76" s="5">
        <v>19.397075706027227</v>
      </c>
      <c r="Y76" s="5" t="s">
        <v>34</v>
      </c>
      <c r="Z76" s="5" t="s">
        <v>34</v>
      </c>
      <c r="AA76" s="5" t="s">
        <v>34</v>
      </c>
      <c r="AB76" s="5" t="s">
        <v>34</v>
      </c>
      <c r="AC76" s="5" t="s">
        <v>34</v>
      </c>
      <c r="AD76" s="5" t="s">
        <v>34</v>
      </c>
    </row>
    <row r="77" spans="1:30" ht="15.55" x14ac:dyDescent="0.3">
      <c r="A77" s="4">
        <v>1000000001495</v>
      </c>
      <c r="B77" s="5" t="s">
        <v>291</v>
      </c>
      <c r="C77" s="4">
        <v>3000000000395</v>
      </c>
      <c r="D77" s="5" t="s">
        <v>292</v>
      </c>
      <c r="E77" s="5" t="s">
        <v>62</v>
      </c>
      <c r="F77" s="5" t="s">
        <v>63</v>
      </c>
      <c r="G77" s="10" cm="1">
        <f t="array" ref="G77">IF(OR($A77="",$L77=""),"",_xlfn.LET(_xlpm.cat,UPPER($E77),_xlpm.wt,IFERROR(VALUE(LEFT($L77,FIND(" ",$L77&amp;" ")-1)),$L77),_xlpm.ppk,_xlfn.SWITCH(TRUE,_xlpm.cat="GAMEFOWL",62,_xlpm.cat="POULTRY",45,_xlpm.cat="SWINE",48,_xlpm.cat="HOGS",48,_xlpm.cat="RABBIT",40,45),_xlpm.code,IFERROR(VALUE(LEFT($A77,FIND(" ",$A77&amp;" ")-1)),0),_xlpm.v,1+MOD(_xlpm.code,13)/100,ROUND(_xlpm.ppk*_xlpm.wt*_xlpm.v,0)))</f>
        <v>2273</v>
      </c>
      <c r="H77" s="6" cm="1">
        <f t="array" ref="H77">IF(OR($A77="",$L77=""),"",_xlfn.LET(_xlpm.cat,UPPER($E77),_xlpm.base,_xlfn.SWITCH(TRUE,_xlpm.cat="GAMEFOWL",0.22,_xlpm.cat="POULTRY",0.18,_xlpm.cat="SWINE",0.16,_xlpm.cat="HOGS",0.16,_xlpm.cat="RABBIT",0.15,0.17),_xlpm.code,IFERROR(VALUE(LEFT($A77,FIND(" ",$A77&amp;" ")-1)),0),_xlpm.v,MOD(_xlpm.code,9)/1000,MIN(0.3,MAX(0.1,_xlpm.base+_xlpm.v))))</f>
        <v>0.182</v>
      </c>
      <c r="I77" s="5" t="s">
        <v>77</v>
      </c>
      <c r="J77" s="5">
        <v>4</v>
      </c>
      <c r="K77" s="5">
        <v>0.33</v>
      </c>
      <c r="L77" s="5">
        <v>50</v>
      </c>
      <c r="M77" s="5">
        <v>4</v>
      </c>
      <c r="N77" s="5">
        <v>2</v>
      </c>
      <c r="O77" s="5">
        <v>2</v>
      </c>
      <c r="Q77" s="5" t="s">
        <v>34</v>
      </c>
      <c r="R77" s="5" t="s">
        <v>34</v>
      </c>
      <c r="S77" s="5" t="s">
        <v>113</v>
      </c>
      <c r="T77" s="7">
        <v>5000000000545</v>
      </c>
      <c r="U77" s="5" t="s">
        <v>78</v>
      </c>
      <c r="V77" s="7">
        <v>5000000000094</v>
      </c>
      <c r="W77" s="5" t="s">
        <v>79</v>
      </c>
      <c r="X77" s="5" t="s">
        <v>34</v>
      </c>
      <c r="Y77" s="5" t="s">
        <v>34</v>
      </c>
      <c r="Z77" s="5">
        <v>8.2126480095808372</v>
      </c>
      <c r="AA77" s="5" t="s">
        <v>34</v>
      </c>
      <c r="AB77" s="5" t="s">
        <v>34</v>
      </c>
      <c r="AC77" s="5" t="s">
        <v>34</v>
      </c>
      <c r="AD77" s="5">
        <v>8.1853528811374403</v>
      </c>
    </row>
    <row r="78" spans="1:30" ht="15.55" x14ac:dyDescent="0.3">
      <c r="A78" s="4">
        <v>1000000001496</v>
      </c>
      <c r="B78" s="5" t="s">
        <v>293</v>
      </c>
      <c r="C78" s="4">
        <v>3000000000397</v>
      </c>
      <c r="D78" s="5" t="s">
        <v>294</v>
      </c>
      <c r="E78" s="5" t="s">
        <v>62</v>
      </c>
      <c r="F78" s="5" t="s">
        <v>63</v>
      </c>
      <c r="G78" s="10" cm="1">
        <f t="array" ref="G78">IF(OR($A78="",$L78=""),"",_xlfn.LET(_xlpm.cat,UPPER($E78),_xlpm.wt,IFERROR(VALUE(LEFT($L78,FIND(" ",$L78&amp;" ")-1)),$L78),_xlpm.ppk,_xlfn.SWITCH(TRUE,_xlpm.cat="GAMEFOWL",62,_xlpm.cat="POULTRY",45,_xlpm.cat="SWINE",48,_xlpm.cat="HOGS",48,_xlpm.cat="RABBIT",40,45),_xlpm.code,IFERROR(VALUE(LEFT($A78,FIND(" ",$A78&amp;" ")-1)),0),_xlpm.v,1+MOD(_xlpm.code,13)/100,ROUND(_xlpm.ppk*_xlpm.wt*_xlpm.v,0)))</f>
        <v>2295</v>
      </c>
      <c r="H78" s="6" cm="1">
        <f t="array" ref="H78">IF(OR($A78="",$L78=""),"",_xlfn.LET(_xlpm.cat,UPPER($E78),_xlpm.base,_xlfn.SWITCH(TRUE,_xlpm.cat="GAMEFOWL",0.22,_xlpm.cat="POULTRY",0.18,_xlpm.cat="SWINE",0.16,_xlpm.cat="HOGS",0.16,_xlpm.cat="RABBIT",0.15,0.17),_xlpm.code,IFERROR(VALUE(LEFT($A78,FIND(" ",$A78&amp;" ")-1)),0),_xlpm.v,MOD(_xlpm.code,9)/1000,MIN(0.3,MAX(0.1,_xlpm.base+_xlpm.v))))</f>
        <v>0.183</v>
      </c>
      <c r="I78" s="5" t="s">
        <v>106</v>
      </c>
      <c r="J78" s="5">
        <v>4</v>
      </c>
      <c r="K78" s="5">
        <v>0.33</v>
      </c>
      <c r="L78" s="5">
        <v>50</v>
      </c>
      <c r="M78" s="5">
        <v>4</v>
      </c>
      <c r="N78" s="5">
        <v>2</v>
      </c>
      <c r="O78" s="5">
        <v>2</v>
      </c>
      <c r="Q78" s="5" t="s">
        <v>34</v>
      </c>
      <c r="R78" s="5" t="s">
        <v>34</v>
      </c>
      <c r="S78" s="5" t="s">
        <v>39</v>
      </c>
      <c r="T78" s="7">
        <v>5000000000546</v>
      </c>
      <c r="U78" s="5" t="s">
        <v>295</v>
      </c>
      <c r="V78" s="7">
        <v>5000000000675</v>
      </c>
      <c r="W78" s="5" t="s">
        <v>296</v>
      </c>
      <c r="X78" s="5" t="s">
        <v>34</v>
      </c>
      <c r="Y78" s="5" t="s">
        <v>34</v>
      </c>
      <c r="Z78" s="5">
        <v>7.1647390389536545</v>
      </c>
      <c r="AA78" s="5">
        <v>7.8445342372881344</v>
      </c>
      <c r="AB78" s="5" t="s">
        <v>34</v>
      </c>
      <c r="AC78" s="5">
        <v>6.9909565616045821</v>
      </c>
      <c r="AD78" s="5" t="s">
        <v>34</v>
      </c>
    </row>
    <row r="79" spans="1:30" ht="15.55" x14ac:dyDescent="0.3">
      <c r="A79" s="4">
        <v>1000000001664</v>
      </c>
      <c r="B79" s="5" t="s">
        <v>297</v>
      </c>
      <c r="C79" s="4">
        <v>3000000000224</v>
      </c>
      <c r="D79" s="5" t="s">
        <v>298</v>
      </c>
      <c r="E79" s="5" t="s">
        <v>31</v>
      </c>
      <c r="F79" s="5" t="s">
        <v>34</v>
      </c>
      <c r="G79" s="10" cm="1">
        <f t="array" ref="G79">IF(OR($A79="",$L79=""),"",_xlfn.LET(_xlpm.cat,UPPER($E79),_xlpm.wt,IFERROR(VALUE(LEFT($L79,FIND(" ",$L79&amp;" ")-1)),$L79),_xlpm.ppk,_xlfn.SWITCH(TRUE,_xlpm.cat="GAMEFOWL",62,_xlpm.cat="POULTRY",45,_xlpm.cat="SWINE",48,_xlpm.cat="HOGS",48,_xlpm.cat="RABBIT",40,45),_xlpm.code,IFERROR(VALUE(LEFT($A79,FIND(" ",$A79&amp;" ")-1)),0),_xlpm.v,1+MOD(_xlpm.code,13)/100,ROUND(_xlpm.ppk*_xlpm.wt*_xlpm.v,0)))</f>
        <v>1212</v>
      </c>
      <c r="H79" s="6" cm="1">
        <f t="array" ref="H79">IF(OR($A79="",$L79=""),"",_xlfn.LET(_xlpm.cat,UPPER($E79),_xlpm.base,_xlfn.SWITCH(TRUE,_xlpm.cat="GAMEFOWL",0.22,_xlpm.cat="POULTRY",0.18,_xlpm.cat="SWINE",0.16,_xlpm.cat="HOGS",0.16,_xlpm.cat="RABBIT",0.15,0.17),_xlpm.code,IFERROR(VALUE(LEFT($A79,FIND(" ",$A79&amp;" ")-1)),0),_xlpm.v,MOD(_xlpm.code,9)/1000,MIN(0.3,MAX(0.1,_xlpm.base+_xlpm.v))))</f>
        <v>0.16</v>
      </c>
      <c r="I79" s="5" t="s">
        <v>57</v>
      </c>
      <c r="K79" s="5">
        <v>0</v>
      </c>
      <c r="L79" s="5">
        <v>25</v>
      </c>
      <c r="M79" s="5">
        <v>2</v>
      </c>
      <c r="N79" s="5">
        <v>2</v>
      </c>
      <c r="O79" s="5">
        <v>2</v>
      </c>
      <c r="Q79" s="5">
        <v>1664</v>
      </c>
      <c r="R79" s="5" t="s">
        <v>34</v>
      </c>
      <c r="S79" s="5" t="s">
        <v>222</v>
      </c>
      <c r="T79" s="7">
        <v>5000000000055</v>
      </c>
      <c r="U79" s="5" t="s">
        <v>299</v>
      </c>
      <c r="V79" s="7">
        <v>5000000000109</v>
      </c>
      <c r="W79" s="5" t="s">
        <v>300</v>
      </c>
      <c r="X79" s="5" t="s">
        <v>34</v>
      </c>
      <c r="Y79" s="5" t="s">
        <v>34</v>
      </c>
      <c r="Z79" s="5" t="s">
        <v>34</v>
      </c>
      <c r="AA79" s="5" t="s">
        <v>34</v>
      </c>
      <c r="AB79" s="5" t="s">
        <v>34</v>
      </c>
      <c r="AC79" s="5" t="s">
        <v>34</v>
      </c>
      <c r="AD79" s="5" t="s">
        <v>34</v>
      </c>
    </row>
    <row r="80" spans="1:30" ht="15.55" x14ac:dyDescent="0.3">
      <c r="A80" s="4">
        <v>1000000001260</v>
      </c>
      <c r="B80" s="5" t="s">
        <v>301</v>
      </c>
      <c r="C80" s="4">
        <v>3000000000228</v>
      </c>
      <c r="D80" s="5" t="s">
        <v>302</v>
      </c>
      <c r="E80" s="5" t="s">
        <v>31</v>
      </c>
      <c r="F80" s="5" t="s">
        <v>32</v>
      </c>
      <c r="G80" s="10" cm="1">
        <f t="array" ref="G80">IF(OR($A80="",$L80=""),"",_xlfn.LET(_xlpm.cat,UPPER($E80),_xlpm.wt,IFERROR(VALUE(LEFT($L80,FIND(" ",$L80&amp;" ")-1)),$L80),_xlpm.ppk,_xlfn.SWITCH(TRUE,_xlpm.cat="GAMEFOWL",62,_xlpm.cat="POULTRY",45,_xlpm.cat="SWINE",48,_xlpm.cat="HOGS",48,_xlpm.cat="RABBIT",40,45),_xlpm.code,IFERROR(VALUE(LEFT($A80,FIND(" ",$A80&amp;" ")-1)),0),_xlpm.v,1+MOD(_xlpm.code,13)/100,ROUND(_xlpm.ppk*_xlpm.wt*_xlpm.v,0)))</f>
        <v>2400</v>
      </c>
      <c r="H80" s="6" cm="1">
        <f t="array" ref="H80">IF(OR($A80="",$L80=""),"",_xlfn.LET(_xlpm.cat,UPPER($E80),_xlpm.base,_xlfn.SWITCH(TRUE,_xlpm.cat="GAMEFOWL",0.22,_xlpm.cat="POULTRY",0.18,_xlpm.cat="SWINE",0.16,_xlpm.cat="HOGS",0.16,_xlpm.cat="RABBIT",0.15,0.17),_xlpm.code,IFERROR(VALUE(LEFT($A80,FIND(" ",$A80&amp;" ")-1)),0),_xlpm.v,MOD(_xlpm.code,9)/1000,MIN(0.3,MAX(0.1,_xlpm.base+_xlpm.v))))</f>
        <v>0.161</v>
      </c>
      <c r="I80" s="5" t="s">
        <v>33</v>
      </c>
      <c r="J80" s="5">
        <v>4</v>
      </c>
      <c r="K80" s="5">
        <v>0.17</v>
      </c>
      <c r="L80" s="5">
        <v>50</v>
      </c>
      <c r="M80" s="5">
        <v>4</v>
      </c>
      <c r="N80" s="5">
        <v>2</v>
      </c>
      <c r="O80" s="5">
        <v>2</v>
      </c>
      <c r="Q80" s="5" t="s">
        <v>34</v>
      </c>
      <c r="R80" s="5" t="s">
        <v>34</v>
      </c>
      <c r="S80" s="5" t="s">
        <v>34</v>
      </c>
      <c r="T80" s="7" t="s">
        <v>34</v>
      </c>
      <c r="U80" s="5" t="s">
        <v>34</v>
      </c>
      <c r="V80" s="7" t="s">
        <v>34</v>
      </c>
      <c r="W80" s="5" t="s">
        <v>34</v>
      </c>
      <c r="X80" s="5" t="s">
        <v>34</v>
      </c>
      <c r="Y80" s="5" t="s">
        <v>34</v>
      </c>
      <c r="Z80" s="5" t="s">
        <v>34</v>
      </c>
      <c r="AA80" s="5" t="s">
        <v>34</v>
      </c>
      <c r="AB80" s="5" t="s">
        <v>34</v>
      </c>
      <c r="AC80" s="5" t="s">
        <v>34</v>
      </c>
      <c r="AD80" s="5" t="s">
        <v>34</v>
      </c>
    </row>
    <row r="81" spans="1:30" ht="15.55" x14ac:dyDescent="0.3">
      <c r="A81" s="4">
        <v>1000000000958</v>
      </c>
      <c r="B81" s="5" t="s">
        <v>303</v>
      </c>
      <c r="C81" s="4">
        <v>3000000000595</v>
      </c>
      <c r="D81" s="5" t="s">
        <v>304</v>
      </c>
      <c r="E81" s="5" t="s">
        <v>31</v>
      </c>
      <c r="F81" s="5" t="s">
        <v>32</v>
      </c>
      <c r="G81" s="10" cm="1">
        <f t="array" ref="G81">IF(OR($A81="",$L81=""),"",_xlfn.LET(_xlpm.cat,UPPER($E81),_xlpm.wt,IFERROR(VALUE(LEFT($L81,FIND(" ",$L81&amp;" ")-1)),$L81),_xlpm.ppk,_xlfn.SWITCH(TRUE,_xlpm.cat="GAMEFOWL",62,_xlpm.cat="POULTRY",45,_xlpm.cat="SWINE",48,_xlpm.cat="HOGS",48,_xlpm.cat="RABBIT",40,45),_xlpm.code,IFERROR(VALUE(LEFT($A81,FIND(" ",$A81&amp;" ")-1)),0),_xlpm.v,1+MOD(_xlpm.code,13)/100,ROUND(_xlpm.ppk*_xlpm.wt*_xlpm.v,0)))</f>
        <v>2640</v>
      </c>
      <c r="H81" s="6" cm="1">
        <f t="array" ref="H81">IF(OR($A81="",$L81=""),"",_xlfn.LET(_xlpm.cat,UPPER($E81),_xlpm.base,_xlfn.SWITCH(TRUE,_xlpm.cat="GAMEFOWL",0.22,_xlpm.cat="POULTRY",0.18,_xlpm.cat="SWINE",0.16,_xlpm.cat="HOGS",0.16,_xlpm.cat="RABBIT",0.15,0.17),_xlpm.code,IFERROR(VALUE(LEFT($A81,FIND(" ",$A81&amp;" ")-1)),0),_xlpm.v,MOD(_xlpm.code,9)/1000,MIN(0.3,MAX(0.1,_xlpm.base+_xlpm.v))))</f>
        <v>0.16500000000000001</v>
      </c>
      <c r="I81" s="5" t="s">
        <v>33</v>
      </c>
      <c r="J81" s="5">
        <v>4</v>
      </c>
      <c r="K81" s="5">
        <v>0.17</v>
      </c>
      <c r="L81" s="5">
        <v>50</v>
      </c>
      <c r="M81" s="5">
        <v>4</v>
      </c>
      <c r="N81" s="5">
        <v>2</v>
      </c>
      <c r="O81" s="5">
        <v>2</v>
      </c>
      <c r="Q81" s="5" t="s">
        <v>34</v>
      </c>
      <c r="R81" s="5" t="s">
        <v>34</v>
      </c>
      <c r="S81" s="5" t="s">
        <v>34</v>
      </c>
      <c r="T81" s="7" t="s">
        <v>34</v>
      </c>
      <c r="U81" s="5" t="s">
        <v>34</v>
      </c>
      <c r="V81" s="7" t="s">
        <v>34</v>
      </c>
      <c r="W81" s="5" t="s">
        <v>34</v>
      </c>
      <c r="X81" s="5" t="s">
        <v>34</v>
      </c>
      <c r="Y81" s="5" t="s">
        <v>34</v>
      </c>
      <c r="Z81" s="5" t="s">
        <v>34</v>
      </c>
      <c r="AA81" s="5" t="s">
        <v>34</v>
      </c>
      <c r="AB81" s="5" t="s">
        <v>34</v>
      </c>
      <c r="AC81" s="5" t="s">
        <v>34</v>
      </c>
      <c r="AD81" s="5" t="s">
        <v>34</v>
      </c>
    </row>
    <row r="82" spans="1:30" ht="15.55" x14ac:dyDescent="0.3">
      <c r="A82" s="4">
        <v>1000000000964</v>
      </c>
      <c r="B82" s="5" t="s">
        <v>305</v>
      </c>
      <c r="C82" s="4">
        <v>3000000000362</v>
      </c>
      <c r="D82" s="5" t="s">
        <v>306</v>
      </c>
      <c r="E82" s="5" t="s">
        <v>62</v>
      </c>
      <c r="F82" s="5" t="s">
        <v>34</v>
      </c>
      <c r="G82" s="10" cm="1">
        <f t="array" ref="G82">IF(OR($A82="",$L82=""),"",_xlfn.LET(_xlpm.cat,UPPER($E82),_xlpm.wt,IFERROR(VALUE(LEFT($L82,FIND(" ",$L82&amp;" ")-1)),$L82),_xlpm.ppk,_xlfn.SWITCH(TRUE,_xlpm.cat="GAMEFOWL",62,_xlpm.cat="POULTRY",45,_xlpm.cat="SWINE",48,_xlpm.cat="HOGS",48,_xlpm.cat="RABBIT",40,45),_xlpm.code,IFERROR(VALUE(LEFT($A82,FIND(" ",$A82&amp;" ")-1)),0),_xlpm.v,1+MOD(_xlpm.code,13)/100,ROUND(_xlpm.ppk*_xlpm.wt*_xlpm.v,0)))</f>
        <v>23175</v>
      </c>
      <c r="H82" s="6" cm="1">
        <f t="array" ref="H82">IF(OR($A82="",$L82=""),"",_xlfn.LET(_xlpm.cat,UPPER($E82),_xlpm.base,_xlfn.SWITCH(TRUE,_xlpm.cat="GAMEFOWL",0.22,_xlpm.cat="POULTRY",0.18,_xlpm.cat="SWINE",0.16,_xlpm.cat="HOGS",0.16,_xlpm.cat="RABBIT",0.15,0.17),_xlpm.code,IFERROR(VALUE(LEFT($A82,FIND(" ",$A82&amp;" ")-1)),0),_xlpm.v,MOD(_xlpm.code,9)/1000,MIN(0.3,MAX(0.1,_xlpm.base+_xlpm.v))))</f>
        <v>0.182</v>
      </c>
      <c r="I82" s="5" t="s">
        <v>57</v>
      </c>
      <c r="K82" s="5">
        <v>0</v>
      </c>
      <c r="L82" s="5">
        <v>500</v>
      </c>
      <c r="M82" s="5">
        <v>3</v>
      </c>
      <c r="N82" s="5">
        <v>2</v>
      </c>
      <c r="O82" s="5">
        <v>2</v>
      </c>
      <c r="Q82" s="5" t="s">
        <v>34</v>
      </c>
      <c r="R82" s="5" t="s">
        <v>34</v>
      </c>
      <c r="S82" s="5" t="s">
        <v>39</v>
      </c>
      <c r="T82" s="7">
        <v>5000000000601</v>
      </c>
      <c r="U82" s="5" t="s">
        <v>307</v>
      </c>
      <c r="V82" s="7" t="s">
        <v>34</v>
      </c>
      <c r="W82" s="5" t="s">
        <v>308</v>
      </c>
      <c r="X82" s="5" t="s">
        <v>34</v>
      </c>
      <c r="Y82" s="5" t="s">
        <v>34</v>
      </c>
      <c r="Z82" s="5" t="s">
        <v>34</v>
      </c>
      <c r="AA82" s="5" t="s">
        <v>34</v>
      </c>
      <c r="AB82" s="5" t="s">
        <v>34</v>
      </c>
      <c r="AC82" s="5" t="s">
        <v>34</v>
      </c>
      <c r="AD82" s="5" t="s">
        <v>34</v>
      </c>
    </row>
    <row r="83" spans="1:30" ht="15.55" x14ac:dyDescent="0.3">
      <c r="A83" s="4">
        <v>1000000000979</v>
      </c>
      <c r="B83" s="5" t="s">
        <v>309</v>
      </c>
      <c r="C83" s="4">
        <v>3000000000254</v>
      </c>
      <c r="D83" s="5" t="s">
        <v>310</v>
      </c>
      <c r="E83" s="5" t="s">
        <v>62</v>
      </c>
      <c r="F83" s="5" t="s">
        <v>63</v>
      </c>
      <c r="G83" s="10" cm="1">
        <f t="array" ref="G83">IF(OR($A83="",$L83=""),"",_xlfn.LET(_xlpm.cat,UPPER($E83),_xlpm.wt,IFERROR(VALUE(LEFT($L83,FIND(" ",$L83&amp;" ")-1)),$L83),_xlpm.ppk,_xlfn.SWITCH(TRUE,_xlpm.cat="GAMEFOWL",62,_xlpm.cat="POULTRY",45,_xlpm.cat="SWINE",48,_xlpm.cat="HOGS",48,_xlpm.cat="RABBIT",40,45),_xlpm.code,IFERROR(VALUE(LEFT($A83,FIND(" ",$A83&amp;" ")-1)),0),_xlpm.v,1+MOD(_xlpm.code,13)/100,ROUND(_xlpm.ppk*_xlpm.wt*_xlpm.v,0)))</f>
        <v>2363</v>
      </c>
      <c r="H83" s="6" cm="1">
        <f t="array" ref="H83">IF(OR($A83="",$L83=""),"",_xlfn.LET(_xlpm.cat,UPPER($E83),_xlpm.base,_xlfn.SWITCH(TRUE,_xlpm.cat="GAMEFOWL",0.22,_xlpm.cat="POULTRY",0.18,_xlpm.cat="SWINE",0.16,_xlpm.cat="HOGS",0.16,_xlpm.cat="RABBIT",0.15,0.17),_xlpm.code,IFERROR(VALUE(LEFT($A83,FIND(" ",$A83&amp;" ")-1)),0),_xlpm.v,MOD(_xlpm.code,9)/1000,MIN(0.3,MAX(0.1,_xlpm.base+_xlpm.v))))</f>
        <v>0.188</v>
      </c>
      <c r="I83" s="5" t="s">
        <v>64</v>
      </c>
      <c r="J83" s="5">
        <v>4</v>
      </c>
      <c r="K83" s="5">
        <v>0.33</v>
      </c>
      <c r="L83" s="5">
        <v>50</v>
      </c>
      <c r="M83" s="5">
        <v>4</v>
      </c>
      <c r="N83" s="5">
        <v>2</v>
      </c>
      <c r="O83" s="5">
        <v>2</v>
      </c>
      <c r="Q83" s="5" t="s">
        <v>34</v>
      </c>
      <c r="R83" s="5" t="s">
        <v>34</v>
      </c>
      <c r="S83" s="5" t="s">
        <v>39</v>
      </c>
      <c r="T83" s="7">
        <v>5000000000560</v>
      </c>
      <c r="U83" s="5" t="s">
        <v>93</v>
      </c>
      <c r="V83" s="7">
        <v>5000000000124</v>
      </c>
      <c r="W83" s="5" t="s">
        <v>94</v>
      </c>
      <c r="X83" s="5" t="s">
        <v>34</v>
      </c>
      <c r="Y83" s="5" t="s">
        <v>34</v>
      </c>
      <c r="Z83" s="5" t="s">
        <v>34</v>
      </c>
      <c r="AA83" s="5" t="s">
        <v>34</v>
      </c>
      <c r="AB83" s="5" t="s">
        <v>34</v>
      </c>
      <c r="AC83" s="5" t="s">
        <v>34</v>
      </c>
      <c r="AD83" s="5" t="s">
        <v>34</v>
      </c>
    </row>
    <row r="84" spans="1:30" ht="15.55" x14ac:dyDescent="0.3">
      <c r="A84" s="4">
        <v>1000000000980</v>
      </c>
      <c r="B84" s="5" t="s">
        <v>311</v>
      </c>
      <c r="C84" s="4">
        <v>3000000000256</v>
      </c>
      <c r="D84" s="5" t="s">
        <v>312</v>
      </c>
      <c r="E84" s="5" t="s">
        <v>62</v>
      </c>
      <c r="F84" s="5" t="s">
        <v>63</v>
      </c>
      <c r="G84" s="10" cm="1">
        <f t="array" ref="G84">IF(OR($A84="",$L84=""),"",_xlfn.LET(_xlpm.cat,UPPER($E84),_xlpm.wt,IFERROR(VALUE(LEFT($L84,FIND(" ",$L84&amp;" ")-1)),$L84),_xlpm.ppk,_xlfn.SWITCH(TRUE,_xlpm.cat="GAMEFOWL",62,_xlpm.cat="POULTRY",45,_xlpm.cat="SWINE",48,_xlpm.cat="HOGS",48,_xlpm.cat="RABBIT",40,45),_xlpm.code,IFERROR(VALUE(LEFT($A84,FIND(" ",$A84&amp;" ")-1)),0),_xlpm.v,1+MOD(_xlpm.code,13)/100,ROUND(_xlpm.ppk*_xlpm.wt*_xlpm.v,0)))</f>
        <v>2385</v>
      </c>
      <c r="H84" s="6" cm="1">
        <f t="array" ref="H84">IF(OR($A84="",$L84=""),"",_xlfn.LET(_xlpm.cat,UPPER($E84),_xlpm.base,_xlfn.SWITCH(TRUE,_xlpm.cat="GAMEFOWL",0.22,_xlpm.cat="POULTRY",0.18,_xlpm.cat="SWINE",0.16,_xlpm.cat="HOGS",0.16,_xlpm.cat="RABBIT",0.15,0.17),_xlpm.code,IFERROR(VALUE(LEFT($A84,FIND(" ",$A84&amp;" ")-1)),0),_xlpm.v,MOD(_xlpm.code,9)/1000,MIN(0.3,MAX(0.1,_xlpm.base+_xlpm.v))))</f>
        <v>0.18</v>
      </c>
      <c r="I84" s="5" t="s">
        <v>64</v>
      </c>
      <c r="J84" s="5">
        <v>4</v>
      </c>
      <c r="K84" s="5">
        <v>0.33</v>
      </c>
      <c r="L84" s="5">
        <v>50</v>
      </c>
      <c r="M84" s="5">
        <v>4</v>
      </c>
      <c r="N84" s="5">
        <v>2</v>
      </c>
      <c r="O84" s="5">
        <v>2</v>
      </c>
      <c r="Q84" s="5" t="s">
        <v>313</v>
      </c>
      <c r="R84" s="5" t="s">
        <v>34</v>
      </c>
      <c r="S84" s="5" t="s">
        <v>314</v>
      </c>
      <c r="T84" s="7">
        <v>5000000000561</v>
      </c>
      <c r="U84" s="5" t="s">
        <v>98</v>
      </c>
      <c r="V84" s="7">
        <v>5000000000125</v>
      </c>
      <c r="W84" s="5" t="s">
        <v>99</v>
      </c>
      <c r="X84" s="5" t="s">
        <v>34</v>
      </c>
      <c r="Y84" s="5" t="s">
        <v>34</v>
      </c>
      <c r="Z84" s="5" t="s">
        <v>34</v>
      </c>
      <c r="AA84" s="5">
        <v>7.9994880000000155</v>
      </c>
      <c r="AB84" s="5" t="s">
        <v>34</v>
      </c>
      <c r="AC84" s="5" t="s">
        <v>34</v>
      </c>
      <c r="AD84" s="5" t="s">
        <v>34</v>
      </c>
    </row>
    <row r="85" spans="1:30" ht="15.55" x14ac:dyDescent="0.3">
      <c r="A85" s="4">
        <v>1000000001008</v>
      </c>
      <c r="B85" s="5" t="s">
        <v>315</v>
      </c>
      <c r="C85" s="4">
        <v>3000000000174</v>
      </c>
      <c r="D85" s="5" t="s">
        <v>316</v>
      </c>
      <c r="E85" s="5" t="s">
        <v>62</v>
      </c>
      <c r="F85" s="5" t="s">
        <v>34</v>
      </c>
      <c r="G85" s="10" cm="1">
        <f t="array" ref="G85">IF(OR($A85="",$L85=""),"",_xlfn.LET(_xlpm.cat,UPPER($E85),_xlpm.wt,IFERROR(VALUE(LEFT($L85,FIND(" ",$L85&amp;" ")-1)),$L85),_xlpm.ppk,_xlfn.SWITCH(TRUE,_xlpm.cat="GAMEFOWL",62,_xlpm.cat="POULTRY",45,_xlpm.cat="SWINE",48,_xlpm.cat="HOGS",48,_xlpm.cat="RABBIT",40,45),_xlpm.code,IFERROR(VALUE(LEFT($A85,FIND(" ",$A85&amp;" ")-1)),0),_xlpm.v,1+MOD(_xlpm.code,13)/100,ROUND(_xlpm.ppk*_xlpm.wt*_xlpm.v,0)))</f>
        <v>24300</v>
      </c>
      <c r="H85" s="6" cm="1">
        <f t="array" ref="H85">IF(OR($A85="",$L85=""),"",_xlfn.LET(_xlpm.cat,UPPER($E85),_xlpm.base,_xlfn.SWITCH(TRUE,_xlpm.cat="GAMEFOWL",0.22,_xlpm.cat="POULTRY",0.18,_xlpm.cat="SWINE",0.16,_xlpm.cat="HOGS",0.16,_xlpm.cat="RABBIT",0.15,0.17),_xlpm.code,IFERROR(VALUE(LEFT($A85,FIND(" ",$A85&amp;" ")-1)),0),_xlpm.v,MOD(_xlpm.code,9)/1000,MIN(0.3,MAX(0.1,_xlpm.base+_xlpm.v))))</f>
        <v>0.18099999999999999</v>
      </c>
      <c r="I85" s="5" t="s">
        <v>57</v>
      </c>
      <c r="K85" s="5">
        <v>0</v>
      </c>
      <c r="L85" s="5">
        <v>500</v>
      </c>
      <c r="M85" s="5">
        <v>3</v>
      </c>
      <c r="N85" s="5">
        <v>2</v>
      </c>
      <c r="O85" s="5">
        <v>2</v>
      </c>
      <c r="Q85" s="5" t="s">
        <v>34</v>
      </c>
      <c r="R85" s="5" t="s">
        <v>34</v>
      </c>
      <c r="S85" s="5" t="s">
        <v>39</v>
      </c>
      <c r="T85" s="7">
        <v>5000000000601</v>
      </c>
      <c r="U85" s="5" t="s">
        <v>307</v>
      </c>
      <c r="V85" s="7" t="s">
        <v>34</v>
      </c>
      <c r="W85" s="5" t="s">
        <v>308</v>
      </c>
      <c r="X85" s="5" t="s">
        <v>34</v>
      </c>
      <c r="Y85" s="5" t="s">
        <v>34</v>
      </c>
      <c r="Z85" s="5" t="s">
        <v>34</v>
      </c>
      <c r="AA85" s="5" t="s">
        <v>34</v>
      </c>
      <c r="AB85" s="5" t="s">
        <v>34</v>
      </c>
      <c r="AC85" s="5" t="s">
        <v>34</v>
      </c>
      <c r="AD85" s="5" t="s">
        <v>34</v>
      </c>
    </row>
    <row r="86" spans="1:30" ht="15.55" x14ac:dyDescent="0.3">
      <c r="A86" s="4">
        <v>1000000001011</v>
      </c>
      <c r="B86" s="5" t="s">
        <v>317</v>
      </c>
      <c r="C86" s="4">
        <v>3000000000268</v>
      </c>
      <c r="D86" s="5" t="s">
        <v>318</v>
      </c>
      <c r="E86" s="5" t="s">
        <v>62</v>
      </c>
      <c r="F86" s="5" t="s">
        <v>34</v>
      </c>
      <c r="G86" s="10" cm="1">
        <f t="array" ref="G86">IF(OR($A86="",$L86=""),"",_xlfn.LET(_xlpm.cat,UPPER($E86),_xlpm.wt,IFERROR(VALUE(LEFT($L86,FIND(" ",$L86&amp;" ")-1)),$L86),_xlpm.ppk,_xlfn.SWITCH(TRUE,_xlpm.cat="GAMEFOWL",62,_xlpm.cat="POULTRY",45,_xlpm.cat="SWINE",48,_xlpm.cat="HOGS",48,_xlpm.cat="RABBIT",40,45),_xlpm.code,IFERROR(VALUE(LEFT($A86,FIND(" ",$A86&amp;" ")-1)),0),_xlpm.v,1+MOD(_xlpm.code,13)/100,ROUND(_xlpm.ppk*_xlpm.wt*_xlpm.v,0)))</f>
        <v>2498</v>
      </c>
      <c r="H86" s="6" cm="1">
        <f t="array" ref="H86">IF(OR($A86="",$L86=""),"",_xlfn.LET(_xlpm.cat,UPPER($E86),_xlpm.base,_xlfn.SWITCH(TRUE,_xlpm.cat="GAMEFOWL",0.22,_xlpm.cat="POULTRY",0.18,_xlpm.cat="SWINE",0.16,_xlpm.cat="HOGS",0.16,_xlpm.cat="RABBIT",0.15,0.17),_xlpm.code,IFERROR(VALUE(LEFT($A86,FIND(" ",$A86&amp;" ")-1)),0),_xlpm.v,MOD(_xlpm.code,9)/1000,MIN(0.3,MAX(0.1,_xlpm.base+_xlpm.v))))</f>
        <v>0.184</v>
      </c>
      <c r="I86" s="5" t="s">
        <v>57</v>
      </c>
      <c r="K86" s="5">
        <v>0</v>
      </c>
      <c r="L86" s="5">
        <v>50</v>
      </c>
      <c r="M86" s="5">
        <v>4</v>
      </c>
      <c r="N86" s="5">
        <v>2</v>
      </c>
      <c r="O86" s="5">
        <v>2</v>
      </c>
      <c r="Q86" s="5" t="s">
        <v>34</v>
      </c>
      <c r="R86" s="5" t="s">
        <v>34</v>
      </c>
      <c r="S86" s="5" t="s">
        <v>34</v>
      </c>
      <c r="T86" s="7" t="s">
        <v>34</v>
      </c>
      <c r="U86" s="5" t="s">
        <v>34</v>
      </c>
      <c r="V86" s="7" t="s">
        <v>34</v>
      </c>
      <c r="W86" s="5" t="s">
        <v>34</v>
      </c>
      <c r="X86" s="5" t="s">
        <v>34</v>
      </c>
      <c r="Y86" s="5" t="s">
        <v>34</v>
      </c>
      <c r="Z86" s="5" t="s">
        <v>34</v>
      </c>
      <c r="AA86" s="5" t="s">
        <v>34</v>
      </c>
      <c r="AB86" s="5" t="s">
        <v>34</v>
      </c>
      <c r="AC86" s="5" t="s">
        <v>34</v>
      </c>
      <c r="AD86" s="5" t="s">
        <v>34</v>
      </c>
    </row>
    <row r="87" spans="1:30" ht="15.55" x14ac:dyDescent="0.3">
      <c r="A87" s="4">
        <v>1000000001012</v>
      </c>
      <c r="B87" s="5" t="s">
        <v>319</v>
      </c>
      <c r="C87" s="4">
        <v>3000000000270</v>
      </c>
      <c r="D87" s="5" t="s">
        <v>320</v>
      </c>
      <c r="E87" s="5" t="s">
        <v>62</v>
      </c>
      <c r="F87" s="5" t="s">
        <v>34</v>
      </c>
      <c r="G87" s="10" cm="1">
        <f t="array" ref="G87">IF(OR($A87="",$L87=""),"",_xlfn.LET(_xlpm.cat,UPPER($E87),_xlpm.wt,IFERROR(VALUE(LEFT($L87,FIND(" ",$L87&amp;" ")-1)),$L87),_xlpm.ppk,_xlfn.SWITCH(TRUE,_xlpm.cat="GAMEFOWL",62,_xlpm.cat="POULTRY",45,_xlpm.cat="SWINE",48,_xlpm.cat="HOGS",48,_xlpm.cat="RABBIT",40,45),_xlpm.code,IFERROR(VALUE(LEFT($A87,FIND(" ",$A87&amp;" ")-1)),0),_xlpm.v,1+MOD(_xlpm.code,13)/100,ROUND(_xlpm.ppk*_xlpm.wt*_xlpm.v,0)))</f>
        <v>2520</v>
      </c>
      <c r="H87" s="6" cm="1">
        <f t="array" ref="H87">IF(OR($A87="",$L87=""),"",_xlfn.LET(_xlpm.cat,UPPER($E87),_xlpm.base,_xlfn.SWITCH(TRUE,_xlpm.cat="GAMEFOWL",0.22,_xlpm.cat="POULTRY",0.18,_xlpm.cat="SWINE",0.16,_xlpm.cat="HOGS",0.16,_xlpm.cat="RABBIT",0.15,0.17),_xlpm.code,IFERROR(VALUE(LEFT($A87,FIND(" ",$A87&amp;" ")-1)),0),_xlpm.v,MOD(_xlpm.code,9)/1000,MIN(0.3,MAX(0.1,_xlpm.base+_xlpm.v))))</f>
        <v>0.185</v>
      </c>
      <c r="I87" s="5" t="s">
        <v>57</v>
      </c>
      <c r="K87" s="5">
        <v>0</v>
      </c>
      <c r="L87" s="5">
        <v>50</v>
      </c>
      <c r="M87" s="5">
        <v>4</v>
      </c>
      <c r="N87" s="5">
        <v>2</v>
      </c>
      <c r="O87" s="5">
        <v>2</v>
      </c>
      <c r="Q87" s="5">
        <v>1012</v>
      </c>
      <c r="R87" s="5" t="s">
        <v>34</v>
      </c>
      <c r="S87" s="5" t="s">
        <v>222</v>
      </c>
      <c r="T87" s="7">
        <v>5000000000561</v>
      </c>
      <c r="U87" s="5" t="s">
        <v>98</v>
      </c>
      <c r="V87" s="7">
        <v>5000000000125</v>
      </c>
      <c r="W87" s="5" t="s">
        <v>99</v>
      </c>
      <c r="X87" s="5" t="s">
        <v>34</v>
      </c>
      <c r="Y87" s="5" t="s">
        <v>34</v>
      </c>
      <c r="Z87" s="5" t="s">
        <v>34</v>
      </c>
      <c r="AA87" s="5" t="s">
        <v>34</v>
      </c>
      <c r="AB87" s="5" t="s">
        <v>34</v>
      </c>
      <c r="AC87" s="5" t="s">
        <v>34</v>
      </c>
      <c r="AD87" s="5" t="s">
        <v>34</v>
      </c>
    </row>
    <row r="88" spans="1:30" ht="15.55" x14ac:dyDescent="0.3">
      <c r="A88" s="4">
        <v>1000000000982</v>
      </c>
      <c r="B88" s="5" t="s">
        <v>321</v>
      </c>
      <c r="C88" s="4">
        <v>3000000000260</v>
      </c>
      <c r="D88" s="5" t="s">
        <v>322</v>
      </c>
      <c r="E88" s="5" t="s">
        <v>62</v>
      </c>
      <c r="F88" s="5" t="s">
        <v>63</v>
      </c>
      <c r="G88" s="10" cm="1">
        <f t="array" ref="G88">IF(OR($A88="",$L88=""),"",_xlfn.LET(_xlpm.cat,UPPER($E88),_xlpm.wt,IFERROR(VALUE(LEFT($L88,FIND(" ",$L88&amp;" ")-1)),$L88),_xlpm.ppk,_xlfn.SWITCH(TRUE,_xlpm.cat="GAMEFOWL",62,_xlpm.cat="POULTRY",45,_xlpm.cat="SWINE",48,_xlpm.cat="HOGS",48,_xlpm.cat="RABBIT",40,45),_xlpm.code,IFERROR(VALUE(LEFT($A88,FIND(" ",$A88&amp;" ")-1)),0),_xlpm.v,1+MOD(_xlpm.code,13)/100,ROUND(_xlpm.ppk*_xlpm.wt*_xlpm.v,0)))</f>
        <v>2430</v>
      </c>
      <c r="H88" s="6" cm="1">
        <f t="array" ref="H88">IF(OR($A88="",$L88=""),"",_xlfn.LET(_xlpm.cat,UPPER($E88),_xlpm.base,_xlfn.SWITCH(TRUE,_xlpm.cat="GAMEFOWL",0.22,_xlpm.cat="POULTRY",0.18,_xlpm.cat="SWINE",0.16,_xlpm.cat="HOGS",0.16,_xlpm.cat="RABBIT",0.15,0.17),_xlpm.code,IFERROR(VALUE(LEFT($A88,FIND(" ",$A88&amp;" ")-1)),0),_xlpm.v,MOD(_xlpm.code,9)/1000,MIN(0.3,MAX(0.1,_xlpm.base+_xlpm.v))))</f>
        <v>0.182</v>
      </c>
      <c r="I88" s="5" t="s">
        <v>77</v>
      </c>
      <c r="J88" s="5">
        <v>4</v>
      </c>
      <c r="K88" s="5">
        <v>0.33</v>
      </c>
      <c r="L88" s="5">
        <v>50</v>
      </c>
      <c r="M88" s="5">
        <v>4</v>
      </c>
      <c r="N88" s="5">
        <v>2</v>
      </c>
      <c r="O88" s="5">
        <v>2</v>
      </c>
      <c r="Q88" s="5" t="s">
        <v>323</v>
      </c>
      <c r="R88" s="5" t="s">
        <v>34</v>
      </c>
      <c r="S88" s="5" t="s">
        <v>314</v>
      </c>
      <c r="T88" s="7">
        <v>5000000000563</v>
      </c>
      <c r="U88" s="5" t="s">
        <v>209</v>
      </c>
      <c r="V88" s="7">
        <v>5000000000615</v>
      </c>
      <c r="W88" s="5" t="s">
        <v>210</v>
      </c>
      <c r="X88" s="5" t="s">
        <v>34</v>
      </c>
      <c r="Y88" s="5" t="s">
        <v>34</v>
      </c>
      <c r="Z88" s="5" t="s">
        <v>34</v>
      </c>
      <c r="AA88" s="5">
        <v>8.1096186232791005</v>
      </c>
      <c r="AB88" s="5" t="s">
        <v>34</v>
      </c>
      <c r="AC88" s="5" t="s">
        <v>34</v>
      </c>
      <c r="AD88" s="5" t="s">
        <v>34</v>
      </c>
    </row>
    <row r="89" spans="1:30" ht="15.55" x14ac:dyDescent="0.3">
      <c r="A89" s="4">
        <v>1000000001013</v>
      </c>
      <c r="B89" s="5" t="s">
        <v>324</v>
      </c>
      <c r="C89" s="4">
        <v>3000000000272</v>
      </c>
      <c r="D89" s="5" t="s">
        <v>325</v>
      </c>
      <c r="E89" s="5" t="s">
        <v>62</v>
      </c>
      <c r="F89" s="5" t="s">
        <v>63</v>
      </c>
      <c r="G89" s="10" cm="1">
        <f t="array" ref="G89">IF(OR($A89="",$L89=""),"",_xlfn.LET(_xlpm.cat,UPPER($E89),_xlpm.wt,IFERROR(VALUE(LEFT($L89,FIND(" ",$L89&amp;" ")-1)),$L89),_xlpm.ppk,_xlfn.SWITCH(TRUE,_xlpm.cat="GAMEFOWL",62,_xlpm.cat="POULTRY",45,_xlpm.cat="SWINE",48,_xlpm.cat="HOGS",48,_xlpm.cat="RABBIT",40,45),_xlpm.code,IFERROR(VALUE(LEFT($A89,FIND(" ",$A89&amp;" ")-1)),0),_xlpm.v,1+MOD(_xlpm.code,13)/100,ROUND(_xlpm.ppk*_xlpm.wt*_xlpm.v,0)))</f>
        <v>2250</v>
      </c>
      <c r="H89" s="6" cm="1">
        <f t="array" ref="H89">IF(OR($A89="",$L89=""),"",_xlfn.LET(_xlpm.cat,UPPER($E89),_xlpm.base,_xlfn.SWITCH(TRUE,_xlpm.cat="GAMEFOWL",0.22,_xlpm.cat="POULTRY",0.18,_xlpm.cat="SWINE",0.16,_xlpm.cat="HOGS",0.16,_xlpm.cat="RABBIT",0.15,0.17),_xlpm.code,IFERROR(VALUE(LEFT($A89,FIND(" ",$A89&amp;" ")-1)),0),_xlpm.v,MOD(_xlpm.code,9)/1000,MIN(0.3,MAX(0.1,_xlpm.base+_xlpm.v))))</f>
        <v>0.186</v>
      </c>
      <c r="I89" s="5" t="s">
        <v>106</v>
      </c>
      <c r="J89" s="5">
        <v>4</v>
      </c>
      <c r="K89" s="5">
        <v>0.33</v>
      </c>
      <c r="L89" s="5">
        <v>50</v>
      </c>
      <c r="M89" s="5">
        <v>4</v>
      </c>
      <c r="N89" s="5">
        <v>2</v>
      </c>
      <c r="O89" s="5">
        <v>2</v>
      </c>
      <c r="Q89" s="5">
        <v>1013</v>
      </c>
      <c r="R89" s="5" t="s">
        <v>34</v>
      </c>
      <c r="S89" s="5" t="s">
        <v>222</v>
      </c>
      <c r="T89" s="7">
        <v>5000000000562</v>
      </c>
      <c r="U89" s="5" t="s">
        <v>108</v>
      </c>
      <c r="V89" s="7">
        <v>5000000000122</v>
      </c>
      <c r="W89" s="5" t="s">
        <v>109</v>
      </c>
      <c r="X89" s="5" t="s">
        <v>34</v>
      </c>
      <c r="Y89" s="5" t="s">
        <v>34</v>
      </c>
      <c r="Z89" s="5" t="s">
        <v>34</v>
      </c>
      <c r="AA89" s="5" t="s">
        <v>34</v>
      </c>
      <c r="AB89" s="5" t="s">
        <v>34</v>
      </c>
      <c r="AC89" s="5" t="s">
        <v>34</v>
      </c>
      <c r="AD89" s="5" t="s">
        <v>34</v>
      </c>
    </row>
    <row r="90" spans="1:30" ht="15.55" x14ac:dyDescent="0.3">
      <c r="A90" s="4">
        <v>1000000001010</v>
      </c>
      <c r="B90" s="5" t="s">
        <v>326</v>
      </c>
      <c r="C90" s="4">
        <v>3000000000178</v>
      </c>
      <c r="D90" s="5" t="s">
        <v>327</v>
      </c>
      <c r="E90" s="5" t="s">
        <v>62</v>
      </c>
      <c r="F90" s="5" t="s">
        <v>34</v>
      </c>
      <c r="G90" s="10" cm="1">
        <f t="array" ref="G90">IF(OR($A90="",$L90=""),"",_xlfn.LET(_xlpm.cat,UPPER($E90),_xlpm.wt,IFERROR(VALUE(LEFT($L90,FIND(" ",$L90&amp;" ")-1)),$L90),_xlpm.ppk,_xlfn.SWITCH(TRUE,_xlpm.cat="GAMEFOWL",62,_xlpm.cat="POULTRY",45,_xlpm.cat="SWINE",48,_xlpm.cat="HOGS",48,_xlpm.cat="RABBIT",40,45),_xlpm.code,IFERROR(VALUE(LEFT($A90,FIND(" ",$A90&amp;" ")-1)),0),_xlpm.v,1+MOD(_xlpm.code,13)/100,ROUND(_xlpm.ppk*_xlpm.wt*_xlpm.v,0)))</f>
        <v>24750</v>
      </c>
      <c r="H90" s="6" cm="1">
        <f t="array" ref="H90">IF(OR($A90="",$L90=""),"",_xlfn.LET(_xlpm.cat,UPPER($E90),_xlpm.base,_xlfn.SWITCH(TRUE,_xlpm.cat="GAMEFOWL",0.22,_xlpm.cat="POULTRY",0.18,_xlpm.cat="SWINE",0.16,_xlpm.cat="HOGS",0.16,_xlpm.cat="RABBIT",0.15,0.17),_xlpm.code,IFERROR(VALUE(LEFT($A90,FIND(" ",$A90&amp;" ")-1)),0),_xlpm.v,MOD(_xlpm.code,9)/1000,MIN(0.3,MAX(0.1,_xlpm.base+_xlpm.v))))</f>
        <v>0.183</v>
      </c>
      <c r="I90" s="5" t="s">
        <v>57</v>
      </c>
      <c r="K90" s="5">
        <v>0</v>
      </c>
      <c r="L90" s="5">
        <v>500</v>
      </c>
      <c r="M90" s="5">
        <v>3</v>
      </c>
      <c r="N90" s="5">
        <v>2</v>
      </c>
      <c r="O90" s="5">
        <v>2</v>
      </c>
      <c r="Q90" s="5" t="s">
        <v>34</v>
      </c>
      <c r="R90" s="5" t="s">
        <v>34</v>
      </c>
      <c r="S90" s="5" t="s">
        <v>39</v>
      </c>
      <c r="T90" s="7">
        <v>5000000000601</v>
      </c>
      <c r="U90" s="5" t="s">
        <v>307</v>
      </c>
      <c r="V90" s="7" t="s">
        <v>34</v>
      </c>
      <c r="W90" s="5" t="s">
        <v>308</v>
      </c>
      <c r="X90" s="5" t="s">
        <v>34</v>
      </c>
      <c r="Y90" s="5" t="s">
        <v>34</v>
      </c>
      <c r="Z90" s="5" t="s">
        <v>34</v>
      </c>
      <c r="AA90" s="5" t="s">
        <v>34</v>
      </c>
      <c r="AB90" s="5" t="s">
        <v>34</v>
      </c>
      <c r="AC90" s="5" t="s">
        <v>34</v>
      </c>
      <c r="AD90" s="5" t="s">
        <v>34</v>
      </c>
    </row>
    <row r="91" spans="1:30" ht="15.55" x14ac:dyDescent="0.3">
      <c r="A91" s="4">
        <v>1000000000981</v>
      </c>
      <c r="B91" s="5" t="s">
        <v>328</v>
      </c>
      <c r="C91" s="4">
        <v>3000000000258</v>
      </c>
      <c r="D91" s="5" t="s">
        <v>325</v>
      </c>
      <c r="E91" s="5" t="s">
        <v>62</v>
      </c>
      <c r="F91" s="5" t="s">
        <v>63</v>
      </c>
      <c r="G91" s="10" cm="1">
        <f t="array" ref="G91">IF(OR($A91="",$L91=""),"",_xlfn.LET(_xlpm.cat,UPPER($E91),_xlpm.wt,IFERROR(VALUE(LEFT($L91,FIND(" ",$L91&amp;" ")-1)),$L91),_xlpm.ppk,_xlfn.SWITCH(TRUE,_xlpm.cat="GAMEFOWL",62,_xlpm.cat="POULTRY",45,_xlpm.cat="SWINE",48,_xlpm.cat="HOGS",48,_xlpm.cat="RABBIT",40,45),_xlpm.code,IFERROR(VALUE(LEFT($A91,FIND(" ",$A91&amp;" ")-1)),0),_xlpm.v,1+MOD(_xlpm.code,13)/100,ROUND(_xlpm.ppk*_xlpm.wt*_xlpm.v,0)))</f>
        <v>2408</v>
      </c>
      <c r="H91" s="6" cm="1">
        <f t="array" ref="H91">IF(OR($A91="",$L91=""),"",_xlfn.LET(_xlpm.cat,UPPER($E91),_xlpm.base,_xlfn.SWITCH(TRUE,_xlpm.cat="GAMEFOWL",0.22,_xlpm.cat="POULTRY",0.18,_xlpm.cat="SWINE",0.16,_xlpm.cat="HOGS",0.16,_xlpm.cat="RABBIT",0.15,0.17),_xlpm.code,IFERROR(VALUE(LEFT($A91,FIND(" ",$A91&amp;" ")-1)),0),_xlpm.v,MOD(_xlpm.code,9)/1000,MIN(0.3,MAX(0.1,_xlpm.base+_xlpm.v))))</f>
        <v>0.18099999999999999</v>
      </c>
      <c r="I91" s="5" t="s">
        <v>106</v>
      </c>
      <c r="J91" s="5">
        <v>4</v>
      </c>
      <c r="K91" s="5">
        <v>0.33</v>
      </c>
      <c r="L91" s="5">
        <v>50</v>
      </c>
      <c r="M91" s="5">
        <v>4</v>
      </c>
      <c r="N91" s="5">
        <v>2</v>
      </c>
      <c r="O91" s="5">
        <v>2</v>
      </c>
      <c r="Q91" s="5" t="s">
        <v>329</v>
      </c>
      <c r="R91" s="5" t="s">
        <v>34</v>
      </c>
      <c r="S91" s="5" t="s">
        <v>314</v>
      </c>
      <c r="T91" s="7">
        <v>5000000000562</v>
      </c>
      <c r="U91" s="5" t="s">
        <v>108</v>
      </c>
      <c r="V91" s="7">
        <v>5000000000122</v>
      </c>
      <c r="W91" s="5" t="s">
        <v>109</v>
      </c>
      <c r="X91" s="5" t="s">
        <v>34</v>
      </c>
      <c r="Y91" s="5" t="s">
        <v>34</v>
      </c>
      <c r="Z91" s="5">
        <v>6.6972457674418626</v>
      </c>
      <c r="AA91" s="5">
        <v>7.9085847272727303</v>
      </c>
      <c r="AB91" s="5" t="s">
        <v>34</v>
      </c>
      <c r="AC91" s="5" t="s">
        <v>34</v>
      </c>
      <c r="AD91" s="5" t="s">
        <v>34</v>
      </c>
    </row>
    <row r="92" spans="1:30" ht="15.55" x14ac:dyDescent="0.3">
      <c r="A92" s="4">
        <v>1000000001507</v>
      </c>
      <c r="B92" s="5" t="s">
        <v>330</v>
      </c>
      <c r="C92" s="4">
        <v>3000000000226</v>
      </c>
      <c r="D92" s="5" t="s">
        <v>331</v>
      </c>
      <c r="E92" s="5" t="s">
        <v>31</v>
      </c>
      <c r="F92" s="5" t="s">
        <v>34</v>
      </c>
      <c r="G92" s="10" cm="1">
        <f t="array" ref="G92">IF(OR($A92="",$L92=""),"",_xlfn.LET(_xlpm.cat,UPPER($E92),_xlpm.wt,IFERROR(VALUE(LEFT($L92,FIND(" ",$L92&amp;" ")-1)),$L92),_xlpm.ppk,_xlfn.SWITCH(TRUE,_xlpm.cat="GAMEFOWL",62,_xlpm.cat="POULTRY",45,_xlpm.cat="SWINE",48,_xlpm.cat="HOGS",48,_xlpm.cat="RABBIT",40,45),_xlpm.code,IFERROR(VALUE(LEFT($A92,FIND(" ",$A92&amp;" ")-1)),0),_xlpm.v,1+MOD(_xlpm.code,13)/100,ROUND(_xlpm.ppk*_xlpm.wt*_xlpm.v,0)))</f>
        <v>2400</v>
      </c>
      <c r="H92" s="6" cm="1">
        <f t="array" ref="H92">IF(OR($A92="",$L92=""),"",_xlfn.LET(_xlpm.cat,UPPER($E92),_xlpm.base,_xlfn.SWITCH(TRUE,_xlpm.cat="GAMEFOWL",0.22,_xlpm.cat="POULTRY",0.18,_xlpm.cat="SWINE",0.16,_xlpm.cat="HOGS",0.16,_xlpm.cat="RABBIT",0.15,0.17),_xlpm.code,IFERROR(VALUE(LEFT($A92,FIND(" ",$A92&amp;" ")-1)),0),_xlpm.v,MOD(_xlpm.code,9)/1000,MIN(0.3,MAX(0.1,_xlpm.base+_xlpm.v))))</f>
        <v>0.16500000000000001</v>
      </c>
      <c r="I92" s="5" t="s">
        <v>57</v>
      </c>
      <c r="K92" s="5">
        <v>0</v>
      </c>
      <c r="L92" s="5">
        <v>50</v>
      </c>
      <c r="M92" s="5">
        <v>4</v>
      </c>
      <c r="N92" s="5">
        <v>2</v>
      </c>
      <c r="O92" s="5">
        <v>2</v>
      </c>
      <c r="Q92" s="5">
        <v>1507</v>
      </c>
      <c r="R92" s="5" t="s">
        <v>34</v>
      </c>
      <c r="S92" s="5" t="s">
        <v>332</v>
      </c>
      <c r="T92" s="7">
        <v>5000000000057</v>
      </c>
      <c r="U92" s="5" t="s">
        <v>189</v>
      </c>
      <c r="V92" s="7">
        <v>5000000000102</v>
      </c>
      <c r="W92" s="5" t="s">
        <v>333</v>
      </c>
      <c r="X92" s="5" t="s">
        <v>34</v>
      </c>
      <c r="Y92" s="5" t="s">
        <v>34</v>
      </c>
      <c r="Z92" s="5" t="s">
        <v>34</v>
      </c>
      <c r="AA92" s="5" t="s">
        <v>34</v>
      </c>
      <c r="AB92" s="5" t="s">
        <v>34</v>
      </c>
      <c r="AC92" s="5" t="s">
        <v>34</v>
      </c>
      <c r="AD92" s="5" t="s">
        <v>34</v>
      </c>
    </row>
    <row r="93" spans="1:30" ht="15.55" x14ac:dyDescent="0.3">
      <c r="A93" s="4">
        <v>1000000000957</v>
      </c>
      <c r="B93" s="5" t="s">
        <v>334</v>
      </c>
      <c r="C93" s="4">
        <v>3000000000593</v>
      </c>
      <c r="D93" s="5" t="s">
        <v>335</v>
      </c>
      <c r="E93" s="5" t="s">
        <v>31</v>
      </c>
      <c r="F93" s="5" t="s">
        <v>32</v>
      </c>
      <c r="G93" s="10" cm="1">
        <f t="array" ref="G93">IF(OR($A93="",$L93=""),"",_xlfn.LET(_xlpm.cat,UPPER($E93),_xlpm.wt,IFERROR(VALUE(LEFT($L93,FIND(" ",$L93&amp;" ")-1)),$L93),_xlpm.ppk,_xlfn.SWITCH(TRUE,_xlpm.cat="GAMEFOWL",62,_xlpm.cat="POULTRY",45,_xlpm.cat="SWINE",48,_xlpm.cat="HOGS",48,_xlpm.cat="RABBIT",40,45),_xlpm.code,IFERROR(VALUE(LEFT($A93,FIND(" ",$A93&amp;" ")-1)),0),_xlpm.v,1+MOD(_xlpm.code,13)/100,ROUND(_xlpm.ppk*_xlpm.wt*_xlpm.v,0)))</f>
        <v>2616</v>
      </c>
      <c r="H93" s="6" cm="1">
        <f t="array" ref="H93">IF(OR($A93="",$L93=""),"",_xlfn.LET(_xlpm.cat,UPPER($E93),_xlpm.base,_xlfn.SWITCH(TRUE,_xlpm.cat="GAMEFOWL",0.22,_xlpm.cat="POULTRY",0.18,_xlpm.cat="SWINE",0.16,_xlpm.cat="HOGS",0.16,_xlpm.cat="RABBIT",0.15,0.17),_xlpm.code,IFERROR(VALUE(LEFT($A93,FIND(" ",$A93&amp;" ")-1)),0),_xlpm.v,MOD(_xlpm.code,9)/1000,MIN(0.3,MAX(0.1,_xlpm.base+_xlpm.v))))</f>
        <v>0.16400000000000001</v>
      </c>
      <c r="I93" s="5" t="s">
        <v>48</v>
      </c>
      <c r="J93" s="5">
        <v>3</v>
      </c>
      <c r="K93" s="5">
        <v>0.17</v>
      </c>
      <c r="L93" s="5">
        <v>50</v>
      </c>
      <c r="M93" s="5">
        <v>4</v>
      </c>
      <c r="N93" s="5">
        <v>2</v>
      </c>
      <c r="O93" s="5">
        <v>2</v>
      </c>
      <c r="Q93" s="5" t="s">
        <v>34</v>
      </c>
      <c r="R93" s="5" t="s">
        <v>34</v>
      </c>
      <c r="S93" s="5" t="s">
        <v>34</v>
      </c>
      <c r="T93" s="7" t="s">
        <v>34</v>
      </c>
      <c r="U93" s="5" t="s">
        <v>34</v>
      </c>
      <c r="V93" s="7" t="s">
        <v>34</v>
      </c>
      <c r="W93" s="5" t="s">
        <v>34</v>
      </c>
      <c r="X93" s="5" t="s">
        <v>34</v>
      </c>
      <c r="Y93" s="5" t="s">
        <v>34</v>
      </c>
      <c r="Z93" s="5" t="s">
        <v>34</v>
      </c>
      <c r="AA93" s="5" t="s">
        <v>34</v>
      </c>
      <c r="AB93" s="5" t="s">
        <v>34</v>
      </c>
      <c r="AC93" s="5" t="s">
        <v>34</v>
      </c>
      <c r="AD93" s="5" t="s">
        <v>34</v>
      </c>
    </row>
    <row r="94" spans="1:30" ht="15.55" x14ac:dyDescent="0.3">
      <c r="A94" s="4">
        <v>1000000000959</v>
      </c>
      <c r="B94" s="5" t="s">
        <v>336</v>
      </c>
      <c r="C94" s="4">
        <v>3000000000597</v>
      </c>
      <c r="D94" s="5" t="s">
        <v>337</v>
      </c>
      <c r="E94" s="5" t="s">
        <v>31</v>
      </c>
      <c r="F94" s="5" t="s">
        <v>32</v>
      </c>
      <c r="G94" s="10" cm="1">
        <f t="array" ref="G94">IF(OR($A94="",$L94=""),"",_xlfn.LET(_xlpm.cat,UPPER($E94),_xlpm.wt,IFERROR(VALUE(LEFT($L94,FIND(" ",$L94&amp;" ")-1)),$L94),_xlpm.ppk,_xlfn.SWITCH(TRUE,_xlpm.cat="GAMEFOWL",62,_xlpm.cat="POULTRY",45,_xlpm.cat="SWINE",48,_xlpm.cat="HOGS",48,_xlpm.cat="RABBIT",40,45),_xlpm.code,IFERROR(VALUE(LEFT($A94,FIND(" ",$A94&amp;" ")-1)),0),_xlpm.v,1+MOD(_xlpm.code,13)/100,ROUND(_xlpm.ppk*_xlpm.wt*_xlpm.v,0)))</f>
        <v>2664</v>
      </c>
      <c r="H94" s="6" cm="1">
        <f t="array" ref="H94">IF(OR($A94="",$L94=""),"",_xlfn.LET(_xlpm.cat,UPPER($E94),_xlpm.base,_xlfn.SWITCH(TRUE,_xlpm.cat="GAMEFOWL",0.22,_xlpm.cat="POULTRY",0.18,_xlpm.cat="SWINE",0.16,_xlpm.cat="HOGS",0.16,_xlpm.cat="RABBIT",0.15,0.17),_xlpm.code,IFERROR(VALUE(LEFT($A94,FIND(" ",$A94&amp;" ")-1)),0),_xlpm.v,MOD(_xlpm.code,9)/1000,MIN(0.3,MAX(0.1,_xlpm.base+_xlpm.v))))</f>
        <v>0.16600000000000001</v>
      </c>
      <c r="I94" s="5" t="s">
        <v>33</v>
      </c>
      <c r="J94" s="5">
        <v>4</v>
      </c>
      <c r="K94" s="5">
        <v>0.17</v>
      </c>
      <c r="L94" s="5">
        <v>50</v>
      </c>
      <c r="M94" s="5">
        <v>4</v>
      </c>
      <c r="N94" s="5">
        <v>2</v>
      </c>
      <c r="O94" s="5">
        <v>2</v>
      </c>
      <c r="Q94" s="5" t="s">
        <v>34</v>
      </c>
      <c r="R94" s="5" t="s">
        <v>34</v>
      </c>
      <c r="S94" s="5" t="s">
        <v>34</v>
      </c>
      <c r="T94" s="7" t="s">
        <v>34</v>
      </c>
      <c r="U94" s="5" t="s">
        <v>34</v>
      </c>
      <c r="V94" s="7" t="s">
        <v>34</v>
      </c>
      <c r="W94" s="5" t="s">
        <v>34</v>
      </c>
      <c r="X94" s="5" t="s">
        <v>34</v>
      </c>
      <c r="Y94" s="5" t="s">
        <v>34</v>
      </c>
      <c r="Z94" s="5" t="s">
        <v>34</v>
      </c>
      <c r="AA94" s="5" t="s">
        <v>34</v>
      </c>
      <c r="AB94" s="5" t="s">
        <v>34</v>
      </c>
      <c r="AC94" s="5" t="s">
        <v>34</v>
      </c>
      <c r="AD94" s="5" t="s">
        <v>34</v>
      </c>
    </row>
    <row r="95" spans="1:30" ht="15.55" x14ac:dyDescent="0.3">
      <c r="A95" s="4">
        <v>1000000000938</v>
      </c>
      <c r="B95" s="5" t="s">
        <v>338</v>
      </c>
      <c r="C95" s="4">
        <v>3000000000583</v>
      </c>
      <c r="D95" s="5" t="s">
        <v>339</v>
      </c>
      <c r="E95" s="5" t="s">
        <v>31</v>
      </c>
      <c r="F95" s="5" t="s">
        <v>34</v>
      </c>
      <c r="G95" s="10" cm="1">
        <f t="array" ref="G95">IF(OR($A95="",$L95=""),"",_xlfn.LET(_xlpm.cat,UPPER($E95),_xlpm.wt,IFERROR(VALUE(LEFT($L95,FIND(" ",$L95&amp;" ")-1)),$L95),_xlpm.ppk,_xlfn.SWITCH(TRUE,_xlpm.cat="GAMEFOWL",62,_xlpm.cat="POULTRY",45,_xlpm.cat="SWINE",48,_xlpm.cat="HOGS",48,_xlpm.cat="RABBIT",40,45),_xlpm.code,IFERROR(VALUE(LEFT($A95,FIND(" ",$A95&amp;" ")-1)),0),_xlpm.v,1+MOD(_xlpm.code,13)/100,ROUND(_xlpm.ppk*_xlpm.wt*_xlpm.v,0)))</f>
        <v>2472</v>
      </c>
      <c r="H95" s="6" cm="1">
        <f t="array" ref="H95">IF(OR($A95="",$L95=""),"",_xlfn.LET(_xlpm.cat,UPPER($E95),_xlpm.base,_xlfn.SWITCH(TRUE,_xlpm.cat="GAMEFOWL",0.22,_xlpm.cat="POULTRY",0.18,_xlpm.cat="SWINE",0.16,_xlpm.cat="HOGS",0.16,_xlpm.cat="RABBIT",0.15,0.17),_xlpm.code,IFERROR(VALUE(LEFT($A95,FIND(" ",$A95&amp;" ")-1)),0),_xlpm.v,MOD(_xlpm.code,9)/1000,MIN(0.3,MAX(0.1,_xlpm.base+_xlpm.v))))</f>
        <v>0.16300000000000001</v>
      </c>
      <c r="I95" s="5" t="s">
        <v>57</v>
      </c>
      <c r="K95" s="5">
        <v>0</v>
      </c>
      <c r="L95" s="5">
        <v>50</v>
      </c>
      <c r="M95" s="5">
        <v>4</v>
      </c>
      <c r="N95" s="5">
        <v>2</v>
      </c>
      <c r="O95" s="5">
        <v>2</v>
      </c>
      <c r="Q95" s="5" t="s">
        <v>34</v>
      </c>
      <c r="R95" s="5" t="s">
        <v>34</v>
      </c>
      <c r="S95" s="5" t="s">
        <v>34</v>
      </c>
      <c r="T95" s="7" t="s">
        <v>34</v>
      </c>
      <c r="U95" s="5" t="s">
        <v>34</v>
      </c>
      <c r="V95" s="7" t="s">
        <v>34</v>
      </c>
      <c r="W95" s="5" t="s">
        <v>34</v>
      </c>
      <c r="X95" s="5" t="s">
        <v>34</v>
      </c>
      <c r="Y95" s="5" t="s">
        <v>34</v>
      </c>
      <c r="Z95" s="5" t="s">
        <v>34</v>
      </c>
      <c r="AA95" s="5" t="s">
        <v>34</v>
      </c>
      <c r="AB95" s="5" t="s">
        <v>34</v>
      </c>
      <c r="AC95" s="5" t="s">
        <v>34</v>
      </c>
      <c r="AD95" s="5" t="s">
        <v>34</v>
      </c>
    </row>
    <row r="96" spans="1:30" ht="15.55" x14ac:dyDescent="0.3">
      <c r="A96" s="4">
        <v>1000000001077</v>
      </c>
      <c r="B96" s="5" t="s">
        <v>340</v>
      </c>
      <c r="C96" s="4">
        <v>3000000000472</v>
      </c>
      <c r="D96" s="5" t="s">
        <v>341</v>
      </c>
      <c r="E96" s="5" t="s">
        <v>31</v>
      </c>
      <c r="F96" s="5" t="s">
        <v>34</v>
      </c>
      <c r="G96" s="10" cm="1">
        <f t="array" ref="G96">IF(OR($A96="",$L96=""),"",_xlfn.LET(_xlpm.cat,UPPER($E96),_xlpm.wt,IFERROR(VALUE(LEFT($L96,FIND(" ",$L96&amp;" ")-1)),$L96),_xlpm.ppk,_xlfn.SWITCH(TRUE,_xlpm.cat="GAMEFOWL",62,_xlpm.cat="POULTRY",45,_xlpm.cat="SWINE",48,_xlpm.cat="HOGS",48,_xlpm.cat="RABBIT",40,45),_xlpm.code,IFERROR(VALUE(LEFT($A96,FIND(" ",$A96&amp;" ")-1)),0),_xlpm.v,1+MOD(_xlpm.code,13)/100,ROUND(_xlpm.ppk*_xlpm.wt*_xlpm.v,0)))</f>
        <v>2688</v>
      </c>
      <c r="H96" s="6" cm="1">
        <f t="array" ref="H96">IF(OR($A96="",$L96=""),"",_xlfn.LET(_xlpm.cat,UPPER($E96),_xlpm.base,_xlfn.SWITCH(TRUE,_xlpm.cat="GAMEFOWL",0.22,_xlpm.cat="POULTRY",0.18,_xlpm.cat="SWINE",0.16,_xlpm.cat="HOGS",0.16,_xlpm.cat="RABBIT",0.15,0.17),_xlpm.code,IFERROR(VALUE(LEFT($A96,FIND(" ",$A96&amp;" ")-1)),0),_xlpm.v,MOD(_xlpm.code,9)/1000,MIN(0.3,MAX(0.1,_xlpm.base+_xlpm.v))))</f>
        <v>0.16700000000000001</v>
      </c>
      <c r="I96" s="5" t="s">
        <v>57</v>
      </c>
      <c r="K96" s="5">
        <v>0</v>
      </c>
      <c r="L96" s="5">
        <v>50</v>
      </c>
      <c r="M96" s="5">
        <v>3</v>
      </c>
      <c r="N96" s="5">
        <v>2</v>
      </c>
      <c r="O96" s="5">
        <v>2</v>
      </c>
      <c r="Q96" s="5" t="s">
        <v>34</v>
      </c>
      <c r="R96" s="5" t="s">
        <v>34</v>
      </c>
      <c r="S96" s="5" t="s">
        <v>34</v>
      </c>
      <c r="T96" s="7" t="s">
        <v>34</v>
      </c>
      <c r="U96" s="5" t="s">
        <v>34</v>
      </c>
      <c r="V96" s="7" t="s">
        <v>34</v>
      </c>
      <c r="W96" s="5" t="s">
        <v>34</v>
      </c>
      <c r="X96" s="5" t="s">
        <v>34</v>
      </c>
      <c r="Y96" s="5" t="s">
        <v>34</v>
      </c>
      <c r="Z96" s="5" t="s">
        <v>34</v>
      </c>
      <c r="AA96" s="5" t="s">
        <v>34</v>
      </c>
      <c r="AB96" s="5" t="s">
        <v>34</v>
      </c>
      <c r="AC96" s="5" t="s">
        <v>34</v>
      </c>
      <c r="AD96" s="5" t="s">
        <v>34</v>
      </c>
    </row>
    <row r="97" spans="1:30" ht="15.55" x14ac:dyDescent="0.3">
      <c r="A97" s="4">
        <v>1000000000832</v>
      </c>
      <c r="B97" s="5" t="s">
        <v>342</v>
      </c>
      <c r="C97" s="4">
        <v>3000000000573</v>
      </c>
      <c r="D97" s="5" t="s">
        <v>343</v>
      </c>
      <c r="E97" s="5" t="s">
        <v>31</v>
      </c>
      <c r="F97" s="5" t="s">
        <v>32</v>
      </c>
      <c r="G97" s="10" cm="1">
        <f t="array" ref="G97">IF(OR($A97="",$L97=""),"",_xlfn.LET(_xlpm.cat,UPPER($E97),_xlpm.wt,IFERROR(VALUE(LEFT($L97,FIND(" ",$L97&amp;" ")-1)),$L97),_xlpm.ppk,_xlfn.SWITCH(TRUE,_xlpm.cat="GAMEFOWL",62,_xlpm.cat="POULTRY",45,_xlpm.cat="SWINE",48,_xlpm.cat="HOGS",48,_xlpm.cat="RABBIT",40,45),_xlpm.code,IFERROR(VALUE(LEFT($A97,FIND(" ",$A97&amp;" ")-1)),0),_xlpm.v,1+MOD(_xlpm.code,13)/100,ROUND(_xlpm.ppk*_xlpm.wt*_xlpm.v,0)))</f>
        <v>2424</v>
      </c>
      <c r="H97" s="6" cm="1">
        <f t="array" ref="H97">IF(OR($A97="",$L97=""),"",_xlfn.LET(_xlpm.cat,UPPER($E97),_xlpm.base,_xlfn.SWITCH(TRUE,_xlpm.cat="GAMEFOWL",0.22,_xlpm.cat="POULTRY",0.18,_xlpm.cat="SWINE",0.16,_xlpm.cat="HOGS",0.16,_xlpm.cat="RABBIT",0.15,0.17),_xlpm.code,IFERROR(VALUE(LEFT($A97,FIND(" ",$A97&amp;" ")-1)),0),_xlpm.v,MOD(_xlpm.code,9)/1000,MIN(0.3,MAX(0.1,_xlpm.base+_xlpm.v))))</f>
        <v>0.16500000000000001</v>
      </c>
      <c r="I97" s="5" t="s">
        <v>33</v>
      </c>
      <c r="J97" s="5">
        <v>4</v>
      </c>
      <c r="K97" s="5">
        <v>0.17</v>
      </c>
      <c r="L97" s="5">
        <v>50</v>
      </c>
      <c r="M97" s="5">
        <v>4</v>
      </c>
      <c r="N97" s="5">
        <v>2</v>
      </c>
      <c r="O97" s="5">
        <v>2</v>
      </c>
      <c r="Q97" s="5" t="s">
        <v>344</v>
      </c>
      <c r="R97" s="5" t="s">
        <v>34</v>
      </c>
      <c r="S97" s="5" t="s">
        <v>92</v>
      </c>
      <c r="T97" s="7">
        <v>5000000000050</v>
      </c>
      <c r="U97" s="5" t="s">
        <v>150</v>
      </c>
      <c r="V97" s="7">
        <v>5000000000104</v>
      </c>
      <c r="W97" s="5" t="s">
        <v>345</v>
      </c>
      <c r="X97" s="5" t="s">
        <v>34</v>
      </c>
      <c r="Y97" s="5">
        <v>20.158269557932371</v>
      </c>
      <c r="Z97" s="5" t="s">
        <v>34</v>
      </c>
      <c r="AA97" s="5" t="s">
        <v>34</v>
      </c>
      <c r="AB97" s="5" t="s">
        <v>34</v>
      </c>
      <c r="AC97" s="5" t="s">
        <v>34</v>
      </c>
      <c r="AD97" s="5" t="s">
        <v>34</v>
      </c>
    </row>
    <row r="98" spans="1:30" ht="15.55" x14ac:dyDescent="0.3">
      <c r="A98" s="4">
        <v>1000000000831</v>
      </c>
      <c r="B98" s="5" t="s">
        <v>346</v>
      </c>
      <c r="C98" s="4">
        <v>3000000000571</v>
      </c>
      <c r="D98" s="5" t="s">
        <v>347</v>
      </c>
      <c r="E98" s="5" t="s">
        <v>31</v>
      </c>
      <c r="F98" s="5" t="s">
        <v>32</v>
      </c>
      <c r="G98" s="10" cm="1">
        <f t="array" ref="G98">IF(OR($A98="",$L98=""),"",_xlfn.LET(_xlpm.cat,UPPER($E98),_xlpm.wt,IFERROR(VALUE(LEFT($L98,FIND(" ",$L98&amp;" ")-1)),$L98),_xlpm.ppk,_xlfn.SWITCH(TRUE,_xlpm.cat="GAMEFOWL",62,_xlpm.cat="POULTRY",45,_xlpm.cat="SWINE",48,_xlpm.cat="HOGS",48,_xlpm.cat="RABBIT",40,45),_xlpm.code,IFERROR(VALUE(LEFT($A98,FIND(" ",$A98&amp;" ")-1)),0),_xlpm.v,1+MOD(_xlpm.code,13)/100,ROUND(_xlpm.ppk*_xlpm.wt*_xlpm.v,0)))</f>
        <v>2400</v>
      </c>
      <c r="H98" s="6" cm="1">
        <f t="array" ref="H98">IF(OR($A98="",$L98=""),"",_xlfn.LET(_xlpm.cat,UPPER($E98),_xlpm.base,_xlfn.SWITCH(TRUE,_xlpm.cat="GAMEFOWL",0.22,_xlpm.cat="POULTRY",0.18,_xlpm.cat="SWINE",0.16,_xlpm.cat="HOGS",0.16,_xlpm.cat="RABBIT",0.15,0.17),_xlpm.code,IFERROR(VALUE(LEFT($A98,FIND(" ",$A98&amp;" ")-1)),0),_xlpm.v,MOD(_xlpm.code,9)/1000,MIN(0.3,MAX(0.1,_xlpm.base+_xlpm.v))))</f>
        <v>0.16400000000000001</v>
      </c>
      <c r="I98" s="5" t="s">
        <v>48</v>
      </c>
      <c r="J98" s="5">
        <v>3</v>
      </c>
      <c r="K98" s="5">
        <v>0.17</v>
      </c>
      <c r="L98" s="5">
        <v>50</v>
      </c>
      <c r="M98" s="5">
        <v>4</v>
      </c>
      <c r="N98" s="5">
        <v>2</v>
      </c>
      <c r="O98" s="5">
        <v>2</v>
      </c>
      <c r="Q98" s="5" t="s">
        <v>348</v>
      </c>
      <c r="R98" s="5" t="s">
        <v>34</v>
      </c>
      <c r="S98" s="5" t="s">
        <v>63</v>
      </c>
      <c r="T98" s="7">
        <v>5000000000001</v>
      </c>
      <c r="U98" s="5" t="s">
        <v>349</v>
      </c>
      <c r="V98" s="7">
        <v>5000000000103</v>
      </c>
      <c r="W98" s="5" t="s">
        <v>350</v>
      </c>
      <c r="X98" s="5">
        <v>19.098000822739454</v>
      </c>
      <c r="Y98" s="5">
        <v>20.153449071702852</v>
      </c>
      <c r="Z98" s="5" t="s">
        <v>34</v>
      </c>
      <c r="AA98" s="5" t="s">
        <v>34</v>
      </c>
      <c r="AB98" s="5" t="s">
        <v>34</v>
      </c>
      <c r="AC98" s="5">
        <v>6.7186884293547067</v>
      </c>
      <c r="AD98" s="5">
        <v>6.7255682689216467</v>
      </c>
    </row>
    <row r="99" spans="1:30" ht="15.55" x14ac:dyDescent="0.3">
      <c r="A99" s="4">
        <v>1000000000827</v>
      </c>
      <c r="B99" s="5" t="s">
        <v>351</v>
      </c>
      <c r="C99" s="4">
        <v>3000000000561</v>
      </c>
      <c r="D99" s="5" t="s">
        <v>352</v>
      </c>
      <c r="E99" s="5" t="s">
        <v>31</v>
      </c>
      <c r="F99" s="5" t="s">
        <v>32</v>
      </c>
      <c r="G99" s="10" cm="1">
        <f t="array" ref="G99">IF(OR($A99="",$L99=""),"",_xlfn.LET(_xlpm.cat,UPPER($E99),_xlpm.wt,IFERROR(VALUE(LEFT($L99,FIND(" ",$L99&amp;" ")-1)),$L99),_xlpm.ppk,_xlfn.SWITCH(TRUE,_xlpm.cat="GAMEFOWL",62,_xlpm.cat="POULTRY",45,_xlpm.cat="SWINE",48,_xlpm.cat="HOGS",48,_xlpm.cat="RABBIT",40,45),_xlpm.code,IFERROR(VALUE(LEFT($A99,FIND(" ",$A99&amp;" ")-1)),0),_xlpm.v,1+MOD(_xlpm.code,13)/100,ROUND(_xlpm.ppk*_xlpm.wt*_xlpm.v,0)))</f>
        <v>2616</v>
      </c>
      <c r="H99" s="6" cm="1">
        <f t="array" ref="H99">IF(OR($A99="",$L99=""),"",_xlfn.LET(_xlpm.cat,UPPER($E99),_xlpm.base,_xlfn.SWITCH(TRUE,_xlpm.cat="GAMEFOWL",0.22,_xlpm.cat="POULTRY",0.18,_xlpm.cat="SWINE",0.16,_xlpm.cat="HOGS",0.16,_xlpm.cat="RABBIT",0.15,0.17),_xlpm.code,IFERROR(VALUE(LEFT($A99,FIND(" ",$A99&amp;" ")-1)),0),_xlpm.v,MOD(_xlpm.code,9)/1000,MIN(0.3,MAX(0.1,_xlpm.base+_xlpm.v))))</f>
        <v>0.16</v>
      </c>
      <c r="I99" s="5" t="s">
        <v>33</v>
      </c>
      <c r="J99" s="5">
        <v>4</v>
      </c>
      <c r="K99" s="5">
        <v>0.17</v>
      </c>
      <c r="L99" s="5">
        <v>50</v>
      </c>
      <c r="M99" s="5">
        <v>4</v>
      </c>
      <c r="N99" s="5">
        <v>2</v>
      </c>
      <c r="O99" s="5">
        <v>2</v>
      </c>
      <c r="Q99" s="5">
        <v>827</v>
      </c>
      <c r="R99" s="5" t="s">
        <v>34</v>
      </c>
      <c r="S99" s="5" t="s">
        <v>222</v>
      </c>
      <c r="T99" s="7">
        <v>5000000000052</v>
      </c>
      <c r="U99" s="5" t="s">
        <v>353</v>
      </c>
      <c r="V99" s="7">
        <v>5000000000106</v>
      </c>
      <c r="W99" s="5" t="s">
        <v>354</v>
      </c>
      <c r="X99" s="5" t="s">
        <v>34</v>
      </c>
      <c r="Y99" s="5">
        <v>19.847961012443577</v>
      </c>
      <c r="Z99" s="5" t="s">
        <v>34</v>
      </c>
      <c r="AA99" s="5" t="s">
        <v>34</v>
      </c>
      <c r="AB99" s="5" t="s">
        <v>34</v>
      </c>
      <c r="AC99" s="5" t="s">
        <v>34</v>
      </c>
      <c r="AD99" s="5" t="s">
        <v>34</v>
      </c>
    </row>
    <row r="100" spans="1:30" ht="15.55" x14ac:dyDescent="0.3">
      <c r="A100" s="4">
        <v>1000000000820</v>
      </c>
      <c r="B100" s="5" t="s">
        <v>355</v>
      </c>
      <c r="C100" s="4">
        <v>3000000000434</v>
      </c>
      <c r="D100" s="5" t="s">
        <v>356</v>
      </c>
      <c r="E100" s="5" t="s">
        <v>34</v>
      </c>
      <c r="F100" s="5" t="s">
        <v>34</v>
      </c>
      <c r="G100" s="10" cm="1">
        <f t="array" ref="G100">IF(OR($A100="",$L100=""),"",_xlfn.LET(_xlpm.cat,UPPER($E100),_xlpm.wt,IFERROR(VALUE(LEFT($L100,FIND(" ",$L100&amp;" ")-1)),$L100),_xlpm.ppk,_xlfn.SWITCH(TRUE,_xlpm.cat="GAMEFOWL",62,_xlpm.cat="POULTRY",45,_xlpm.cat="SWINE",48,_xlpm.cat="HOGS",48,_xlpm.cat="RABBIT",40,45),_xlpm.code,IFERROR(VALUE(LEFT($A100,FIND(" ",$A100&amp;" ")-1)),0),_xlpm.v,1+MOD(_xlpm.code,13)/100,ROUND(_xlpm.ppk*_xlpm.wt*_xlpm.v,0)))</f>
        <v>1148</v>
      </c>
      <c r="H100" s="6" cm="1">
        <f t="array" ref="H100">IF(OR($A100="",$L100=""),"",_xlfn.LET(_xlpm.cat,UPPER($E100),_xlpm.base,_xlfn.SWITCH(TRUE,_xlpm.cat="GAMEFOWL",0.22,_xlpm.cat="POULTRY",0.18,_xlpm.cat="SWINE",0.16,_xlpm.cat="HOGS",0.16,_xlpm.cat="RABBIT",0.15,0.17),_xlpm.code,IFERROR(VALUE(LEFT($A100,FIND(" ",$A100&amp;" ")-1)),0),_xlpm.v,MOD(_xlpm.code,9)/1000,MIN(0.3,MAX(0.1,_xlpm.base+_xlpm.v))))</f>
        <v>0.17200000000000001</v>
      </c>
      <c r="I100" s="5" t="s">
        <v>139</v>
      </c>
      <c r="J100" s="5">
        <v>3</v>
      </c>
      <c r="K100" s="5">
        <v>0.17</v>
      </c>
      <c r="L100" s="5">
        <v>25</v>
      </c>
      <c r="M100" s="5">
        <v>4</v>
      </c>
      <c r="N100" s="5">
        <v>2</v>
      </c>
      <c r="O100" s="5">
        <v>2</v>
      </c>
      <c r="Q100" s="5" t="s">
        <v>34</v>
      </c>
      <c r="R100" s="5" t="s">
        <v>34</v>
      </c>
      <c r="S100" s="5" t="s">
        <v>34</v>
      </c>
      <c r="T100" s="7" t="s">
        <v>34</v>
      </c>
      <c r="U100" s="5" t="s">
        <v>34</v>
      </c>
      <c r="V100" s="7" t="s">
        <v>34</v>
      </c>
      <c r="W100" s="5" t="s">
        <v>34</v>
      </c>
      <c r="X100" s="5" t="s">
        <v>34</v>
      </c>
      <c r="Y100" s="5" t="s">
        <v>34</v>
      </c>
      <c r="Z100" s="5" t="s">
        <v>34</v>
      </c>
      <c r="AA100" s="5" t="s">
        <v>34</v>
      </c>
      <c r="AB100" s="5" t="s">
        <v>34</v>
      </c>
      <c r="AC100" s="5" t="s">
        <v>34</v>
      </c>
      <c r="AD100" s="5" t="s">
        <v>34</v>
      </c>
    </row>
    <row r="101" spans="1:30" ht="15.55" x14ac:dyDescent="0.3">
      <c r="A101" s="4">
        <v>1000000001088</v>
      </c>
      <c r="B101" s="5" t="s">
        <v>357</v>
      </c>
      <c r="C101" s="4">
        <v>3000000000663</v>
      </c>
      <c r="D101" s="5" t="s">
        <v>358</v>
      </c>
      <c r="E101" s="5" t="s">
        <v>31</v>
      </c>
      <c r="F101" s="5" t="s">
        <v>34</v>
      </c>
      <c r="G101" s="10" cm="1">
        <f t="array" ref="G101">IF(OR($A101="",$L101=""),"",_xlfn.LET(_xlpm.cat,UPPER($E101),_xlpm.wt,IFERROR(VALUE(LEFT($L101,FIND(" ",$L101&amp;" ")-1)),$L101),_xlpm.ppk,_xlfn.SWITCH(TRUE,_xlpm.cat="GAMEFOWL",62,_xlpm.cat="POULTRY",45,_xlpm.cat="SWINE",48,_xlpm.cat="HOGS",48,_xlpm.cat="RABBIT",40,45),_xlpm.code,IFERROR(VALUE(LEFT($A101,FIND(" ",$A101&amp;" ")-1)),0),_xlpm.v,1+MOD(_xlpm.code,13)/100,ROUND(_xlpm.ppk*_xlpm.wt*_xlpm.v,0)))</f>
        <v>2640</v>
      </c>
      <c r="H101" s="6" cm="1">
        <f t="array" ref="H101">IF(OR($A101="",$L101=""),"",_xlfn.LET(_xlpm.cat,UPPER($E101),_xlpm.base,_xlfn.SWITCH(TRUE,_xlpm.cat="GAMEFOWL",0.22,_xlpm.cat="POULTRY",0.18,_xlpm.cat="SWINE",0.16,_xlpm.cat="HOGS",0.16,_xlpm.cat="RABBIT",0.15,0.17),_xlpm.code,IFERROR(VALUE(LEFT($A101,FIND(" ",$A101&amp;" ")-1)),0),_xlpm.v,MOD(_xlpm.code,9)/1000,MIN(0.3,MAX(0.1,_xlpm.base+_xlpm.v))))</f>
        <v>0.16</v>
      </c>
      <c r="I101" s="5" t="s">
        <v>57</v>
      </c>
      <c r="K101" s="5">
        <v>0</v>
      </c>
      <c r="L101" s="5">
        <v>50</v>
      </c>
      <c r="M101" s="5">
        <v>2</v>
      </c>
      <c r="N101" s="5">
        <v>2</v>
      </c>
      <c r="O101" s="5">
        <v>2</v>
      </c>
      <c r="Q101" s="5">
        <v>1088</v>
      </c>
      <c r="R101" s="5" t="s">
        <v>34</v>
      </c>
      <c r="S101" s="5" t="s">
        <v>314</v>
      </c>
      <c r="T101" s="7">
        <v>5000000000399</v>
      </c>
      <c r="U101" s="5" t="s">
        <v>58</v>
      </c>
      <c r="V101" s="7">
        <v>5000000000449</v>
      </c>
      <c r="W101" s="5" t="s">
        <v>359</v>
      </c>
      <c r="X101" s="5" t="s">
        <v>34</v>
      </c>
      <c r="Y101" s="5" t="s">
        <v>34</v>
      </c>
      <c r="Z101" s="5" t="s">
        <v>34</v>
      </c>
      <c r="AA101" s="5" t="s">
        <v>34</v>
      </c>
      <c r="AB101" s="5" t="s">
        <v>34</v>
      </c>
      <c r="AC101" s="5" t="s">
        <v>34</v>
      </c>
      <c r="AD101" s="5" t="s">
        <v>34</v>
      </c>
    </row>
    <row r="102" spans="1:30" ht="15.55" x14ac:dyDescent="0.3">
      <c r="A102" s="4">
        <v>1000000000828</v>
      </c>
      <c r="B102" s="5" t="s">
        <v>360</v>
      </c>
      <c r="C102" s="4">
        <v>3000000000563</v>
      </c>
      <c r="D102" s="5" t="s">
        <v>361</v>
      </c>
      <c r="E102" s="5" t="s">
        <v>31</v>
      </c>
      <c r="F102" s="5" t="s">
        <v>32</v>
      </c>
      <c r="G102" s="10" cm="1">
        <f t="array" ref="G102">IF(OR($A102="",$L102=""),"",_xlfn.LET(_xlpm.cat,UPPER($E102),_xlpm.wt,IFERROR(VALUE(LEFT($L102,FIND(" ",$L102&amp;" ")-1)),$L102),_xlpm.ppk,_xlfn.SWITCH(TRUE,_xlpm.cat="GAMEFOWL",62,_xlpm.cat="POULTRY",45,_xlpm.cat="SWINE",48,_xlpm.cat="HOGS",48,_xlpm.cat="RABBIT",40,45),_xlpm.code,IFERROR(VALUE(LEFT($A102,FIND(" ",$A102&amp;" ")-1)),0),_xlpm.v,1+MOD(_xlpm.code,13)/100,ROUND(_xlpm.ppk*_xlpm.wt*_xlpm.v,0)))</f>
        <v>2640</v>
      </c>
      <c r="H102" s="6" cm="1">
        <f t="array" ref="H102">IF(OR($A102="",$L102=""),"",_xlfn.LET(_xlpm.cat,UPPER($E102),_xlpm.base,_xlfn.SWITCH(TRUE,_xlpm.cat="GAMEFOWL",0.22,_xlpm.cat="POULTRY",0.18,_xlpm.cat="SWINE",0.16,_xlpm.cat="HOGS",0.16,_xlpm.cat="RABBIT",0.15,0.17),_xlpm.code,IFERROR(VALUE(LEFT($A102,FIND(" ",$A102&amp;" ")-1)),0),_xlpm.v,MOD(_xlpm.code,9)/1000,MIN(0.3,MAX(0.1,_xlpm.base+_xlpm.v))))</f>
        <v>0.161</v>
      </c>
      <c r="I102" s="5" t="s">
        <v>33</v>
      </c>
      <c r="J102" s="5">
        <v>4</v>
      </c>
      <c r="K102" s="5">
        <v>0.17</v>
      </c>
      <c r="L102" s="5">
        <v>50</v>
      </c>
      <c r="M102" s="5">
        <v>4</v>
      </c>
      <c r="N102" s="5">
        <v>2</v>
      </c>
      <c r="O102" s="5">
        <v>2</v>
      </c>
      <c r="Q102" s="5" t="s">
        <v>362</v>
      </c>
      <c r="R102" s="5" t="s">
        <v>34</v>
      </c>
      <c r="S102" s="5" t="s">
        <v>63</v>
      </c>
      <c r="T102" s="7">
        <v>5000000000053</v>
      </c>
      <c r="U102" s="5" t="s">
        <v>363</v>
      </c>
      <c r="V102" s="7">
        <v>5000000000107</v>
      </c>
      <c r="W102" s="5" t="s">
        <v>364</v>
      </c>
      <c r="X102" s="5" t="s">
        <v>34</v>
      </c>
      <c r="Y102" s="5">
        <v>20.04536401731648</v>
      </c>
      <c r="Z102" s="5" t="s">
        <v>34</v>
      </c>
      <c r="AA102" s="5" t="s">
        <v>34</v>
      </c>
      <c r="AB102" s="5" t="s">
        <v>34</v>
      </c>
      <c r="AC102" s="5" t="s">
        <v>34</v>
      </c>
      <c r="AD102" s="5" t="s">
        <v>34</v>
      </c>
    </row>
    <row r="103" spans="1:30" ht="15.55" x14ac:dyDescent="0.3">
      <c r="A103" s="4">
        <v>1000000000833</v>
      </c>
      <c r="B103" s="5" t="s">
        <v>365</v>
      </c>
      <c r="C103" s="4">
        <v>3000000000575</v>
      </c>
      <c r="D103" s="5" t="s">
        <v>366</v>
      </c>
      <c r="E103" s="5" t="s">
        <v>31</v>
      </c>
      <c r="F103" s="5" t="s">
        <v>32</v>
      </c>
      <c r="G103" s="10" cm="1">
        <f t="array" ref="G103">IF(OR($A103="",$L103=""),"",_xlfn.LET(_xlpm.cat,UPPER($E103),_xlpm.wt,IFERROR(VALUE(LEFT($L103,FIND(" ",$L103&amp;" ")-1)),$L103),_xlpm.ppk,_xlfn.SWITCH(TRUE,_xlpm.cat="GAMEFOWL",62,_xlpm.cat="POULTRY",45,_xlpm.cat="SWINE",48,_xlpm.cat="HOGS",48,_xlpm.cat="RABBIT",40,45),_xlpm.code,IFERROR(VALUE(LEFT($A103,FIND(" ",$A103&amp;" ")-1)),0),_xlpm.v,1+MOD(_xlpm.code,13)/100,ROUND(_xlpm.ppk*_xlpm.wt*_xlpm.v,0)))</f>
        <v>2448</v>
      </c>
      <c r="H103" s="6" cm="1">
        <f t="array" ref="H103">IF(OR($A103="",$L103=""),"",_xlfn.LET(_xlpm.cat,UPPER($E103),_xlpm.base,_xlfn.SWITCH(TRUE,_xlpm.cat="GAMEFOWL",0.22,_xlpm.cat="POULTRY",0.18,_xlpm.cat="SWINE",0.16,_xlpm.cat="HOGS",0.16,_xlpm.cat="RABBIT",0.15,0.17),_xlpm.code,IFERROR(VALUE(LEFT($A103,FIND(" ",$A103&amp;" ")-1)),0),_xlpm.v,MOD(_xlpm.code,9)/1000,MIN(0.3,MAX(0.1,_xlpm.base+_xlpm.v))))</f>
        <v>0.16600000000000001</v>
      </c>
      <c r="I103" s="5" t="s">
        <v>33</v>
      </c>
      <c r="J103" s="5">
        <v>4</v>
      </c>
      <c r="K103" s="5">
        <v>0.17</v>
      </c>
      <c r="L103" s="5">
        <v>50</v>
      </c>
      <c r="M103" s="5">
        <v>4</v>
      </c>
      <c r="N103" s="5">
        <v>2</v>
      </c>
      <c r="O103" s="5">
        <v>2</v>
      </c>
      <c r="Q103" s="5" t="s">
        <v>367</v>
      </c>
      <c r="R103" s="5" t="s">
        <v>34</v>
      </c>
      <c r="S103" s="5" t="s">
        <v>314</v>
      </c>
      <c r="T103" s="7">
        <v>5000000000050</v>
      </c>
      <c r="U103" s="5" t="s">
        <v>150</v>
      </c>
      <c r="V103" s="7">
        <v>5000000000651</v>
      </c>
      <c r="W103" s="5" t="s">
        <v>368</v>
      </c>
      <c r="X103" s="5" t="s">
        <v>34</v>
      </c>
      <c r="Y103" s="5">
        <v>20.166307156512357</v>
      </c>
      <c r="Z103" s="5" t="s">
        <v>34</v>
      </c>
      <c r="AA103" s="5" t="s">
        <v>34</v>
      </c>
      <c r="AB103" s="5" t="s">
        <v>34</v>
      </c>
      <c r="AC103" s="5" t="s">
        <v>34</v>
      </c>
      <c r="AD103" s="5" t="s">
        <v>34</v>
      </c>
    </row>
    <row r="104" spans="1:30" ht="15.55" x14ac:dyDescent="0.3">
      <c r="A104" s="4">
        <v>1000000000478</v>
      </c>
      <c r="B104" s="5" t="s">
        <v>369</v>
      </c>
      <c r="C104" s="4">
        <v>3000000000639</v>
      </c>
      <c r="D104" s="5" t="s">
        <v>370</v>
      </c>
      <c r="E104" s="5" t="s">
        <v>31</v>
      </c>
      <c r="F104" s="5" t="s">
        <v>32</v>
      </c>
      <c r="G104" s="10" cm="1">
        <f t="array" ref="G104">IF(OR($A104="",$L104=""),"",_xlfn.LET(_xlpm.cat,UPPER($E104),_xlpm.wt,IFERROR(VALUE(LEFT($L104,FIND(" ",$L104&amp;" ")-1)),$L104),_xlpm.ppk,_xlfn.SWITCH(TRUE,_xlpm.cat="GAMEFOWL",62,_xlpm.cat="POULTRY",45,_xlpm.cat="SWINE",48,_xlpm.cat="HOGS",48,_xlpm.cat="RABBIT",40,45),_xlpm.code,IFERROR(VALUE(LEFT($A104,FIND(" ",$A104&amp;" ")-1)),0),_xlpm.v,1+MOD(_xlpm.code,13)/100,ROUND(_xlpm.ppk*_xlpm.wt*_xlpm.v,0)))</f>
        <v>2664</v>
      </c>
      <c r="H104" s="6" cm="1">
        <f t="array" ref="H104">IF(OR($A104="",$L104=""),"",_xlfn.LET(_xlpm.cat,UPPER($E104),_xlpm.base,_xlfn.SWITCH(TRUE,_xlpm.cat="GAMEFOWL",0.22,_xlpm.cat="POULTRY",0.18,_xlpm.cat="SWINE",0.16,_xlpm.cat="HOGS",0.16,_xlpm.cat="RABBIT",0.15,0.17),_xlpm.code,IFERROR(VALUE(LEFT($A104,FIND(" ",$A104&amp;" ")-1)),0),_xlpm.v,MOD(_xlpm.code,9)/1000,MIN(0.3,MAX(0.1,_xlpm.base+_xlpm.v))))</f>
        <v>0.16200000000000001</v>
      </c>
      <c r="I104" s="5" t="s">
        <v>48</v>
      </c>
      <c r="J104" s="5">
        <v>3</v>
      </c>
      <c r="K104" s="5">
        <v>0.17</v>
      </c>
      <c r="L104" s="5">
        <v>50</v>
      </c>
      <c r="M104" s="5">
        <v>4</v>
      </c>
      <c r="N104" s="5">
        <v>2</v>
      </c>
      <c r="O104" s="5">
        <v>2</v>
      </c>
      <c r="Q104" s="5" t="s">
        <v>34</v>
      </c>
      <c r="R104" s="5" t="s">
        <v>34</v>
      </c>
      <c r="S104" s="5" t="s">
        <v>34</v>
      </c>
      <c r="T104" s="7" t="s">
        <v>34</v>
      </c>
      <c r="U104" s="5" t="s">
        <v>34</v>
      </c>
      <c r="V104" s="7" t="s">
        <v>34</v>
      </c>
      <c r="W104" s="5" t="s">
        <v>34</v>
      </c>
      <c r="X104" s="5" t="s">
        <v>34</v>
      </c>
      <c r="Y104" s="5" t="s">
        <v>34</v>
      </c>
      <c r="Z104" s="5" t="s">
        <v>34</v>
      </c>
      <c r="AA104" s="5" t="s">
        <v>34</v>
      </c>
      <c r="AB104" s="5" t="s">
        <v>34</v>
      </c>
      <c r="AC104" s="5" t="s">
        <v>34</v>
      </c>
      <c r="AD104" s="5" t="s">
        <v>34</v>
      </c>
    </row>
    <row r="105" spans="1:30" ht="15.55" x14ac:dyDescent="0.3">
      <c r="A105" s="4">
        <v>1000000001696</v>
      </c>
      <c r="B105" s="5" t="s">
        <v>371</v>
      </c>
      <c r="C105" s="4">
        <v>3000000000643</v>
      </c>
      <c r="D105" s="5" t="s">
        <v>372</v>
      </c>
      <c r="E105" s="5" t="s">
        <v>31</v>
      </c>
      <c r="F105" s="5" t="s">
        <v>32</v>
      </c>
      <c r="G105" s="10" cm="1">
        <f t="array" ref="G105">IF(OR($A105="",$L105=""),"",_xlfn.LET(_xlpm.cat,UPPER($E105),_xlpm.wt,IFERROR(VALUE(LEFT($L105,FIND(" ",$L105&amp;" ")-1)),$L105),_xlpm.ppk,_xlfn.SWITCH(TRUE,_xlpm.cat="GAMEFOWL",62,_xlpm.cat="POULTRY",45,_xlpm.cat="SWINE",48,_xlpm.cat="HOGS",48,_xlpm.cat="RABBIT",40,45),_xlpm.code,IFERROR(VALUE(LEFT($A105,FIND(" ",$A105&amp;" ")-1)),0),_xlpm.v,1+MOD(_xlpm.code,13)/100,ROUND(_xlpm.ppk*_xlpm.wt*_xlpm.v,0)))</f>
        <v>2568</v>
      </c>
      <c r="H105" s="6" cm="1">
        <f t="array" ref="H105">IF(OR($A105="",$L105=""),"",_xlfn.LET(_xlpm.cat,UPPER($E105),_xlpm.base,_xlfn.SWITCH(TRUE,_xlpm.cat="GAMEFOWL",0.22,_xlpm.cat="POULTRY",0.18,_xlpm.cat="SWINE",0.16,_xlpm.cat="HOGS",0.16,_xlpm.cat="RABBIT",0.15,0.17),_xlpm.code,IFERROR(VALUE(LEFT($A105,FIND(" ",$A105&amp;" ")-1)),0),_xlpm.v,MOD(_xlpm.code,9)/1000,MIN(0.3,MAX(0.1,_xlpm.base+_xlpm.v))))</f>
        <v>0.16500000000000001</v>
      </c>
      <c r="I105" s="5" t="s">
        <v>33</v>
      </c>
      <c r="J105" s="5">
        <v>4</v>
      </c>
      <c r="K105" s="5">
        <v>0.17</v>
      </c>
      <c r="L105" s="5">
        <v>50</v>
      </c>
      <c r="M105" s="5">
        <v>4</v>
      </c>
      <c r="N105" s="5">
        <v>2</v>
      </c>
      <c r="O105" s="5">
        <v>2</v>
      </c>
      <c r="Q105" s="5" t="s">
        <v>34</v>
      </c>
      <c r="R105" s="5" t="s">
        <v>373</v>
      </c>
      <c r="S105" s="5" t="s">
        <v>314</v>
      </c>
      <c r="T105" s="7">
        <v>5000000000421</v>
      </c>
      <c r="U105" s="5" t="s">
        <v>374</v>
      </c>
      <c r="V105" s="7">
        <v>5000000000475</v>
      </c>
      <c r="W105" s="5" t="s">
        <v>375</v>
      </c>
      <c r="X105" s="5" t="s">
        <v>34</v>
      </c>
      <c r="Y105" s="5" t="s">
        <v>34</v>
      </c>
      <c r="Z105" s="5" t="s">
        <v>34</v>
      </c>
      <c r="AA105" s="5" t="s">
        <v>34</v>
      </c>
      <c r="AB105" s="5" t="s">
        <v>34</v>
      </c>
      <c r="AC105" s="5" t="s">
        <v>34</v>
      </c>
      <c r="AD105" s="5" t="s">
        <v>34</v>
      </c>
    </row>
    <row r="106" spans="1:30" ht="15.55" x14ac:dyDescent="0.3">
      <c r="A106" s="4">
        <v>1000000001695</v>
      </c>
      <c r="B106" s="5" t="s">
        <v>376</v>
      </c>
      <c r="C106" s="4">
        <v>3000000000645</v>
      </c>
      <c r="D106" s="5" t="s">
        <v>377</v>
      </c>
      <c r="E106" s="5" t="s">
        <v>31</v>
      </c>
      <c r="F106" s="5" t="s">
        <v>32</v>
      </c>
      <c r="G106" s="10" cm="1">
        <f t="array" ref="G106">IF(OR($A106="",$L106=""),"",_xlfn.LET(_xlpm.cat,UPPER($E106),_xlpm.wt,IFERROR(VALUE(LEFT($L106,FIND(" ",$L106&amp;" ")-1)),$L106),_xlpm.ppk,_xlfn.SWITCH(TRUE,_xlpm.cat="GAMEFOWL",62,_xlpm.cat="POULTRY",45,_xlpm.cat="SWINE",48,_xlpm.cat="HOGS",48,_xlpm.cat="RABBIT",40,45),_xlpm.code,IFERROR(VALUE(LEFT($A106,FIND(" ",$A106&amp;" ")-1)),0),_xlpm.v,1+MOD(_xlpm.code,13)/100,ROUND(_xlpm.ppk*_xlpm.wt*_xlpm.v,0)))</f>
        <v>2544</v>
      </c>
      <c r="H106" s="6" cm="1">
        <f t="array" ref="H106">IF(OR($A106="",$L106=""),"",_xlfn.LET(_xlpm.cat,UPPER($E106),_xlpm.base,_xlfn.SWITCH(TRUE,_xlpm.cat="GAMEFOWL",0.22,_xlpm.cat="POULTRY",0.18,_xlpm.cat="SWINE",0.16,_xlpm.cat="HOGS",0.16,_xlpm.cat="RABBIT",0.15,0.17),_xlpm.code,IFERROR(VALUE(LEFT($A106,FIND(" ",$A106&amp;" ")-1)),0),_xlpm.v,MOD(_xlpm.code,9)/1000,MIN(0.3,MAX(0.1,_xlpm.base+_xlpm.v))))</f>
        <v>0.16400000000000001</v>
      </c>
      <c r="I106" s="5" t="s">
        <v>33</v>
      </c>
      <c r="J106" s="5">
        <v>4</v>
      </c>
      <c r="K106" s="5">
        <v>0.17</v>
      </c>
      <c r="L106" s="5">
        <v>50</v>
      </c>
      <c r="M106" s="5">
        <v>4</v>
      </c>
      <c r="N106" s="5">
        <v>2</v>
      </c>
      <c r="O106" s="5">
        <v>2</v>
      </c>
      <c r="Q106" s="5" t="s">
        <v>34</v>
      </c>
      <c r="R106" s="5" t="s">
        <v>34</v>
      </c>
      <c r="S106" s="5" t="s">
        <v>314</v>
      </c>
      <c r="T106" s="7" t="s">
        <v>34</v>
      </c>
      <c r="U106" s="5" t="s">
        <v>34</v>
      </c>
      <c r="V106" s="7">
        <v>5000000000082</v>
      </c>
      <c r="W106" s="5" t="s">
        <v>159</v>
      </c>
      <c r="X106" s="5" t="s">
        <v>34</v>
      </c>
      <c r="Y106" s="5" t="s">
        <v>34</v>
      </c>
      <c r="Z106" s="5" t="s">
        <v>34</v>
      </c>
      <c r="AA106" s="5" t="s">
        <v>34</v>
      </c>
      <c r="AB106" s="5" t="s">
        <v>34</v>
      </c>
      <c r="AC106" s="5" t="s">
        <v>34</v>
      </c>
      <c r="AD106" s="5" t="s">
        <v>34</v>
      </c>
    </row>
    <row r="107" spans="1:30" ht="15.55" x14ac:dyDescent="0.3">
      <c r="A107" s="4">
        <v>1000000000479</v>
      </c>
      <c r="B107" s="5" t="s">
        <v>378</v>
      </c>
      <c r="C107" s="4">
        <v>3000000000641</v>
      </c>
      <c r="D107" s="5" t="s">
        <v>379</v>
      </c>
      <c r="E107" s="5" t="s">
        <v>31</v>
      </c>
      <c r="F107" s="5" t="s">
        <v>32</v>
      </c>
      <c r="G107" s="10" cm="1">
        <f t="array" ref="G107">IF(OR($A107="",$L107=""),"",_xlfn.LET(_xlpm.cat,UPPER($E107),_xlpm.wt,IFERROR(VALUE(LEFT($L107,FIND(" ",$L107&amp;" ")-1)),$L107),_xlpm.ppk,_xlfn.SWITCH(TRUE,_xlpm.cat="GAMEFOWL",62,_xlpm.cat="POULTRY",45,_xlpm.cat="SWINE",48,_xlpm.cat="HOGS",48,_xlpm.cat="RABBIT",40,45),_xlpm.code,IFERROR(VALUE(LEFT($A107,FIND(" ",$A107&amp;" ")-1)),0),_xlpm.v,1+MOD(_xlpm.code,13)/100,ROUND(_xlpm.ppk*_xlpm.wt*_xlpm.v,0)))</f>
        <v>2688</v>
      </c>
      <c r="H107" s="6" cm="1">
        <f t="array" ref="H107">IF(OR($A107="",$L107=""),"",_xlfn.LET(_xlpm.cat,UPPER($E107),_xlpm.base,_xlfn.SWITCH(TRUE,_xlpm.cat="GAMEFOWL",0.22,_xlpm.cat="POULTRY",0.18,_xlpm.cat="SWINE",0.16,_xlpm.cat="HOGS",0.16,_xlpm.cat="RABBIT",0.15,0.17),_xlpm.code,IFERROR(VALUE(LEFT($A107,FIND(" ",$A107&amp;" ")-1)),0),_xlpm.v,MOD(_xlpm.code,9)/1000,MIN(0.3,MAX(0.1,_xlpm.base+_xlpm.v))))</f>
        <v>0.16300000000000001</v>
      </c>
      <c r="I107" s="5" t="s">
        <v>33</v>
      </c>
      <c r="J107" s="5">
        <v>4</v>
      </c>
      <c r="K107" s="5">
        <v>0.17</v>
      </c>
      <c r="L107" s="5">
        <v>50</v>
      </c>
      <c r="M107" s="5">
        <v>4</v>
      </c>
      <c r="N107" s="5">
        <v>2</v>
      </c>
      <c r="O107" s="5">
        <v>2</v>
      </c>
      <c r="Q107" s="5" t="s">
        <v>34</v>
      </c>
      <c r="R107" s="5" t="s">
        <v>34</v>
      </c>
      <c r="S107" s="5" t="s">
        <v>314</v>
      </c>
      <c r="T107" s="7" t="s">
        <v>34</v>
      </c>
      <c r="U107" s="5" t="s">
        <v>380</v>
      </c>
      <c r="V107" s="7">
        <v>5000000000080</v>
      </c>
      <c r="W107" s="5" t="s">
        <v>381</v>
      </c>
      <c r="X107" s="5" t="s">
        <v>34</v>
      </c>
      <c r="Y107" s="5" t="s">
        <v>34</v>
      </c>
      <c r="Z107" s="5" t="s">
        <v>34</v>
      </c>
      <c r="AA107" s="5" t="s">
        <v>34</v>
      </c>
      <c r="AB107" s="5" t="s">
        <v>34</v>
      </c>
      <c r="AC107" s="5" t="s">
        <v>34</v>
      </c>
      <c r="AD107" s="5" t="s">
        <v>34</v>
      </c>
    </row>
    <row r="108" spans="1:30" ht="15.55" x14ac:dyDescent="0.3">
      <c r="A108" s="4">
        <v>1000000000826</v>
      </c>
      <c r="B108" s="5" t="s">
        <v>382</v>
      </c>
      <c r="C108" s="4">
        <v>3000000000559</v>
      </c>
      <c r="D108" s="5" t="s">
        <v>383</v>
      </c>
      <c r="E108" s="5" t="s">
        <v>31</v>
      </c>
      <c r="F108" s="5" t="s">
        <v>32</v>
      </c>
      <c r="G108" s="10" cm="1">
        <f t="array" ref="G108">IF(OR($A108="",$L108=""),"",_xlfn.LET(_xlpm.cat,UPPER($E108),_xlpm.wt,IFERROR(VALUE(LEFT($L108,FIND(" ",$L108&amp;" ")-1)),$L108),_xlpm.ppk,_xlfn.SWITCH(TRUE,_xlpm.cat="GAMEFOWL",62,_xlpm.cat="POULTRY",45,_xlpm.cat="SWINE",48,_xlpm.cat="HOGS",48,_xlpm.cat="RABBIT",40,45),_xlpm.code,IFERROR(VALUE(LEFT($A108,FIND(" ",$A108&amp;" ")-1)),0),_xlpm.v,1+MOD(_xlpm.code,13)/100,ROUND(_xlpm.ppk*_xlpm.wt*_xlpm.v,0)))</f>
        <v>2592</v>
      </c>
      <c r="H108" s="6" cm="1">
        <f t="array" ref="H108">IF(OR($A108="",$L108=""),"",_xlfn.LET(_xlpm.cat,UPPER($E108),_xlpm.base,_xlfn.SWITCH(TRUE,_xlpm.cat="GAMEFOWL",0.22,_xlpm.cat="POULTRY",0.18,_xlpm.cat="SWINE",0.16,_xlpm.cat="HOGS",0.16,_xlpm.cat="RABBIT",0.15,0.17),_xlpm.code,IFERROR(VALUE(LEFT($A108,FIND(" ",$A108&amp;" ")-1)),0),_xlpm.v,MOD(_xlpm.code,9)/1000,MIN(0.3,MAX(0.1,_xlpm.base+_xlpm.v))))</f>
        <v>0.16800000000000001</v>
      </c>
      <c r="I108" s="5" t="s">
        <v>33</v>
      </c>
      <c r="J108" s="5">
        <v>4</v>
      </c>
      <c r="K108" s="5">
        <v>0.17</v>
      </c>
      <c r="L108" s="5">
        <v>50</v>
      </c>
      <c r="M108" s="5">
        <v>4</v>
      </c>
      <c r="N108" s="5">
        <v>2</v>
      </c>
      <c r="O108" s="5">
        <v>2</v>
      </c>
      <c r="Q108" s="5" t="s">
        <v>384</v>
      </c>
      <c r="R108" s="5" t="s">
        <v>34</v>
      </c>
      <c r="S108" s="5" t="s">
        <v>63</v>
      </c>
      <c r="T108" s="7">
        <v>5000000000052</v>
      </c>
      <c r="U108" s="5" t="s">
        <v>353</v>
      </c>
      <c r="V108" s="7">
        <v>5000000000106</v>
      </c>
      <c r="W108" s="5" t="s">
        <v>354</v>
      </c>
      <c r="X108" s="5" t="s">
        <v>34</v>
      </c>
      <c r="Y108" s="5">
        <v>20.059766571790824</v>
      </c>
      <c r="Z108" s="5" t="s">
        <v>34</v>
      </c>
      <c r="AA108" s="5" t="s">
        <v>34</v>
      </c>
      <c r="AB108" s="5" t="s">
        <v>34</v>
      </c>
      <c r="AC108" s="5" t="s">
        <v>34</v>
      </c>
      <c r="AD108" s="5" t="s">
        <v>34</v>
      </c>
    </row>
    <row r="109" spans="1:30" ht="15.55" x14ac:dyDescent="0.3">
      <c r="A109" s="4">
        <v>1000000000834</v>
      </c>
      <c r="B109" s="5" t="s">
        <v>385</v>
      </c>
      <c r="C109" s="4">
        <v>3000000000555</v>
      </c>
      <c r="D109" s="5" t="s">
        <v>386</v>
      </c>
      <c r="E109" s="5" t="s">
        <v>31</v>
      </c>
      <c r="F109" s="5" t="s">
        <v>32</v>
      </c>
      <c r="G109" s="10" cm="1">
        <f t="array" ref="G109">IF(OR($A109="",$L109=""),"",_xlfn.LET(_xlpm.cat,UPPER($E109),_xlpm.wt,IFERROR(VALUE(LEFT($L109,FIND(" ",$L109&amp;" ")-1)),$L109),_xlpm.ppk,_xlfn.SWITCH(TRUE,_xlpm.cat="GAMEFOWL",62,_xlpm.cat="POULTRY",45,_xlpm.cat="SWINE",48,_xlpm.cat="HOGS",48,_xlpm.cat="RABBIT",40,45),_xlpm.code,IFERROR(VALUE(LEFT($A109,FIND(" ",$A109&amp;" ")-1)),0),_xlpm.v,1+MOD(_xlpm.code,13)/100,ROUND(_xlpm.ppk*_xlpm.wt*_xlpm.v,0)))</f>
        <v>2472</v>
      </c>
      <c r="H109" s="6" cm="1">
        <f t="array" ref="H109">IF(OR($A109="",$L109=""),"",_xlfn.LET(_xlpm.cat,UPPER($E109),_xlpm.base,_xlfn.SWITCH(TRUE,_xlpm.cat="GAMEFOWL",0.22,_xlpm.cat="POULTRY",0.18,_xlpm.cat="SWINE",0.16,_xlpm.cat="HOGS",0.16,_xlpm.cat="RABBIT",0.15,0.17),_xlpm.code,IFERROR(VALUE(LEFT($A109,FIND(" ",$A109&amp;" ")-1)),0),_xlpm.v,MOD(_xlpm.code,9)/1000,MIN(0.3,MAX(0.1,_xlpm.base+_xlpm.v))))</f>
        <v>0.16700000000000001</v>
      </c>
      <c r="I109" s="5" t="s">
        <v>33</v>
      </c>
      <c r="J109" s="5">
        <v>4</v>
      </c>
      <c r="K109" s="5">
        <v>0.17</v>
      </c>
      <c r="L109" s="5">
        <v>50</v>
      </c>
      <c r="M109" s="5">
        <v>4</v>
      </c>
      <c r="N109" s="5">
        <v>2</v>
      </c>
      <c r="O109" s="5">
        <v>2</v>
      </c>
      <c r="Q109" s="5" t="s">
        <v>387</v>
      </c>
      <c r="R109" s="5" t="s">
        <v>34</v>
      </c>
      <c r="S109" s="5" t="s">
        <v>63</v>
      </c>
      <c r="T109" s="7">
        <v>5000000000051</v>
      </c>
      <c r="U109" s="5" t="s">
        <v>158</v>
      </c>
      <c r="V109" s="7">
        <v>5000000000105</v>
      </c>
      <c r="W109" s="5" t="s">
        <v>388</v>
      </c>
      <c r="X109" s="5">
        <v>19.998719999999981</v>
      </c>
      <c r="Y109" s="5">
        <v>20.077399346177305</v>
      </c>
      <c r="Z109" s="5" t="s">
        <v>34</v>
      </c>
      <c r="AA109" s="5" t="s">
        <v>34</v>
      </c>
      <c r="AB109" s="5" t="s">
        <v>34</v>
      </c>
      <c r="AC109" s="5" t="s">
        <v>34</v>
      </c>
      <c r="AD109" s="5" t="s">
        <v>34</v>
      </c>
    </row>
    <row r="110" spans="1:30" ht="15.55" x14ac:dyDescent="0.3">
      <c r="A110" s="4">
        <v>1000000000912</v>
      </c>
      <c r="B110" s="5" t="s">
        <v>389</v>
      </c>
      <c r="C110" s="4">
        <v>3000000000605</v>
      </c>
      <c r="D110" s="5" t="s">
        <v>390</v>
      </c>
      <c r="E110" s="5" t="s">
        <v>391</v>
      </c>
      <c r="F110" s="5" t="s">
        <v>314</v>
      </c>
      <c r="G110" s="10" cm="1">
        <f t="array" ref="G110">IF(OR($A110="",$L110=""),"",_xlfn.LET(_xlpm.cat,UPPER($E110),_xlpm.wt,IFERROR(VALUE(LEFT($L110,FIND(" ",$L110&amp;" ")-1)),$L110),_xlpm.ppk,_xlfn.SWITCH(TRUE,_xlpm.cat="GAMEFOWL",62,_xlpm.cat="POULTRY",45,_xlpm.cat="SWINE",48,_xlpm.cat="HOGS",48,_xlpm.cat="RABBIT",40,45),_xlpm.code,IFERROR(VALUE(LEFT($A110,FIND(" ",$A110&amp;" ")-1)),0),_xlpm.v,1+MOD(_xlpm.code,13)/100,ROUND(_xlpm.ppk*_xlpm.wt*_xlpm.v,0)))</f>
        <v>1030</v>
      </c>
      <c r="H110" s="6" cm="1">
        <f t="array" ref="H110">IF(OR($A110="",$L110=""),"",_xlfn.LET(_xlpm.cat,UPPER($E110),_xlpm.base,_xlfn.SWITCH(TRUE,_xlpm.cat="GAMEFOWL",0.22,_xlpm.cat="POULTRY",0.18,_xlpm.cat="SWINE",0.16,_xlpm.cat="HOGS",0.16,_xlpm.cat="RABBIT",0.15,0.17),_xlpm.code,IFERROR(VALUE(LEFT($A110,FIND(" ",$A110&amp;" ")-1)),0),_xlpm.v,MOD(_xlpm.code,9)/1000,MIN(0.3,MAX(0.1,_xlpm.base+_xlpm.v))))</f>
        <v>0.154</v>
      </c>
      <c r="I110" s="5" t="s">
        <v>139</v>
      </c>
      <c r="J110" s="5">
        <v>3</v>
      </c>
      <c r="K110" s="5">
        <v>0.17</v>
      </c>
      <c r="L110" s="5">
        <v>25</v>
      </c>
      <c r="M110" s="5">
        <v>4</v>
      </c>
      <c r="N110" s="5">
        <v>1.5</v>
      </c>
      <c r="O110" s="5">
        <v>1.5</v>
      </c>
      <c r="Q110" s="5" t="s">
        <v>34</v>
      </c>
      <c r="R110" s="5" t="s">
        <v>34</v>
      </c>
      <c r="S110" s="5" t="s">
        <v>39</v>
      </c>
      <c r="T110" s="7">
        <v>5000000000402</v>
      </c>
      <c r="U110" s="5" t="s">
        <v>392</v>
      </c>
      <c r="V110" s="7">
        <v>5000000000442</v>
      </c>
      <c r="W110" s="5" t="s">
        <v>393</v>
      </c>
      <c r="X110" s="5" t="s">
        <v>34</v>
      </c>
      <c r="Y110" s="5" t="s">
        <v>34</v>
      </c>
      <c r="Z110" s="5" t="s">
        <v>34</v>
      </c>
      <c r="AA110" s="5" t="s">
        <v>34</v>
      </c>
      <c r="AB110" s="5" t="s">
        <v>34</v>
      </c>
      <c r="AC110" s="5">
        <v>5.9996159999999978</v>
      </c>
      <c r="AD110" s="5" t="s">
        <v>34</v>
      </c>
    </row>
    <row r="111" spans="1:30" ht="15.55" x14ac:dyDescent="0.3">
      <c r="A111" s="4">
        <v>1000000000039</v>
      </c>
      <c r="B111" s="5" t="s">
        <v>394</v>
      </c>
      <c r="C111" s="4">
        <v>3000000000246</v>
      </c>
      <c r="D111" s="5" t="s">
        <v>395</v>
      </c>
      <c r="E111" s="5" t="s">
        <v>86</v>
      </c>
      <c r="F111" s="5" t="s">
        <v>63</v>
      </c>
      <c r="G111" s="10" cm="1">
        <f t="array" ref="G111">IF(OR($A111="",$L111=""),"",_xlfn.LET(_xlpm.cat,UPPER($E111),_xlpm.wt,IFERROR(VALUE(LEFT($L111,FIND(" ",$L111&amp;" ")-1)),$L111),_xlpm.ppk,_xlfn.SWITCH(TRUE,_xlpm.cat="GAMEFOWL",62,_xlpm.cat="POULTRY",45,_xlpm.cat="SWINE",48,_xlpm.cat="HOGS",48,_xlpm.cat="RABBIT",40,45),_xlpm.code,IFERROR(VALUE(LEFT($A111,FIND(" ",$A111&amp;" ")-1)),0),_xlpm.v,1+MOD(_xlpm.code,13)/100,ROUND(_xlpm.ppk*_xlpm.wt*_xlpm.v,0)))</f>
        <v>3131</v>
      </c>
      <c r="H111" s="6" cm="1">
        <f t="array" ref="H111">IF(OR($A111="",$L111=""),"",_xlfn.LET(_xlpm.cat,UPPER($E111),_xlpm.base,_xlfn.SWITCH(TRUE,_xlpm.cat="GAMEFOWL",0.22,_xlpm.cat="POULTRY",0.18,_xlpm.cat="SWINE",0.16,_xlpm.cat="HOGS",0.16,_xlpm.cat="RABBIT",0.15,0.17),_xlpm.code,IFERROR(VALUE(LEFT($A111,FIND(" ",$A111&amp;" ")-1)),0),_xlpm.v,MOD(_xlpm.code,9)/1000,MIN(0.3,MAX(0.1,_xlpm.base+_xlpm.v))))</f>
        <v>0.224</v>
      </c>
      <c r="I111" s="5" t="s">
        <v>122</v>
      </c>
      <c r="J111" s="5">
        <v>3</v>
      </c>
      <c r="K111" s="5">
        <v>0</v>
      </c>
      <c r="L111" s="5">
        <v>50</v>
      </c>
      <c r="M111" s="5">
        <v>0.8</v>
      </c>
      <c r="P111" s="5">
        <v>0.8</v>
      </c>
      <c r="Q111" s="5" t="s">
        <v>34</v>
      </c>
      <c r="R111" s="5" t="s">
        <v>34</v>
      </c>
      <c r="S111" s="5" t="s">
        <v>39</v>
      </c>
      <c r="T111" s="7">
        <v>5000000000151</v>
      </c>
      <c r="U111" s="5" t="s">
        <v>396</v>
      </c>
      <c r="V111" s="7">
        <v>5000000000152</v>
      </c>
      <c r="W111" s="5" t="s">
        <v>397</v>
      </c>
      <c r="X111" s="5" t="s">
        <v>34</v>
      </c>
      <c r="Y111" s="5" t="s">
        <v>34</v>
      </c>
      <c r="Z111" s="5" t="s">
        <v>34</v>
      </c>
      <c r="AA111" s="5" t="s">
        <v>34</v>
      </c>
      <c r="AB111" s="5">
        <v>20.116558976308134</v>
      </c>
      <c r="AC111" s="5" t="s">
        <v>34</v>
      </c>
      <c r="AD111" s="5" t="s">
        <v>34</v>
      </c>
    </row>
    <row r="112" spans="1:30" ht="15.55" x14ac:dyDescent="0.3">
      <c r="A112" s="4">
        <v>1000000000229</v>
      </c>
      <c r="B112" s="5" t="s">
        <v>398</v>
      </c>
      <c r="C112" s="4">
        <v>3000000000148</v>
      </c>
      <c r="D112" s="5" t="s">
        <v>399</v>
      </c>
      <c r="E112" s="5" t="s">
        <v>31</v>
      </c>
      <c r="F112" s="5" t="s">
        <v>34</v>
      </c>
      <c r="G112" s="10" cm="1">
        <f t="array" ref="G112">IF(OR($A112="",$L112=""),"",_xlfn.LET(_xlpm.cat,UPPER($E112),_xlpm.wt,IFERROR(VALUE(LEFT($L112,FIND(" ",$L112&amp;" ")-1)),$L112),_xlpm.ppk,_xlfn.SWITCH(TRUE,_xlpm.cat="GAMEFOWL",62,_xlpm.cat="POULTRY",45,_xlpm.cat="SWINE",48,_xlpm.cat="HOGS",48,_xlpm.cat="RABBIT",40,45),_xlpm.code,IFERROR(VALUE(LEFT($A112,FIND(" ",$A112&amp;" ")-1)),0),_xlpm.v,1+MOD(_xlpm.code,13)/100,ROUND(_xlpm.ppk*_xlpm.wt*_xlpm.v,0)))</f>
        <v>2616</v>
      </c>
      <c r="H112" s="6" cm="1">
        <f t="array" ref="H112">IF(OR($A112="",$L112=""),"",_xlfn.LET(_xlpm.cat,UPPER($E112),_xlpm.base,_xlfn.SWITCH(TRUE,_xlpm.cat="GAMEFOWL",0.22,_xlpm.cat="POULTRY",0.18,_xlpm.cat="SWINE",0.16,_xlpm.cat="HOGS",0.16,_xlpm.cat="RABBIT",0.15,0.17),_xlpm.code,IFERROR(VALUE(LEFT($A112,FIND(" ",$A112&amp;" ")-1)),0),_xlpm.v,MOD(_xlpm.code,9)/1000,MIN(0.3,MAX(0.1,_xlpm.base+_xlpm.v))))</f>
        <v>0.16500000000000001</v>
      </c>
      <c r="I112" s="5" t="s">
        <v>57</v>
      </c>
      <c r="K112" s="5">
        <v>0</v>
      </c>
      <c r="L112" s="5">
        <v>50</v>
      </c>
      <c r="M112" s="5">
        <v>4</v>
      </c>
      <c r="N112" s="5">
        <v>2</v>
      </c>
      <c r="O112" s="5">
        <v>2</v>
      </c>
      <c r="Q112" s="5">
        <v>229</v>
      </c>
      <c r="R112" s="5" t="s">
        <v>34</v>
      </c>
      <c r="S112" s="5" t="s">
        <v>222</v>
      </c>
      <c r="T112" s="7">
        <v>5000000000051</v>
      </c>
      <c r="U112" s="5" t="s">
        <v>158</v>
      </c>
      <c r="V112" s="7">
        <v>5000000000844</v>
      </c>
      <c r="W112" s="5" t="s">
        <v>400</v>
      </c>
      <c r="X112" s="5" t="s">
        <v>34</v>
      </c>
      <c r="Y112" s="5" t="s">
        <v>34</v>
      </c>
      <c r="Z112" s="5" t="s">
        <v>34</v>
      </c>
      <c r="AA112" s="5" t="s">
        <v>34</v>
      </c>
      <c r="AB112" s="5" t="s">
        <v>34</v>
      </c>
      <c r="AC112" s="5" t="s">
        <v>34</v>
      </c>
      <c r="AD112" s="5" t="s">
        <v>34</v>
      </c>
    </row>
    <row r="113" spans="1:30" ht="15.55" x14ac:dyDescent="0.3">
      <c r="A113" s="4">
        <v>1000000000228</v>
      </c>
      <c r="B113" s="5" t="s">
        <v>401</v>
      </c>
      <c r="C113" s="4">
        <v>3000000000146</v>
      </c>
      <c r="D113" s="5" t="s">
        <v>402</v>
      </c>
      <c r="E113" s="5" t="s">
        <v>31</v>
      </c>
      <c r="F113" s="5" t="s">
        <v>34</v>
      </c>
      <c r="G113" s="10" cm="1">
        <f t="array" ref="G113">IF(OR($A113="",$L113=""),"",_xlfn.LET(_xlpm.cat,UPPER($E113),_xlpm.wt,IFERROR(VALUE(LEFT($L113,FIND(" ",$L113&amp;" ")-1)),$L113),_xlpm.ppk,_xlfn.SWITCH(TRUE,_xlpm.cat="GAMEFOWL",62,_xlpm.cat="POULTRY",45,_xlpm.cat="SWINE",48,_xlpm.cat="HOGS",48,_xlpm.cat="RABBIT",40,45),_xlpm.code,IFERROR(VALUE(LEFT($A113,FIND(" ",$A113&amp;" ")-1)),0),_xlpm.v,1+MOD(_xlpm.code,13)/100,ROUND(_xlpm.ppk*_xlpm.wt*_xlpm.v,0)))</f>
        <v>2592</v>
      </c>
      <c r="H113" s="6" cm="1">
        <f t="array" ref="H113">IF(OR($A113="",$L113=""),"",_xlfn.LET(_xlpm.cat,UPPER($E113),_xlpm.base,_xlfn.SWITCH(TRUE,_xlpm.cat="GAMEFOWL",0.22,_xlpm.cat="POULTRY",0.18,_xlpm.cat="SWINE",0.16,_xlpm.cat="HOGS",0.16,_xlpm.cat="RABBIT",0.15,0.17),_xlpm.code,IFERROR(VALUE(LEFT($A113,FIND(" ",$A113&amp;" ")-1)),0),_xlpm.v,MOD(_xlpm.code,9)/1000,MIN(0.3,MAX(0.1,_xlpm.base+_xlpm.v))))</f>
        <v>0.16400000000000001</v>
      </c>
      <c r="I113" s="5" t="s">
        <v>57</v>
      </c>
      <c r="K113" s="5">
        <v>0</v>
      </c>
      <c r="L113" s="5">
        <v>50</v>
      </c>
      <c r="M113" s="5">
        <v>4</v>
      </c>
      <c r="N113" s="5">
        <v>2</v>
      </c>
      <c r="O113" s="5">
        <v>2</v>
      </c>
      <c r="Q113" s="5">
        <v>228</v>
      </c>
      <c r="R113" s="5" t="s">
        <v>34</v>
      </c>
      <c r="S113" s="5" t="s">
        <v>222</v>
      </c>
      <c r="T113" s="7">
        <v>5000000000050</v>
      </c>
      <c r="U113" s="5" t="s">
        <v>150</v>
      </c>
      <c r="V113" s="7">
        <v>5000000000110</v>
      </c>
      <c r="W113" s="5" t="s">
        <v>403</v>
      </c>
      <c r="X113" s="5" t="s">
        <v>34</v>
      </c>
      <c r="Y113" s="5" t="s">
        <v>34</v>
      </c>
      <c r="Z113" s="5" t="s">
        <v>34</v>
      </c>
      <c r="AA113" s="5" t="s">
        <v>34</v>
      </c>
      <c r="AB113" s="5" t="s">
        <v>34</v>
      </c>
      <c r="AC113" s="5" t="s">
        <v>34</v>
      </c>
      <c r="AD113" s="5" t="s">
        <v>34</v>
      </c>
    </row>
    <row r="114" spans="1:30" ht="15.55" x14ac:dyDescent="0.3">
      <c r="A114" s="4">
        <v>1000000001089</v>
      </c>
      <c r="B114" s="5" t="s">
        <v>404</v>
      </c>
      <c r="C114" s="4">
        <v>3000000000665</v>
      </c>
      <c r="D114" s="5" t="s">
        <v>405</v>
      </c>
      <c r="E114" s="5" t="s">
        <v>31</v>
      </c>
      <c r="F114" s="5" t="s">
        <v>34</v>
      </c>
      <c r="G114" s="10" cm="1">
        <f t="array" ref="G114">IF(OR($A114="",$L114=""),"",_xlfn.LET(_xlpm.cat,UPPER($E114),_xlpm.wt,IFERROR(VALUE(LEFT($L114,FIND(" ",$L114&amp;" ")-1)),$L114),_xlpm.ppk,_xlfn.SWITCH(TRUE,_xlpm.cat="GAMEFOWL",62,_xlpm.cat="POULTRY",45,_xlpm.cat="SWINE",48,_xlpm.cat="HOGS",48,_xlpm.cat="RABBIT",40,45),_xlpm.code,IFERROR(VALUE(LEFT($A114,FIND(" ",$A114&amp;" ")-1)),0),_xlpm.v,1+MOD(_xlpm.code,13)/100,ROUND(_xlpm.ppk*_xlpm.wt*_xlpm.v,0)))</f>
        <v>2664</v>
      </c>
      <c r="H114" s="6" cm="1">
        <f t="array" ref="H114">IF(OR($A114="",$L114=""),"",_xlfn.LET(_xlpm.cat,UPPER($E114),_xlpm.base,_xlfn.SWITCH(TRUE,_xlpm.cat="GAMEFOWL",0.22,_xlpm.cat="POULTRY",0.18,_xlpm.cat="SWINE",0.16,_xlpm.cat="HOGS",0.16,_xlpm.cat="RABBIT",0.15,0.17),_xlpm.code,IFERROR(VALUE(LEFT($A114,FIND(" ",$A114&amp;" ")-1)),0),_xlpm.v,MOD(_xlpm.code,9)/1000,MIN(0.3,MAX(0.1,_xlpm.base+_xlpm.v))))</f>
        <v>0.161</v>
      </c>
      <c r="I114" s="5" t="s">
        <v>57</v>
      </c>
      <c r="K114" s="5">
        <v>0</v>
      </c>
      <c r="L114" s="5">
        <v>50</v>
      </c>
      <c r="M114" s="5">
        <v>2</v>
      </c>
      <c r="N114" s="5">
        <v>2</v>
      </c>
      <c r="O114" s="5">
        <v>2</v>
      </c>
      <c r="Q114" s="5">
        <v>1089</v>
      </c>
      <c r="R114" s="5" t="s">
        <v>34</v>
      </c>
      <c r="S114" s="5" t="s">
        <v>222</v>
      </c>
      <c r="T114" s="7">
        <v>5000000000399</v>
      </c>
      <c r="U114" s="5" t="s">
        <v>58</v>
      </c>
      <c r="V114" s="7">
        <v>5000000000448</v>
      </c>
      <c r="W114" s="5" t="s">
        <v>406</v>
      </c>
      <c r="X114" s="5" t="s">
        <v>34</v>
      </c>
      <c r="Y114" s="5" t="s">
        <v>34</v>
      </c>
      <c r="Z114" s="5" t="s">
        <v>34</v>
      </c>
      <c r="AA114" s="5" t="s">
        <v>34</v>
      </c>
      <c r="AB114" s="5" t="s">
        <v>34</v>
      </c>
      <c r="AC114" s="5" t="s">
        <v>34</v>
      </c>
      <c r="AD114" s="5" t="s">
        <v>34</v>
      </c>
    </row>
    <row r="115" spans="1:30" ht="15.55" x14ac:dyDescent="0.3">
      <c r="A115" s="4">
        <v>1000000000241</v>
      </c>
      <c r="B115" s="5" t="s">
        <v>407</v>
      </c>
      <c r="C115" s="4">
        <v>3000000000571</v>
      </c>
      <c r="D115" s="5" t="s">
        <v>347</v>
      </c>
      <c r="E115" s="5" t="s">
        <v>31</v>
      </c>
      <c r="F115" s="5" t="s">
        <v>32</v>
      </c>
      <c r="G115" s="10" cm="1">
        <f t="array" ref="G115">IF(OR($A115="",$L115=""),"",_xlfn.LET(_xlpm.cat,UPPER($E115),_xlpm.wt,IFERROR(VALUE(LEFT($L115,FIND(" ",$L115&amp;" ")-1)),$L115),_xlpm.ppk,_xlfn.SWITCH(TRUE,_xlpm.cat="GAMEFOWL",62,_xlpm.cat="POULTRY",45,_xlpm.cat="SWINE",48,_xlpm.cat="HOGS",48,_xlpm.cat="RABBIT",40,45),_xlpm.code,IFERROR(VALUE(LEFT($A115,FIND(" ",$A115&amp;" ")-1)),0),_xlpm.v,1+MOD(_xlpm.code,13)/100,ROUND(_xlpm.ppk*_xlpm.wt*_xlpm.v,0)))</f>
        <v>2592</v>
      </c>
      <c r="H115" s="6" cm="1">
        <f t="array" ref="H115">IF(OR($A115="",$L115=""),"",_xlfn.LET(_xlpm.cat,UPPER($E115),_xlpm.base,_xlfn.SWITCH(TRUE,_xlpm.cat="GAMEFOWL",0.22,_xlpm.cat="POULTRY",0.18,_xlpm.cat="SWINE",0.16,_xlpm.cat="HOGS",0.16,_xlpm.cat="RABBIT",0.15,0.17),_xlpm.code,IFERROR(VALUE(LEFT($A115,FIND(" ",$A115&amp;" ")-1)),0),_xlpm.v,MOD(_xlpm.code,9)/1000,MIN(0.3,MAX(0.1,_xlpm.base+_xlpm.v))))</f>
        <v>0.16800000000000001</v>
      </c>
      <c r="I115" s="5" t="s">
        <v>48</v>
      </c>
      <c r="J115" s="5">
        <v>3</v>
      </c>
      <c r="K115" s="5">
        <v>0.17</v>
      </c>
      <c r="L115" s="5">
        <v>50</v>
      </c>
      <c r="M115" s="5">
        <v>4</v>
      </c>
      <c r="N115" s="5">
        <v>2</v>
      </c>
      <c r="O115" s="5">
        <v>2</v>
      </c>
      <c r="Q115" s="5" t="s">
        <v>34</v>
      </c>
      <c r="R115" s="5" t="s">
        <v>34</v>
      </c>
      <c r="S115" s="5" t="s">
        <v>39</v>
      </c>
      <c r="T115" s="7">
        <v>5000000000419</v>
      </c>
      <c r="U115" s="5" t="s">
        <v>408</v>
      </c>
      <c r="V115" s="7">
        <v>5000000000477</v>
      </c>
      <c r="W115" s="5" t="s">
        <v>409</v>
      </c>
      <c r="X115" s="5">
        <v>19.098000822739454</v>
      </c>
      <c r="Y115" s="5">
        <v>20.153449071702852</v>
      </c>
      <c r="Z115" s="5" t="s">
        <v>34</v>
      </c>
      <c r="AA115" s="5" t="s">
        <v>34</v>
      </c>
      <c r="AB115" s="5" t="s">
        <v>34</v>
      </c>
      <c r="AC115" s="5">
        <v>6.7186884293547067</v>
      </c>
      <c r="AD115" s="5">
        <v>6.7255682689216467</v>
      </c>
    </row>
    <row r="116" spans="1:30" ht="15.55" x14ac:dyDescent="0.3">
      <c r="A116" s="4">
        <v>1000000000244</v>
      </c>
      <c r="B116" s="5" t="s">
        <v>410</v>
      </c>
      <c r="C116" s="4">
        <v>3000000000575</v>
      </c>
      <c r="D116" s="5" t="s">
        <v>411</v>
      </c>
      <c r="E116" s="5" t="s">
        <v>31</v>
      </c>
      <c r="F116" s="5" t="s">
        <v>32</v>
      </c>
      <c r="G116" s="10" cm="1">
        <f t="array" ref="G116">IF(OR($A116="",$L116=""),"",_xlfn.LET(_xlpm.cat,UPPER($E116),_xlpm.wt,IFERROR(VALUE(LEFT($L116,FIND(" ",$L116&amp;" ")-1)),$L116),_xlpm.ppk,_xlfn.SWITCH(TRUE,_xlpm.cat="GAMEFOWL",62,_xlpm.cat="POULTRY",45,_xlpm.cat="SWINE",48,_xlpm.cat="HOGS",48,_xlpm.cat="RABBIT",40,45),_xlpm.code,IFERROR(VALUE(LEFT($A116,FIND(" ",$A116&amp;" ")-1)),0),_xlpm.v,1+MOD(_xlpm.code,13)/100,ROUND(_xlpm.ppk*_xlpm.wt*_xlpm.v,0)))</f>
        <v>2664</v>
      </c>
      <c r="H116" s="6" cm="1">
        <f t="array" ref="H116">IF(OR($A116="",$L116=""),"",_xlfn.LET(_xlpm.cat,UPPER($E116),_xlpm.base,_xlfn.SWITCH(TRUE,_xlpm.cat="GAMEFOWL",0.22,_xlpm.cat="POULTRY",0.18,_xlpm.cat="SWINE",0.16,_xlpm.cat="HOGS",0.16,_xlpm.cat="RABBIT",0.15,0.17),_xlpm.code,IFERROR(VALUE(LEFT($A116,FIND(" ",$A116&amp;" ")-1)),0),_xlpm.v,MOD(_xlpm.code,9)/1000,MIN(0.3,MAX(0.1,_xlpm.base+_xlpm.v))))</f>
        <v>0.16200000000000001</v>
      </c>
      <c r="I116" s="5" t="s">
        <v>33</v>
      </c>
      <c r="J116" s="5">
        <v>4</v>
      </c>
      <c r="K116" s="5">
        <v>0.17</v>
      </c>
      <c r="L116" s="5">
        <v>50</v>
      </c>
      <c r="M116" s="5">
        <v>4</v>
      </c>
      <c r="N116" s="5">
        <v>2</v>
      </c>
      <c r="O116" s="5">
        <v>2</v>
      </c>
      <c r="Q116" s="5" t="s">
        <v>34</v>
      </c>
      <c r="R116" s="5" t="s">
        <v>34</v>
      </c>
      <c r="S116" s="5" t="s">
        <v>39</v>
      </c>
      <c r="T116" s="7">
        <v>5000000000421</v>
      </c>
      <c r="U116" s="5" t="s">
        <v>374</v>
      </c>
      <c r="V116" s="7">
        <v>5000000000475</v>
      </c>
      <c r="W116" s="5" t="s">
        <v>375</v>
      </c>
      <c r="X116" s="5" t="s">
        <v>34</v>
      </c>
      <c r="Y116" s="5">
        <v>20.166307156512357</v>
      </c>
      <c r="Z116" s="5" t="s">
        <v>34</v>
      </c>
      <c r="AA116" s="5" t="s">
        <v>34</v>
      </c>
      <c r="AB116" s="5" t="s">
        <v>34</v>
      </c>
      <c r="AC116" s="5" t="s">
        <v>34</v>
      </c>
      <c r="AD116" s="5" t="s">
        <v>34</v>
      </c>
    </row>
    <row r="117" spans="1:30" ht="15.55" x14ac:dyDescent="0.3">
      <c r="A117" s="4">
        <v>1000000000243</v>
      </c>
      <c r="B117" s="5" t="s">
        <v>412</v>
      </c>
      <c r="C117" s="4">
        <v>3000000000573</v>
      </c>
      <c r="D117" s="5" t="s">
        <v>343</v>
      </c>
      <c r="E117" s="5" t="s">
        <v>31</v>
      </c>
      <c r="F117" s="5" t="s">
        <v>32</v>
      </c>
      <c r="G117" s="10" cm="1">
        <f t="array" ref="G117">IF(OR($A117="",$L117=""),"",_xlfn.LET(_xlpm.cat,UPPER($E117),_xlpm.wt,IFERROR(VALUE(LEFT($L117,FIND(" ",$L117&amp;" ")-1)),$L117),_xlpm.ppk,_xlfn.SWITCH(TRUE,_xlpm.cat="GAMEFOWL",62,_xlpm.cat="POULTRY",45,_xlpm.cat="SWINE",48,_xlpm.cat="HOGS",48,_xlpm.cat="RABBIT",40,45),_xlpm.code,IFERROR(VALUE(LEFT($A117,FIND(" ",$A117&amp;" ")-1)),0),_xlpm.v,1+MOD(_xlpm.code,13)/100,ROUND(_xlpm.ppk*_xlpm.wt*_xlpm.v,0)))</f>
        <v>2640</v>
      </c>
      <c r="H117" s="6" cm="1">
        <f t="array" ref="H117">IF(OR($A117="",$L117=""),"",_xlfn.LET(_xlpm.cat,UPPER($E117),_xlpm.base,_xlfn.SWITCH(TRUE,_xlpm.cat="GAMEFOWL",0.22,_xlpm.cat="POULTRY",0.18,_xlpm.cat="SWINE",0.16,_xlpm.cat="HOGS",0.16,_xlpm.cat="RABBIT",0.15,0.17),_xlpm.code,IFERROR(VALUE(LEFT($A117,FIND(" ",$A117&amp;" ")-1)),0),_xlpm.v,MOD(_xlpm.code,9)/1000,MIN(0.3,MAX(0.1,_xlpm.base+_xlpm.v))))</f>
        <v>0.161</v>
      </c>
      <c r="I117" s="5" t="s">
        <v>33</v>
      </c>
      <c r="J117" s="5">
        <v>4</v>
      </c>
      <c r="K117" s="5">
        <v>0.17</v>
      </c>
      <c r="L117" s="5">
        <v>50</v>
      </c>
      <c r="M117" s="5">
        <v>4</v>
      </c>
      <c r="N117" s="5">
        <v>2</v>
      </c>
      <c r="O117" s="5">
        <v>2</v>
      </c>
      <c r="Q117" s="5" t="s">
        <v>34</v>
      </c>
      <c r="R117" s="5" t="s">
        <v>34</v>
      </c>
      <c r="S117" s="5" t="s">
        <v>39</v>
      </c>
      <c r="T117" s="7">
        <v>5000000000423</v>
      </c>
      <c r="U117" s="5" t="s">
        <v>413</v>
      </c>
      <c r="V117" s="7">
        <v>5000000000476</v>
      </c>
      <c r="W117" s="5" t="s">
        <v>414</v>
      </c>
      <c r="X117" s="5" t="s">
        <v>34</v>
      </c>
      <c r="Y117" s="5">
        <v>20.158269557932371</v>
      </c>
      <c r="Z117" s="5" t="s">
        <v>34</v>
      </c>
      <c r="AA117" s="5" t="s">
        <v>34</v>
      </c>
      <c r="AB117" s="5" t="s">
        <v>34</v>
      </c>
      <c r="AC117" s="5" t="s">
        <v>34</v>
      </c>
      <c r="AD117" s="5" t="s">
        <v>34</v>
      </c>
    </row>
    <row r="118" spans="1:30" ht="15.55" x14ac:dyDescent="0.3">
      <c r="A118" s="4">
        <v>1000000000237</v>
      </c>
      <c r="B118" s="5" t="s">
        <v>415</v>
      </c>
      <c r="C118" s="4">
        <v>3000000000563</v>
      </c>
      <c r="D118" s="5" t="s">
        <v>416</v>
      </c>
      <c r="E118" s="5" t="s">
        <v>31</v>
      </c>
      <c r="F118" s="5" t="s">
        <v>32</v>
      </c>
      <c r="G118" s="10" cm="1">
        <f t="array" ref="G118">IF(OR($A118="",$L118=""),"",_xlfn.LET(_xlpm.cat,UPPER($E118),_xlpm.wt,IFERROR(VALUE(LEFT($L118,FIND(" ",$L118&amp;" ")-1)),$L118),_xlpm.ppk,_xlfn.SWITCH(TRUE,_xlpm.cat="GAMEFOWL",62,_xlpm.cat="POULTRY",45,_xlpm.cat="SWINE",48,_xlpm.cat="HOGS",48,_xlpm.cat="RABBIT",40,45),_xlpm.code,IFERROR(VALUE(LEFT($A118,FIND(" ",$A118&amp;" ")-1)),0),_xlpm.v,1+MOD(_xlpm.code,13)/100,ROUND(_xlpm.ppk*_xlpm.wt*_xlpm.v,0)))</f>
        <v>2496</v>
      </c>
      <c r="H118" s="6" cm="1">
        <f t="array" ref="H118">IF(OR($A118="",$L118=""),"",_xlfn.LET(_xlpm.cat,UPPER($E118),_xlpm.base,_xlfn.SWITCH(TRUE,_xlpm.cat="GAMEFOWL",0.22,_xlpm.cat="POULTRY",0.18,_xlpm.cat="SWINE",0.16,_xlpm.cat="HOGS",0.16,_xlpm.cat="RABBIT",0.15,0.17),_xlpm.code,IFERROR(VALUE(LEFT($A118,FIND(" ",$A118&amp;" ")-1)),0),_xlpm.v,MOD(_xlpm.code,9)/1000,MIN(0.3,MAX(0.1,_xlpm.base+_xlpm.v))))</f>
        <v>0.16400000000000001</v>
      </c>
      <c r="I118" s="5" t="s">
        <v>33</v>
      </c>
      <c r="J118" s="5">
        <v>4</v>
      </c>
      <c r="K118" s="5">
        <v>0.17</v>
      </c>
      <c r="L118" s="5">
        <v>50</v>
      </c>
      <c r="M118" s="5">
        <v>4</v>
      </c>
      <c r="N118" s="5">
        <v>2</v>
      </c>
      <c r="O118" s="5">
        <v>2</v>
      </c>
      <c r="Q118" s="5" t="s">
        <v>34</v>
      </c>
      <c r="R118" s="5" t="s">
        <v>34</v>
      </c>
      <c r="S118" s="5" t="s">
        <v>39</v>
      </c>
      <c r="T118" s="7">
        <v>5000000000415</v>
      </c>
      <c r="U118" s="5" t="s">
        <v>417</v>
      </c>
      <c r="V118" s="7">
        <v>5000000000480</v>
      </c>
      <c r="W118" s="5" t="s">
        <v>418</v>
      </c>
      <c r="X118" s="5" t="s">
        <v>34</v>
      </c>
      <c r="Y118" s="5">
        <v>20.04536401731648</v>
      </c>
      <c r="Z118" s="5" t="s">
        <v>34</v>
      </c>
      <c r="AA118" s="5" t="s">
        <v>34</v>
      </c>
      <c r="AB118" s="5" t="s">
        <v>34</v>
      </c>
      <c r="AC118" s="5" t="s">
        <v>34</v>
      </c>
      <c r="AD118" s="5" t="s">
        <v>34</v>
      </c>
    </row>
    <row r="119" spans="1:30" ht="15.55" x14ac:dyDescent="0.3">
      <c r="A119" s="4">
        <v>1000000000235</v>
      </c>
      <c r="B119" s="5" t="s">
        <v>419</v>
      </c>
      <c r="C119" s="4">
        <v>3000000000559</v>
      </c>
      <c r="D119" s="5" t="s">
        <v>383</v>
      </c>
      <c r="E119" s="5" t="s">
        <v>31</v>
      </c>
      <c r="F119" s="5" t="s">
        <v>32</v>
      </c>
      <c r="G119" s="10" cm="1">
        <f t="array" ref="G119">IF(OR($A119="",$L119=""),"",_xlfn.LET(_xlpm.cat,UPPER($E119),_xlpm.wt,IFERROR(VALUE(LEFT($L119,FIND(" ",$L119&amp;" ")-1)),$L119),_xlpm.ppk,_xlfn.SWITCH(TRUE,_xlpm.cat="GAMEFOWL",62,_xlpm.cat="POULTRY",45,_xlpm.cat="SWINE",48,_xlpm.cat="HOGS",48,_xlpm.cat="RABBIT",40,45),_xlpm.code,IFERROR(VALUE(LEFT($A119,FIND(" ",$A119&amp;" ")-1)),0),_xlpm.v,1+MOD(_xlpm.code,13)/100,ROUND(_xlpm.ppk*_xlpm.wt*_xlpm.v,0)))</f>
        <v>2448</v>
      </c>
      <c r="H119" s="6" cm="1">
        <f t="array" ref="H119">IF(OR($A119="",$L119=""),"",_xlfn.LET(_xlpm.cat,UPPER($E119),_xlpm.base,_xlfn.SWITCH(TRUE,_xlpm.cat="GAMEFOWL",0.22,_xlpm.cat="POULTRY",0.18,_xlpm.cat="SWINE",0.16,_xlpm.cat="HOGS",0.16,_xlpm.cat="RABBIT",0.15,0.17),_xlpm.code,IFERROR(VALUE(LEFT($A119,FIND(" ",$A119&amp;" ")-1)),0),_xlpm.v,MOD(_xlpm.code,9)/1000,MIN(0.3,MAX(0.1,_xlpm.base+_xlpm.v))))</f>
        <v>0.16200000000000001</v>
      </c>
      <c r="I119" s="5" t="s">
        <v>33</v>
      </c>
      <c r="J119" s="5">
        <v>4</v>
      </c>
      <c r="K119" s="5">
        <v>0.17</v>
      </c>
      <c r="L119" s="5">
        <v>50</v>
      </c>
      <c r="M119" s="5">
        <v>4</v>
      </c>
      <c r="N119" s="5">
        <v>2</v>
      </c>
      <c r="O119" s="5">
        <v>2</v>
      </c>
      <c r="Q119" s="5" t="s">
        <v>34</v>
      </c>
      <c r="R119" s="5" t="s">
        <v>34</v>
      </c>
      <c r="S119" s="5" t="s">
        <v>39</v>
      </c>
      <c r="T119" s="7">
        <v>5000000000417</v>
      </c>
      <c r="U119" s="5" t="s">
        <v>420</v>
      </c>
      <c r="V119" s="7">
        <v>5000000000481</v>
      </c>
      <c r="W119" s="5" t="s">
        <v>421</v>
      </c>
      <c r="X119" s="5" t="s">
        <v>34</v>
      </c>
      <c r="Y119" s="5">
        <v>20.059766571790824</v>
      </c>
      <c r="Z119" s="5" t="s">
        <v>34</v>
      </c>
      <c r="AA119" s="5" t="s">
        <v>34</v>
      </c>
      <c r="AB119" s="5" t="s">
        <v>34</v>
      </c>
      <c r="AC119" s="5" t="s">
        <v>34</v>
      </c>
      <c r="AD119" s="5" t="s">
        <v>34</v>
      </c>
    </row>
    <row r="120" spans="1:30" ht="15.55" x14ac:dyDescent="0.3">
      <c r="A120" s="4">
        <v>1000000000233</v>
      </c>
      <c r="B120" s="5" t="s">
        <v>422</v>
      </c>
      <c r="C120" s="4">
        <v>3000000000557</v>
      </c>
      <c r="D120" s="5" t="s">
        <v>423</v>
      </c>
      <c r="E120" s="5" t="s">
        <v>31</v>
      </c>
      <c r="F120" s="5" t="s">
        <v>32</v>
      </c>
      <c r="G120" s="10" cm="1">
        <f t="array" ref="G120">IF(OR($A120="",$L120=""),"",_xlfn.LET(_xlpm.cat,UPPER($E120),_xlpm.wt,IFERROR(VALUE(LEFT($L120,FIND(" ",$L120&amp;" ")-1)),$L120),_xlpm.ppk,_xlfn.SWITCH(TRUE,_xlpm.cat="GAMEFOWL",62,_xlpm.cat="POULTRY",45,_xlpm.cat="SWINE",48,_xlpm.cat="HOGS",48,_xlpm.cat="RABBIT",40,45),_xlpm.code,IFERROR(VALUE(LEFT($A120,FIND(" ",$A120&amp;" ")-1)),0),_xlpm.v,1+MOD(_xlpm.code,13)/100,ROUND(_xlpm.ppk*_xlpm.wt*_xlpm.v,0)))</f>
        <v>2400</v>
      </c>
      <c r="H120" s="6" cm="1">
        <f t="array" ref="H120">IF(OR($A120="",$L120=""),"",_xlfn.LET(_xlpm.cat,UPPER($E120),_xlpm.base,_xlfn.SWITCH(TRUE,_xlpm.cat="GAMEFOWL",0.22,_xlpm.cat="POULTRY",0.18,_xlpm.cat="SWINE",0.16,_xlpm.cat="HOGS",0.16,_xlpm.cat="RABBIT",0.15,0.17),_xlpm.code,IFERROR(VALUE(LEFT($A120,FIND(" ",$A120&amp;" ")-1)),0),_xlpm.v,MOD(_xlpm.code,9)/1000,MIN(0.3,MAX(0.1,_xlpm.base+_xlpm.v))))</f>
        <v>0.16</v>
      </c>
      <c r="I120" s="5" t="s">
        <v>33</v>
      </c>
      <c r="J120" s="5">
        <v>4</v>
      </c>
      <c r="K120" s="5">
        <v>0.17</v>
      </c>
      <c r="L120" s="5">
        <v>50</v>
      </c>
      <c r="M120" s="5">
        <v>4</v>
      </c>
      <c r="N120" s="5">
        <v>2</v>
      </c>
      <c r="O120" s="5">
        <v>2</v>
      </c>
      <c r="Q120" s="5" t="s">
        <v>34</v>
      </c>
      <c r="R120" s="5" t="s">
        <v>34</v>
      </c>
      <c r="S120" s="5" t="s">
        <v>39</v>
      </c>
      <c r="T120" s="7">
        <v>5000000000418</v>
      </c>
      <c r="U120" s="5" t="s">
        <v>424</v>
      </c>
      <c r="V120" s="7">
        <v>5000000000483</v>
      </c>
      <c r="W120" s="5" t="s">
        <v>425</v>
      </c>
      <c r="X120" s="5" t="s">
        <v>34</v>
      </c>
      <c r="Y120" s="5">
        <v>20.157052363394442</v>
      </c>
      <c r="Z120" s="5" t="s">
        <v>34</v>
      </c>
      <c r="AA120" s="5" t="s">
        <v>34</v>
      </c>
      <c r="AB120" s="5" t="s">
        <v>34</v>
      </c>
      <c r="AC120" s="5" t="s">
        <v>34</v>
      </c>
      <c r="AD120" s="5" t="s">
        <v>34</v>
      </c>
    </row>
    <row r="121" spans="1:30" ht="15.55" x14ac:dyDescent="0.3">
      <c r="A121" s="4">
        <v>1000000001401</v>
      </c>
      <c r="B121" s="5" t="s">
        <v>426</v>
      </c>
      <c r="C121" s="4">
        <v>3000000001112</v>
      </c>
      <c r="D121" s="5" t="s">
        <v>427</v>
      </c>
      <c r="E121" s="5" t="s">
        <v>31</v>
      </c>
      <c r="F121" s="5" t="s">
        <v>32</v>
      </c>
      <c r="G121" s="10" cm="1">
        <f t="array" ref="G121">IF(OR($A121="",$L121=""),"",_xlfn.LET(_xlpm.cat,UPPER($E121),_xlpm.wt,IFERROR(VALUE(LEFT($L121,FIND(" ",$L121&amp;" ")-1)),$L121),_xlpm.ppk,_xlfn.SWITCH(TRUE,_xlpm.cat="GAMEFOWL",62,_xlpm.cat="POULTRY",45,_xlpm.cat="SWINE",48,_xlpm.cat="HOGS",48,_xlpm.cat="RABBIT",40,45),_xlpm.code,IFERROR(VALUE(LEFT($A121,FIND(" ",$A121&amp;" ")-1)),0),_xlpm.v,1+MOD(_xlpm.code,13)/100,ROUND(_xlpm.ppk*_xlpm.wt*_xlpm.v,0)))</f>
        <v>2664</v>
      </c>
      <c r="H121" s="6" cm="1">
        <f t="array" ref="H121">IF(OR($A121="",$L121=""),"",_xlfn.LET(_xlpm.cat,UPPER($E121),_xlpm.base,_xlfn.SWITCH(TRUE,_xlpm.cat="GAMEFOWL",0.22,_xlpm.cat="POULTRY",0.18,_xlpm.cat="SWINE",0.16,_xlpm.cat="HOGS",0.16,_xlpm.cat="RABBIT",0.15,0.17),_xlpm.code,IFERROR(VALUE(LEFT($A121,FIND(" ",$A121&amp;" ")-1)),0),_xlpm.v,MOD(_xlpm.code,9)/1000,MIN(0.3,MAX(0.1,_xlpm.base+_xlpm.v))))</f>
        <v>0.16700000000000001</v>
      </c>
      <c r="I121" s="5" t="s">
        <v>33</v>
      </c>
      <c r="J121" s="5">
        <v>4</v>
      </c>
      <c r="K121" s="5">
        <v>0.17</v>
      </c>
      <c r="L121" s="5">
        <v>50</v>
      </c>
      <c r="M121" s="5">
        <v>4</v>
      </c>
      <c r="N121" s="5">
        <v>2</v>
      </c>
      <c r="O121" s="5">
        <v>2</v>
      </c>
      <c r="Q121" s="5">
        <v>1401</v>
      </c>
      <c r="R121" s="5" t="s">
        <v>34</v>
      </c>
      <c r="S121" s="5" t="s">
        <v>195</v>
      </c>
      <c r="T121" s="7">
        <v>5000000000052</v>
      </c>
      <c r="U121" s="5" t="s">
        <v>196</v>
      </c>
      <c r="V121" s="7">
        <v>5000000000106</v>
      </c>
      <c r="W121" s="5" t="s">
        <v>354</v>
      </c>
      <c r="X121" s="5" t="s">
        <v>34</v>
      </c>
      <c r="Y121" s="5" t="s">
        <v>34</v>
      </c>
      <c r="Z121" s="5" t="s">
        <v>34</v>
      </c>
      <c r="AA121" s="5" t="s">
        <v>34</v>
      </c>
      <c r="AB121" s="5" t="s">
        <v>34</v>
      </c>
      <c r="AC121" s="5" t="s">
        <v>34</v>
      </c>
      <c r="AD121" s="5" t="s">
        <v>34</v>
      </c>
    </row>
    <row r="122" spans="1:30" ht="15.55" x14ac:dyDescent="0.3">
      <c r="A122" s="4">
        <v>1000000000236</v>
      </c>
      <c r="B122" s="5" t="s">
        <v>428</v>
      </c>
      <c r="C122" s="4">
        <v>3000000000561</v>
      </c>
      <c r="D122" s="5" t="s">
        <v>352</v>
      </c>
      <c r="E122" s="5" t="s">
        <v>31</v>
      </c>
      <c r="F122" s="5" t="s">
        <v>32</v>
      </c>
      <c r="G122" s="10" cm="1">
        <f t="array" ref="G122">IF(OR($A122="",$L122=""),"",_xlfn.LET(_xlpm.cat,UPPER($E122),_xlpm.wt,IFERROR(VALUE(LEFT($L122,FIND(" ",$L122&amp;" ")-1)),$L122),_xlpm.ppk,_xlfn.SWITCH(TRUE,_xlpm.cat="GAMEFOWL",62,_xlpm.cat="POULTRY",45,_xlpm.cat="SWINE",48,_xlpm.cat="HOGS",48,_xlpm.cat="RABBIT",40,45),_xlpm.code,IFERROR(VALUE(LEFT($A122,FIND(" ",$A122&amp;" ")-1)),0),_xlpm.v,1+MOD(_xlpm.code,13)/100,ROUND(_xlpm.ppk*_xlpm.wt*_xlpm.v,0)))</f>
        <v>2472</v>
      </c>
      <c r="H122" s="6" cm="1">
        <f t="array" ref="H122">IF(OR($A122="",$L122=""),"",_xlfn.LET(_xlpm.cat,UPPER($E122),_xlpm.base,_xlfn.SWITCH(TRUE,_xlpm.cat="GAMEFOWL",0.22,_xlpm.cat="POULTRY",0.18,_xlpm.cat="SWINE",0.16,_xlpm.cat="HOGS",0.16,_xlpm.cat="RABBIT",0.15,0.17),_xlpm.code,IFERROR(VALUE(LEFT($A122,FIND(" ",$A122&amp;" ")-1)),0),_xlpm.v,MOD(_xlpm.code,9)/1000,MIN(0.3,MAX(0.1,_xlpm.base+_xlpm.v))))</f>
        <v>0.16300000000000001</v>
      </c>
      <c r="I122" s="5" t="s">
        <v>33</v>
      </c>
      <c r="J122" s="5">
        <v>4</v>
      </c>
      <c r="K122" s="5">
        <v>0.17</v>
      </c>
      <c r="L122" s="5">
        <v>50</v>
      </c>
      <c r="M122" s="5">
        <v>4</v>
      </c>
      <c r="N122" s="5">
        <v>2</v>
      </c>
      <c r="O122" s="5">
        <v>2</v>
      </c>
      <c r="Q122" s="5" t="s">
        <v>34</v>
      </c>
      <c r="R122" s="5" t="s">
        <v>34</v>
      </c>
      <c r="S122" s="5" t="s">
        <v>39</v>
      </c>
      <c r="T122" s="7">
        <v>5000000000416</v>
      </c>
      <c r="U122" s="5" t="s">
        <v>429</v>
      </c>
      <c r="V122" s="7">
        <v>5000000000482</v>
      </c>
      <c r="W122" s="5" t="s">
        <v>430</v>
      </c>
      <c r="X122" s="5" t="s">
        <v>34</v>
      </c>
      <c r="Y122" s="5">
        <v>19.847961012443577</v>
      </c>
      <c r="Z122" s="5" t="s">
        <v>34</v>
      </c>
      <c r="AA122" s="5" t="s">
        <v>34</v>
      </c>
      <c r="AB122" s="5" t="s">
        <v>34</v>
      </c>
      <c r="AC122" s="5" t="s">
        <v>34</v>
      </c>
      <c r="AD122" s="5" t="s">
        <v>34</v>
      </c>
    </row>
    <row r="123" spans="1:30" ht="15.55" x14ac:dyDescent="0.3">
      <c r="A123" s="4">
        <v>1000000000940</v>
      </c>
      <c r="B123" s="5" t="s">
        <v>431</v>
      </c>
      <c r="C123" s="4">
        <v>3000000000613</v>
      </c>
      <c r="D123" s="5" t="s">
        <v>432</v>
      </c>
      <c r="E123" s="5" t="s">
        <v>31</v>
      </c>
      <c r="F123" s="5" t="s">
        <v>32</v>
      </c>
      <c r="G123" s="10" cm="1">
        <f t="array" ref="G123">IF(OR($A123="",$L123=""),"",_xlfn.LET(_xlpm.cat,UPPER($E123),_xlpm.wt,IFERROR(VALUE(LEFT($L123,FIND(" ",$L123&amp;" ")-1)),$L123),_xlpm.ppk,_xlfn.SWITCH(TRUE,_xlpm.cat="GAMEFOWL",62,_xlpm.cat="POULTRY",45,_xlpm.cat="SWINE",48,_xlpm.cat="HOGS",48,_xlpm.cat="RABBIT",40,45),_xlpm.code,IFERROR(VALUE(LEFT($A123,FIND(" ",$A123&amp;" ")-1)),0),_xlpm.v,1+MOD(_xlpm.code,13)/100,ROUND(_xlpm.ppk*_xlpm.wt*_xlpm.v,0)))</f>
        <v>2520</v>
      </c>
      <c r="H123" s="6" cm="1">
        <f t="array" ref="H123">IF(OR($A123="",$L123=""),"",_xlfn.LET(_xlpm.cat,UPPER($E123),_xlpm.base,_xlfn.SWITCH(TRUE,_xlpm.cat="GAMEFOWL",0.22,_xlpm.cat="POULTRY",0.18,_xlpm.cat="SWINE",0.16,_xlpm.cat="HOGS",0.16,_xlpm.cat="RABBIT",0.15,0.17),_xlpm.code,IFERROR(VALUE(LEFT($A123,FIND(" ",$A123&amp;" ")-1)),0),_xlpm.v,MOD(_xlpm.code,9)/1000,MIN(0.3,MAX(0.1,_xlpm.base+_xlpm.v))))</f>
        <v>0.16500000000000001</v>
      </c>
      <c r="I123" s="5" t="s">
        <v>33</v>
      </c>
      <c r="J123" s="5">
        <v>4</v>
      </c>
      <c r="K123" s="5">
        <v>0.17</v>
      </c>
      <c r="L123" s="5">
        <v>50</v>
      </c>
      <c r="M123" s="5">
        <v>4</v>
      </c>
      <c r="N123" s="5">
        <v>2</v>
      </c>
      <c r="O123" s="5">
        <v>2</v>
      </c>
      <c r="Q123" s="5" t="s">
        <v>34</v>
      </c>
      <c r="R123" s="5" t="s">
        <v>34</v>
      </c>
      <c r="S123" s="5" t="s">
        <v>39</v>
      </c>
      <c r="T123" s="7">
        <v>5000000000351</v>
      </c>
      <c r="U123" s="5" t="s">
        <v>433</v>
      </c>
      <c r="V123" s="7">
        <v>5000000000353</v>
      </c>
      <c r="W123" s="5" t="s">
        <v>434</v>
      </c>
      <c r="X123" s="5" t="s">
        <v>34</v>
      </c>
      <c r="Y123" s="5">
        <v>20.042797220959756</v>
      </c>
      <c r="Z123" s="5" t="s">
        <v>34</v>
      </c>
      <c r="AA123" s="5" t="s">
        <v>34</v>
      </c>
      <c r="AB123" s="5" t="s">
        <v>34</v>
      </c>
      <c r="AC123" s="5" t="s">
        <v>34</v>
      </c>
      <c r="AD123" s="5" t="s">
        <v>34</v>
      </c>
    </row>
    <row r="124" spans="1:30" ht="15.55" x14ac:dyDescent="0.3">
      <c r="A124" s="4">
        <v>3000000000051</v>
      </c>
      <c r="B124" s="5" t="s">
        <v>435</v>
      </c>
      <c r="C124" s="4">
        <v>3000000000051</v>
      </c>
      <c r="D124" s="5" t="s">
        <v>436</v>
      </c>
      <c r="E124" s="5" t="s">
        <v>86</v>
      </c>
      <c r="F124" s="5" t="s">
        <v>63</v>
      </c>
      <c r="G124" s="10" cm="1">
        <f t="array" ref="G124">IF(OR($A124="",$L124=""),"",_xlfn.LET(_xlpm.cat,UPPER($E124),_xlpm.wt,IFERROR(VALUE(LEFT($L124,FIND(" ",$L124&amp;" ")-1)),$L124),_xlpm.ppk,_xlfn.SWITCH(TRUE,_xlpm.cat="GAMEFOWL",62,_xlpm.cat="POULTRY",45,_xlpm.cat="SWINE",48,_xlpm.cat="HOGS",48,_xlpm.cat="RABBIT",40,45),_xlpm.code,IFERROR(VALUE(LEFT($A124,FIND(" ",$A124&amp;" ")-1)),0),_xlpm.v,1+MOD(_xlpm.code,13)/100,ROUND(_xlpm.ppk*_xlpm.wt*_xlpm.v,0)))</f>
        <v>3162</v>
      </c>
      <c r="H124" s="6" cm="1">
        <f t="array" ref="H124">IF(OR($A124="",$L124=""),"",_xlfn.LET(_xlpm.cat,UPPER($E124),_xlpm.base,_xlfn.SWITCH(TRUE,_xlpm.cat="GAMEFOWL",0.22,_xlpm.cat="POULTRY",0.18,_xlpm.cat="SWINE",0.16,_xlpm.cat="HOGS",0.16,_xlpm.cat="RABBIT",0.15,0.17),_xlpm.code,IFERROR(VALUE(LEFT($A124,FIND(" ",$A124&amp;" ")-1)),0),_xlpm.v,MOD(_xlpm.code,9)/1000,MIN(0.3,MAX(0.1,_xlpm.base+_xlpm.v))))</f>
        <v>0.22</v>
      </c>
      <c r="I124" s="5" t="s">
        <v>139</v>
      </c>
      <c r="J124" s="5">
        <v>3</v>
      </c>
      <c r="K124" s="5">
        <v>0.17</v>
      </c>
      <c r="L124" s="5">
        <v>50</v>
      </c>
      <c r="M124" s="5">
        <v>4</v>
      </c>
      <c r="N124" s="5">
        <v>2</v>
      </c>
      <c r="O124" s="5">
        <v>2</v>
      </c>
      <c r="Q124" s="5" t="s">
        <v>437</v>
      </c>
      <c r="R124" s="5" t="s">
        <v>34</v>
      </c>
      <c r="S124" s="5" t="s">
        <v>63</v>
      </c>
      <c r="T124" s="7">
        <v>5000000000717</v>
      </c>
      <c r="U124" s="5" t="s">
        <v>438</v>
      </c>
      <c r="V124" s="7">
        <v>5000000000720</v>
      </c>
      <c r="W124" s="5" t="s">
        <v>439</v>
      </c>
      <c r="X124" s="5" t="s">
        <v>34</v>
      </c>
      <c r="Y124" s="5" t="s">
        <v>34</v>
      </c>
      <c r="Z124" s="5" t="s">
        <v>34</v>
      </c>
      <c r="AA124" s="5" t="s">
        <v>34</v>
      </c>
      <c r="AB124" s="5" t="s">
        <v>34</v>
      </c>
      <c r="AC124" s="5" t="s">
        <v>34</v>
      </c>
      <c r="AD124" s="5" t="s">
        <v>34</v>
      </c>
    </row>
    <row r="125" spans="1:30" ht="15.55" x14ac:dyDescent="0.3">
      <c r="A125" s="4">
        <v>3000000000480</v>
      </c>
      <c r="B125" s="5" t="s">
        <v>440</v>
      </c>
      <c r="C125" s="4">
        <v>3000000000480</v>
      </c>
      <c r="D125" s="5" t="s">
        <v>440</v>
      </c>
      <c r="E125" s="5" t="s">
        <v>86</v>
      </c>
      <c r="F125" s="5" t="s">
        <v>113</v>
      </c>
      <c r="G125" s="10" cm="1">
        <f t="array" ref="G125">IF(OR($A125="",$L125=""),"",_xlfn.LET(_xlpm.cat,UPPER($E125),_xlpm.wt,IFERROR(VALUE(LEFT($L125,FIND(" ",$L125&amp;" ")-1)),$L125),_xlpm.ppk,_xlfn.SWITCH(TRUE,_xlpm.cat="GAMEFOWL",62,_xlpm.cat="POULTRY",45,_xlpm.cat="SWINE",48,_xlpm.cat="HOGS",48,_xlpm.cat="RABBIT",40,45),_xlpm.code,IFERROR(VALUE(LEFT($A125,FIND(" ",$A125&amp;" ")-1)),0),_xlpm.v,1+MOD(_xlpm.code,13)/100,ROUND(_xlpm.ppk*_xlpm.wt*_xlpm.v,0)))</f>
        <v>3162</v>
      </c>
      <c r="H125" s="6" cm="1">
        <f t="array" ref="H125">IF(OR($A125="",$L125=""),"",_xlfn.LET(_xlpm.cat,UPPER($E125),_xlpm.base,_xlfn.SWITCH(TRUE,_xlpm.cat="GAMEFOWL",0.22,_xlpm.cat="POULTRY",0.18,_xlpm.cat="SWINE",0.16,_xlpm.cat="HOGS",0.16,_xlpm.cat="RABBIT",0.15,0.17),_xlpm.code,IFERROR(VALUE(LEFT($A125,FIND(" ",$A125&amp;" ")-1)),0),_xlpm.v,MOD(_xlpm.code,9)/1000,MIN(0.3,MAX(0.1,_xlpm.base+_xlpm.v))))</f>
        <v>0.22600000000000001</v>
      </c>
      <c r="I125" s="5" t="s">
        <v>139</v>
      </c>
      <c r="J125" s="5">
        <v>3</v>
      </c>
      <c r="K125" s="5">
        <v>0.17</v>
      </c>
      <c r="L125" s="5">
        <v>50</v>
      </c>
      <c r="M125" s="5">
        <v>4</v>
      </c>
      <c r="N125" s="5">
        <v>2</v>
      </c>
      <c r="O125" s="5">
        <v>2</v>
      </c>
      <c r="Q125" s="5" t="s">
        <v>441</v>
      </c>
      <c r="R125" s="5" t="s">
        <v>34</v>
      </c>
      <c r="S125" s="5" t="s">
        <v>113</v>
      </c>
      <c r="T125" s="7">
        <v>5000000000041</v>
      </c>
      <c r="U125" s="5" t="s">
        <v>442</v>
      </c>
      <c r="V125" s="7">
        <v>5000000000152</v>
      </c>
      <c r="W125" s="5" t="s">
        <v>397</v>
      </c>
      <c r="X125" s="5">
        <v>19.08708087341541</v>
      </c>
      <c r="Y125" s="5" t="s">
        <v>34</v>
      </c>
      <c r="Z125" s="5" t="s">
        <v>34</v>
      </c>
      <c r="AA125" s="5" t="s">
        <v>34</v>
      </c>
      <c r="AB125" s="5" t="s">
        <v>34</v>
      </c>
      <c r="AC125" s="5" t="s">
        <v>34</v>
      </c>
      <c r="AD125" s="5" t="s">
        <v>34</v>
      </c>
    </row>
    <row r="126" spans="1:30" ht="15.55" x14ac:dyDescent="0.3">
      <c r="A126" s="4">
        <v>3000000000033</v>
      </c>
      <c r="B126" s="5" t="s">
        <v>443</v>
      </c>
      <c r="C126" s="4">
        <v>3000000000033</v>
      </c>
      <c r="D126" s="5" t="s">
        <v>444</v>
      </c>
      <c r="E126" s="5" t="s">
        <v>86</v>
      </c>
      <c r="F126" s="5" t="s">
        <v>63</v>
      </c>
      <c r="G126" s="10" cm="1">
        <f t="array" ref="G126">IF(OR($A126="",$L126=""),"",_xlfn.LET(_xlpm.cat,UPPER($E126),_xlpm.wt,IFERROR(VALUE(LEFT($L126,FIND(" ",$L126&amp;" ")-1)),$L126),_xlpm.ppk,_xlfn.SWITCH(TRUE,_xlpm.cat="GAMEFOWL",62,_xlpm.cat="POULTRY",45,_xlpm.cat="SWINE",48,_xlpm.cat="HOGS",48,_xlpm.cat="RABBIT",40,45),_xlpm.code,IFERROR(VALUE(LEFT($A126,FIND(" ",$A126&amp;" ")-1)),0),_xlpm.v,1+MOD(_xlpm.code,13)/100,ROUND(_xlpm.ppk*_xlpm.wt*_xlpm.v,0)))</f>
        <v>3410</v>
      </c>
      <c r="H126" s="6" cm="1">
        <f t="array" ref="H126">IF(OR($A126="",$L126=""),"",_xlfn.LET(_xlpm.cat,UPPER($E126),_xlpm.base,_xlfn.SWITCH(TRUE,_xlpm.cat="GAMEFOWL",0.22,_xlpm.cat="POULTRY",0.18,_xlpm.cat="SWINE",0.16,_xlpm.cat="HOGS",0.16,_xlpm.cat="RABBIT",0.15,0.17),_xlpm.code,IFERROR(VALUE(LEFT($A126,FIND(" ",$A126&amp;" ")-1)),0),_xlpm.v,MOD(_xlpm.code,9)/1000,MIN(0.3,MAX(0.1,_xlpm.base+_xlpm.v))))</f>
        <v>0.22</v>
      </c>
      <c r="I126" s="5" t="s">
        <v>139</v>
      </c>
      <c r="J126" s="5">
        <v>3</v>
      </c>
      <c r="K126" s="5">
        <v>0.17</v>
      </c>
      <c r="L126" s="5">
        <v>50</v>
      </c>
      <c r="M126" s="5">
        <v>4</v>
      </c>
      <c r="N126" s="5">
        <v>2</v>
      </c>
      <c r="O126" s="5">
        <v>2</v>
      </c>
      <c r="Q126" s="5" t="s">
        <v>445</v>
      </c>
      <c r="R126" s="5" t="s">
        <v>34</v>
      </c>
      <c r="S126" s="5" t="s">
        <v>314</v>
      </c>
      <c r="T126" s="7">
        <v>5000000000718</v>
      </c>
      <c r="U126" s="5" t="s">
        <v>446</v>
      </c>
      <c r="V126" s="7">
        <v>5000000000721</v>
      </c>
      <c r="W126" s="5" t="s">
        <v>447</v>
      </c>
      <c r="X126" s="5">
        <v>19.084082256383439</v>
      </c>
      <c r="Y126" s="5" t="s">
        <v>34</v>
      </c>
      <c r="Z126" s="5" t="s">
        <v>34</v>
      </c>
      <c r="AA126" s="5" t="s">
        <v>34</v>
      </c>
      <c r="AB126" s="5" t="s">
        <v>34</v>
      </c>
      <c r="AC126" s="5" t="s">
        <v>34</v>
      </c>
      <c r="AD126" s="5" t="s">
        <v>34</v>
      </c>
    </row>
    <row r="127" spans="1:30" ht="15.55" x14ac:dyDescent="0.3">
      <c r="A127" s="4">
        <v>1000000000219</v>
      </c>
      <c r="B127" s="5" t="s">
        <v>448</v>
      </c>
      <c r="C127" s="4">
        <v>3000000000244</v>
      </c>
      <c r="D127" s="5" t="s">
        <v>449</v>
      </c>
      <c r="E127" s="5" t="s">
        <v>86</v>
      </c>
      <c r="F127" s="5" t="s">
        <v>63</v>
      </c>
      <c r="G127" s="10" cm="1">
        <f t="array" ref="G127">IF(OR($A127="",$L127=""),"",_xlfn.LET(_xlpm.cat,UPPER($E127),_xlpm.wt,IFERROR(VALUE(LEFT($L127,FIND(" ",$L127&amp;" ")-1)),$L127),_xlpm.ppk,_xlfn.SWITCH(TRUE,_xlpm.cat="GAMEFOWL",62,_xlpm.cat="POULTRY",45,_xlpm.cat="SWINE",48,_xlpm.cat="HOGS",48,_xlpm.cat="RABBIT",40,45),_xlpm.code,IFERROR(VALUE(LEFT($A127,FIND(" ",$A127&amp;" ")-1)),0),_xlpm.v,1+MOD(_xlpm.code,13)/100,ROUND(_xlpm.ppk*_xlpm.wt*_xlpm.v,0)))</f>
        <v>3472</v>
      </c>
      <c r="H127" s="6" cm="1">
        <f t="array" ref="H127">IF(OR($A127="",$L127=""),"",_xlfn.LET(_xlpm.cat,UPPER($E127),_xlpm.base,_xlfn.SWITCH(TRUE,_xlpm.cat="GAMEFOWL",0.22,_xlpm.cat="POULTRY",0.18,_xlpm.cat="SWINE",0.16,_xlpm.cat="HOGS",0.16,_xlpm.cat="RABBIT",0.15,0.17),_xlpm.code,IFERROR(VALUE(LEFT($A127,FIND(" ",$A127&amp;" ")-1)),0),_xlpm.v,MOD(_xlpm.code,9)/1000,MIN(0.3,MAX(0.1,_xlpm.base+_xlpm.v))))</f>
        <v>0.224</v>
      </c>
      <c r="I127" s="5" t="s">
        <v>139</v>
      </c>
      <c r="J127" s="5">
        <v>3</v>
      </c>
      <c r="K127" s="5">
        <v>0.17</v>
      </c>
      <c r="L127" s="5">
        <v>50</v>
      </c>
      <c r="M127" s="5">
        <v>4</v>
      </c>
      <c r="N127" s="5">
        <v>2</v>
      </c>
      <c r="O127" s="5">
        <v>2</v>
      </c>
      <c r="Q127" s="5" t="s">
        <v>34</v>
      </c>
      <c r="R127" s="5" t="s">
        <v>34</v>
      </c>
      <c r="S127" s="5" t="s">
        <v>39</v>
      </c>
      <c r="T127" s="7">
        <v>5000000000064</v>
      </c>
      <c r="U127" s="5" t="s">
        <v>450</v>
      </c>
      <c r="V127" s="7">
        <v>5000000000129</v>
      </c>
      <c r="W127" s="5" t="s">
        <v>141</v>
      </c>
      <c r="X127" s="5">
        <v>19.1416027317233</v>
      </c>
      <c r="Y127" s="5" t="s">
        <v>34</v>
      </c>
      <c r="Z127" s="5" t="s">
        <v>34</v>
      </c>
      <c r="AA127" s="5" t="s">
        <v>34</v>
      </c>
      <c r="AB127" s="5" t="s">
        <v>34</v>
      </c>
      <c r="AC127" s="5" t="s">
        <v>34</v>
      </c>
      <c r="AD127" s="5" t="s">
        <v>34</v>
      </c>
    </row>
    <row r="128" spans="1:30" ht="15.55" x14ac:dyDescent="0.3">
      <c r="A128" s="4">
        <v>3000000000248</v>
      </c>
      <c r="B128" s="5" t="s">
        <v>451</v>
      </c>
      <c r="C128" s="4">
        <v>3000000000248</v>
      </c>
      <c r="D128" s="5" t="s">
        <v>451</v>
      </c>
      <c r="E128" s="5" t="s">
        <v>86</v>
      </c>
      <c r="F128" s="5" t="s">
        <v>63</v>
      </c>
      <c r="G128" s="10" cm="1">
        <f t="array" ref="G128">IF(OR($A128="",$L128=""),"",_xlfn.LET(_xlpm.cat,UPPER($E128),_xlpm.wt,IFERROR(VALUE(LEFT($L128,FIND(" ",$L128&amp;" ")-1)),$L128),_xlpm.ppk,_xlfn.SWITCH(TRUE,_xlpm.cat="GAMEFOWL",62,_xlpm.cat="POULTRY",45,_xlpm.cat="SWINE",48,_xlpm.cat="HOGS",48,_xlpm.cat="RABBIT",40,45),_xlpm.code,IFERROR(VALUE(LEFT($A128,FIND(" ",$A128&amp;" ")-1)),0),_xlpm.v,1+MOD(_xlpm.code,13)/100,ROUND(_xlpm.ppk*_xlpm.wt*_xlpm.v,0)))</f>
        <v>3224</v>
      </c>
      <c r="H128" s="6" cm="1">
        <f t="array" ref="H128">IF(OR($A128="",$L128=""),"",_xlfn.LET(_xlpm.cat,UPPER($E128),_xlpm.base,_xlfn.SWITCH(TRUE,_xlpm.cat="GAMEFOWL",0.22,_xlpm.cat="POULTRY",0.18,_xlpm.cat="SWINE",0.16,_xlpm.cat="HOGS",0.16,_xlpm.cat="RABBIT",0.15,0.17),_xlpm.code,IFERROR(VALUE(LEFT($A128,FIND(" ",$A128&amp;" ")-1)),0),_xlpm.v,MOD(_xlpm.code,9)/1000,MIN(0.3,MAX(0.1,_xlpm.base+_xlpm.v))))</f>
        <v>0.22800000000000001</v>
      </c>
      <c r="I128" s="5" t="s">
        <v>139</v>
      </c>
      <c r="J128" s="5">
        <v>3</v>
      </c>
      <c r="K128" s="5">
        <v>0.17</v>
      </c>
      <c r="L128" s="5">
        <v>50</v>
      </c>
      <c r="M128" s="5">
        <v>4</v>
      </c>
      <c r="N128" s="5">
        <v>2</v>
      </c>
      <c r="O128" s="5">
        <v>2</v>
      </c>
      <c r="Q128" s="5" t="s">
        <v>452</v>
      </c>
      <c r="R128" s="5" t="s">
        <v>34</v>
      </c>
      <c r="S128" s="5" t="s">
        <v>39</v>
      </c>
      <c r="T128" s="7">
        <v>5000000000041</v>
      </c>
      <c r="U128" s="5" t="s">
        <v>442</v>
      </c>
      <c r="V128" s="7">
        <v>5000000000152</v>
      </c>
      <c r="W128" s="5" t="s">
        <v>397</v>
      </c>
      <c r="X128" s="5">
        <v>19.295779887551536</v>
      </c>
      <c r="Y128" s="5" t="s">
        <v>34</v>
      </c>
      <c r="Z128" s="5" t="s">
        <v>34</v>
      </c>
      <c r="AA128" s="5" t="s">
        <v>34</v>
      </c>
      <c r="AB128" s="5" t="s">
        <v>34</v>
      </c>
      <c r="AC128" s="5" t="s">
        <v>34</v>
      </c>
      <c r="AD128" s="5" t="s">
        <v>34</v>
      </c>
    </row>
    <row r="129" spans="1:30" ht="15.55" x14ac:dyDescent="0.3">
      <c r="A129" s="4">
        <v>1000000000970</v>
      </c>
      <c r="B129" s="5" t="s">
        <v>453</v>
      </c>
      <c r="C129" s="4">
        <v>3000000000194</v>
      </c>
      <c r="D129" s="5" t="s">
        <v>454</v>
      </c>
      <c r="E129" s="5" t="s">
        <v>62</v>
      </c>
      <c r="F129" s="5" t="s">
        <v>63</v>
      </c>
      <c r="G129" s="10" cm="1">
        <f t="array" ref="G129">IF(OR($A129="",$L129=""),"",_xlfn.LET(_xlpm.cat,UPPER($E129),_xlpm.wt,IFERROR(VALUE(LEFT($L129,FIND(" ",$L129&amp;" ")-1)),$L129),_xlpm.ppk,_xlfn.SWITCH(TRUE,_xlpm.cat="GAMEFOWL",62,_xlpm.cat="POULTRY",45,_xlpm.cat="SWINE",48,_xlpm.cat="HOGS",48,_xlpm.cat="RABBIT",40,45),_xlpm.code,IFERROR(VALUE(LEFT($A129,FIND(" ",$A129&amp;" ")-1)),0),_xlpm.v,1+MOD(_xlpm.code,13)/100,ROUND(_xlpm.ppk*_xlpm.wt*_xlpm.v,0)))</f>
        <v>2453</v>
      </c>
      <c r="H129" s="6" cm="1">
        <f t="array" ref="H129">IF(OR($A129="",$L129=""),"",_xlfn.LET(_xlpm.cat,UPPER($E129),_xlpm.base,_xlfn.SWITCH(TRUE,_xlpm.cat="GAMEFOWL",0.22,_xlpm.cat="POULTRY",0.18,_xlpm.cat="SWINE",0.16,_xlpm.cat="HOGS",0.16,_xlpm.cat="RABBIT",0.15,0.17),_xlpm.code,IFERROR(VALUE(LEFT($A129,FIND(" ",$A129&amp;" ")-1)),0),_xlpm.v,MOD(_xlpm.code,9)/1000,MIN(0.3,MAX(0.1,_xlpm.base+_xlpm.v))))</f>
        <v>0.188</v>
      </c>
      <c r="I129" s="5" t="s">
        <v>64</v>
      </c>
      <c r="J129" s="5">
        <v>3</v>
      </c>
      <c r="K129" s="5">
        <v>0.33</v>
      </c>
      <c r="L129" s="5">
        <v>50</v>
      </c>
      <c r="M129" s="5">
        <v>4</v>
      </c>
      <c r="N129" s="5">
        <v>2</v>
      </c>
      <c r="O129" s="5">
        <v>2</v>
      </c>
      <c r="Q129" s="5" t="s">
        <v>455</v>
      </c>
      <c r="R129" s="5" t="s">
        <v>34</v>
      </c>
      <c r="S129" s="5" t="s">
        <v>456</v>
      </c>
      <c r="T129" s="7">
        <v>5000000000558</v>
      </c>
      <c r="U129" s="5" t="s">
        <v>229</v>
      </c>
      <c r="V129" s="7">
        <v>5000000000113</v>
      </c>
      <c r="W129" s="5" t="s">
        <v>230</v>
      </c>
      <c r="X129" s="5" t="s">
        <v>34</v>
      </c>
      <c r="Y129" s="5" t="s">
        <v>34</v>
      </c>
      <c r="Z129" s="5">
        <v>7.4493101886792452</v>
      </c>
      <c r="AA129" s="5" t="s">
        <v>34</v>
      </c>
      <c r="AB129" s="5" t="s">
        <v>34</v>
      </c>
      <c r="AC129" s="5" t="s">
        <v>34</v>
      </c>
      <c r="AD129" s="5" t="s">
        <v>34</v>
      </c>
    </row>
    <row r="130" spans="1:30" ht="15.55" x14ac:dyDescent="0.3">
      <c r="A130" s="4">
        <v>1000000001009</v>
      </c>
      <c r="B130" s="5" t="s">
        <v>457</v>
      </c>
      <c r="C130" s="4">
        <v>3000000000176</v>
      </c>
      <c r="D130" s="5" t="s">
        <v>458</v>
      </c>
      <c r="E130" s="5" t="s">
        <v>62</v>
      </c>
      <c r="F130" s="5" t="s">
        <v>34</v>
      </c>
      <c r="G130" s="10" cm="1">
        <f t="array" ref="G130">IF(OR($A130="",$L130=""),"",_xlfn.LET(_xlpm.cat,UPPER($E130),_xlpm.wt,IFERROR(VALUE(LEFT($L130,FIND(" ",$L130&amp;" ")-1)),$L130),_xlpm.ppk,_xlfn.SWITCH(TRUE,_xlpm.cat="GAMEFOWL",62,_xlpm.cat="POULTRY",45,_xlpm.cat="SWINE",48,_xlpm.cat="HOGS",48,_xlpm.cat="RABBIT",40,45),_xlpm.code,IFERROR(VALUE(LEFT($A130,FIND(" ",$A130&amp;" ")-1)),0),_xlpm.v,1+MOD(_xlpm.code,13)/100,ROUND(_xlpm.ppk*_xlpm.wt*_xlpm.v,0)))</f>
        <v>24525</v>
      </c>
      <c r="H130" s="6" cm="1">
        <f t="array" ref="H130">IF(OR($A130="",$L130=""),"",_xlfn.LET(_xlpm.cat,UPPER($E130),_xlpm.base,_xlfn.SWITCH(TRUE,_xlpm.cat="GAMEFOWL",0.22,_xlpm.cat="POULTRY",0.18,_xlpm.cat="SWINE",0.16,_xlpm.cat="HOGS",0.16,_xlpm.cat="RABBIT",0.15,0.17),_xlpm.code,IFERROR(VALUE(LEFT($A130,FIND(" ",$A130&amp;" ")-1)),0),_xlpm.v,MOD(_xlpm.code,9)/1000,MIN(0.3,MAX(0.1,_xlpm.base+_xlpm.v))))</f>
        <v>0.182</v>
      </c>
      <c r="I130" s="5" t="s">
        <v>57</v>
      </c>
      <c r="K130" s="5">
        <v>0</v>
      </c>
      <c r="L130" s="5">
        <v>500</v>
      </c>
      <c r="M130" s="5">
        <v>3</v>
      </c>
      <c r="N130" s="5">
        <v>2</v>
      </c>
      <c r="O130" s="5">
        <v>2</v>
      </c>
      <c r="Q130" s="5" t="s">
        <v>34</v>
      </c>
      <c r="R130" s="5" t="s">
        <v>34</v>
      </c>
      <c r="S130" s="5" t="s">
        <v>39</v>
      </c>
      <c r="T130" s="7">
        <v>5000000000601</v>
      </c>
      <c r="U130" s="5" t="s">
        <v>307</v>
      </c>
      <c r="V130" s="7" t="s">
        <v>34</v>
      </c>
      <c r="W130" s="5" t="s">
        <v>308</v>
      </c>
      <c r="X130" s="5" t="s">
        <v>34</v>
      </c>
      <c r="Y130" s="5" t="s">
        <v>34</v>
      </c>
      <c r="Z130" s="5" t="s">
        <v>34</v>
      </c>
      <c r="AA130" s="5" t="s">
        <v>34</v>
      </c>
      <c r="AB130" s="5" t="s">
        <v>34</v>
      </c>
      <c r="AC130" s="5" t="s">
        <v>34</v>
      </c>
      <c r="AD130" s="5" t="s">
        <v>34</v>
      </c>
    </row>
    <row r="131" spans="1:30" ht="15.55" x14ac:dyDescent="0.3">
      <c r="A131" s="4">
        <v>1000000000985</v>
      </c>
      <c r="B131" s="5" t="s">
        <v>459</v>
      </c>
      <c r="C131" s="4">
        <v>3000000000266</v>
      </c>
      <c r="D131" s="5" t="s">
        <v>460</v>
      </c>
      <c r="E131" s="5" t="s">
        <v>62</v>
      </c>
      <c r="F131" s="5" t="s">
        <v>63</v>
      </c>
      <c r="G131" s="10" cm="1">
        <f t="array" ref="G131">IF(OR($A131="",$L131=""),"",_xlfn.LET(_xlpm.cat,UPPER($E131),_xlpm.wt,IFERROR(VALUE(LEFT($L131,FIND(" ",$L131&amp;" ")-1)),$L131),_xlpm.ppk,_xlfn.SWITCH(TRUE,_xlpm.cat="GAMEFOWL",62,_xlpm.cat="POULTRY",45,_xlpm.cat="SWINE",48,_xlpm.cat="HOGS",48,_xlpm.cat="RABBIT",40,45),_xlpm.code,IFERROR(VALUE(LEFT($A131,FIND(" ",$A131&amp;" ")-1)),0),_xlpm.v,1+MOD(_xlpm.code,13)/100,ROUND(_xlpm.ppk*_xlpm.wt*_xlpm.v,0)))</f>
        <v>2498</v>
      </c>
      <c r="H131" s="6" cm="1">
        <f t="array" ref="H131">IF(OR($A131="",$L131=""),"",_xlfn.LET(_xlpm.cat,UPPER($E131),_xlpm.base,_xlfn.SWITCH(TRUE,_xlpm.cat="GAMEFOWL",0.22,_xlpm.cat="POULTRY",0.18,_xlpm.cat="SWINE",0.16,_xlpm.cat="HOGS",0.16,_xlpm.cat="RABBIT",0.15,0.17),_xlpm.code,IFERROR(VALUE(LEFT($A131,FIND(" ",$A131&amp;" ")-1)),0),_xlpm.v,MOD(_xlpm.code,9)/1000,MIN(0.3,MAX(0.1,_xlpm.base+_xlpm.v))))</f>
        <v>0.185</v>
      </c>
      <c r="I131" s="5" t="s">
        <v>77</v>
      </c>
      <c r="J131" s="5">
        <v>4</v>
      </c>
      <c r="K131" s="5">
        <v>0.33</v>
      </c>
      <c r="L131" s="5">
        <v>50</v>
      </c>
      <c r="M131" s="5">
        <v>4</v>
      </c>
      <c r="N131" s="5">
        <v>2</v>
      </c>
      <c r="O131" s="5">
        <v>2</v>
      </c>
      <c r="Q131" s="5">
        <v>985</v>
      </c>
      <c r="R131" s="5" t="s">
        <v>34</v>
      </c>
      <c r="S131" s="5" t="s">
        <v>314</v>
      </c>
      <c r="T131" s="7">
        <v>5000000000556</v>
      </c>
      <c r="U131" s="5" t="s">
        <v>461</v>
      </c>
      <c r="V131" s="7">
        <v>5000000000498</v>
      </c>
      <c r="W131" s="5" t="s">
        <v>462</v>
      </c>
      <c r="X131" s="5" t="s">
        <v>34</v>
      </c>
      <c r="Y131" s="5" t="s">
        <v>34</v>
      </c>
      <c r="Z131" s="5">
        <v>7.6358749090909015</v>
      </c>
      <c r="AA131" s="5">
        <v>7.647461972685889</v>
      </c>
      <c r="AB131" s="5" t="s">
        <v>34</v>
      </c>
      <c r="AC131" s="5" t="s">
        <v>34</v>
      </c>
      <c r="AD131" s="5" t="s">
        <v>34</v>
      </c>
    </row>
    <row r="132" spans="1:30" ht="15.55" x14ac:dyDescent="0.3">
      <c r="A132" s="4">
        <v>1000000000983</v>
      </c>
      <c r="B132" s="5" t="s">
        <v>463</v>
      </c>
      <c r="C132" s="4">
        <v>3000000000262</v>
      </c>
      <c r="D132" s="5" t="s">
        <v>464</v>
      </c>
      <c r="E132" s="5" t="s">
        <v>62</v>
      </c>
      <c r="F132" s="5" t="s">
        <v>63</v>
      </c>
      <c r="G132" s="10" cm="1">
        <f t="array" ref="G132">IF(OR($A132="",$L132=""),"",_xlfn.LET(_xlpm.cat,UPPER($E132),_xlpm.wt,IFERROR(VALUE(LEFT($L132,FIND(" ",$L132&amp;" ")-1)),$L132),_xlpm.ppk,_xlfn.SWITCH(TRUE,_xlpm.cat="GAMEFOWL",62,_xlpm.cat="POULTRY",45,_xlpm.cat="SWINE",48,_xlpm.cat="HOGS",48,_xlpm.cat="RABBIT",40,45),_xlpm.code,IFERROR(VALUE(LEFT($A132,FIND(" ",$A132&amp;" ")-1)),0),_xlpm.v,1+MOD(_xlpm.code,13)/100,ROUND(_xlpm.ppk*_xlpm.wt*_xlpm.v,0)))</f>
        <v>2453</v>
      </c>
      <c r="H132" s="6" cm="1">
        <f t="array" ref="H132">IF(OR($A132="",$L132=""),"",_xlfn.LET(_xlpm.cat,UPPER($E132),_xlpm.base,_xlfn.SWITCH(TRUE,_xlpm.cat="GAMEFOWL",0.22,_xlpm.cat="POULTRY",0.18,_xlpm.cat="SWINE",0.16,_xlpm.cat="HOGS",0.16,_xlpm.cat="RABBIT",0.15,0.17),_xlpm.code,IFERROR(VALUE(LEFT($A132,FIND(" ",$A132&amp;" ")-1)),0),_xlpm.v,MOD(_xlpm.code,9)/1000,MIN(0.3,MAX(0.1,_xlpm.base+_xlpm.v))))</f>
        <v>0.183</v>
      </c>
      <c r="I132" s="5" t="s">
        <v>77</v>
      </c>
      <c r="J132" s="5">
        <v>4</v>
      </c>
      <c r="K132" s="5">
        <v>0.33</v>
      </c>
      <c r="L132" s="5">
        <v>50</v>
      </c>
      <c r="M132" s="5">
        <v>4</v>
      </c>
      <c r="N132" s="5">
        <v>2</v>
      </c>
      <c r="O132" s="5">
        <v>2</v>
      </c>
      <c r="Q132" s="5" t="s">
        <v>465</v>
      </c>
      <c r="R132" s="5" t="s">
        <v>34</v>
      </c>
      <c r="S132" s="5" t="s">
        <v>314</v>
      </c>
      <c r="T132" s="7">
        <v>5000000000555</v>
      </c>
      <c r="U132" s="5" t="s">
        <v>466</v>
      </c>
      <c r="V132" s="7">
        <v>5000000000614</v>
      </c>
      <c r="W132" s="5" t="s">
        <v>467</v>
      </c>
      <c r="X132" s="5" t="s">
        <v>34</v>
      </c>
      <c r="Y132" s="5" t="s">
        <v>34</v>
      </c>
      <c r="Z132" s="5">
        <v>7.4361437746478876</v>
      </c>
      <c r="AA132" s="5">
        <v>8.2459177251184865</v>
      </c>
      <c r="AB132" s="5" t="s">
        <v>34</v>
      </c>
      <c r="AC132" s="5">
        <v>8.0336009552238803</v>
      </c>
      <c r="AD132" s="5" t="s">
        <v>34</v>
      </c>
    </row>
    <row r="133" spans="1:30" ht="15.55" x14ac:dyDescent="0.3">
      <c r="A133" s="4">
        <v>1000000000969</v>
      </c>
      <c r="B133" s="5" t="s">
        <v>191</v>
      </c>
      <c r="C133" s="4">
        <v>3000000000192</v>
      </c>
      <c r="D133" s="5" t="s">
        <v>468</v>
      </c>
      <c r="E133" s="5" t="s">
        <v>62</v>
      </c>
      <c r="F133" s="5" t="s">
        <v>63</v>
      </c>
      <c r="G133" s="10" cm="1">
        <f t="array" ref="G133">IF(OR($A133="",$L133=""),"",_xlfn.LET(_xlpm.cat,UPPER($E133),_xlpm.wt,IFERROR(VALUE(LEFT($L133,FIND(" ",$L133&amp;" ")-1)),$L133),_xlpm.ppk,_xlfn.SWITCH(TRUE,_xlpm.cat="GAMEFOWL",62,_xlpm.cat="POULTRY",45,_xlpm.cat="SWINE",48,_xlpm.cat="HOGS",48,_xlpm.cat="RABBIT",40,45),_xlpm.code,IFERROR(VALUE(LEFT($A133,FIND(" ",$A133&amp;" ")-1)),0),_xlpm.v,1+MOD(_xlpm.code,13)/100,ROUND(_xlpm.ppk*_xlpm.wt*_xlpm.v,0)))</f>
        <v>2430</v>
      </c>
      <c r="H133" s="6" cm="1">
        <f t="array" ref="H133">IF(OR($A133="",$L133=""),"",_xlfn.LET(_xlpm.cat,UPPER($E133),_xlpm.base,_xlfn.SWITCH(TRUE,_xlpm.cat="GAMEFOWL",0.22,_xlpm.cat="POULTRY",0.18,_xlpm.cat="SWINE",0.16,_xlpm.cat="HOGS",0.16,_xlpm.cat="RABBIT",0.15,0.17),_xlpm.code,IFERROR(VALUE(LEFT($A133,FIND(" ",$A133&amp;" ")-1)),0),_xlpm.v,MOD(_xlpm.code,9)/1000,MIN(0.3,MAX(0.1,_xlpm.base+_xlpm.v))))</f>
        <v>0.187</v>
      </c>
      <c r="I133" s="5" t="s">
        <v>64</v>
      </c>
      <c r="J133" s="5">
        <v>3</v>
      </c>
      <c r="K133" s="5">
        <v>0.33</v>
      </c>
      <c r="L133" s="5">
        <v>50</v>
      </c>
      <c r="M133" s="5">
        <v>4</v>
      </c>
      <c r="N133" s="5">
        <v>2</v>
      </c>
      <c r="O133" s="5">
        <v>2</v>
      </c>
      <c r="Q133" s="5" t="s">
        <v>469</v>
      </c>
      <c r="R133" s="5" t="s">
        <v>34</v>
      </c>
      <c r="S133" s="5" t="s">
        <v>456</v>
      </c>
      <c r="T133" s="7">
        <v>5000000000557</v>
      </c>
      <c r="U133" s="5" t="s">
        <v>285</v>
      </c>
      <c r="V133" s="7">
        <v>5000000000154</v>
      </c>
      <c r="W133" s="5" t="s">
        <v>286</v>
      </c>
      <c r="X133" s="5" t="s">
        <v>34</v>
      </c>
      <c r="Y133" s="5" t="s">
        <v>34</v>
      </c>
      <c r="Z133" s="5" t="s">
        <v>34</v>
      </c>
      <c r="AA133" s="5">
        <v>8.6063457103448293</v>
      </c>
      <c r="AB133" s="5" t="s">
        <v>34</v>
      </c>
      <c r="AC133" s="5" t="s">
        <v>34</v>
      </c>
      <c r="AD133" s="5" t="s">
        <v>34</v>
      </c>
    </row>
    <row r="134" spans="1:30" ht="15.55" x14ac:dyDescent="0.3">
      <c r="A134" s="4">
        <v>3000000000072</v>
      </c>
      <c r="B134" s="5" t="s">
        <v>470</v>
      </c>
      <c r="C134" s="4">
        <v>3000000000072</v>
      </c>
      <c r="D134" s="5" t="s">
        <v>471</v>
      </c>
      <c r="E134" s="5" t="s">
        <v>86</v>
      </c>
      <c r="F134" s="5" t="s">
        <v>63</v>
      </c>
      <c r="G134" s="10" cm="1">
        <f t="array" ref="G134">IF(OR($A134="",$L134=""),"",_xlfn.LET(_xlpm.cat,UPPER($E134),_xlpm.wt,IFERROR(VALUE(LEFT($L134,FIND(" ",$L134&amp;" ")-1)),$L134),_xlpm.ppk,_xlfn.SWITCH(TRUE,_xlpm.cat="GAMEFOWL",62,_xlpm.cat="POULTRY",45,_xlpm.cat="SWINE",48,_xlpm.cat="HOGS",48,_xlpm.cat="RABBIT",40,45),_xlpm.code,IFERROR(VALUE(LEFT($A134,FIND(" ",$A134&amp;" ")-1)),0),_xlpm.v,1+MOD(_xlpm.code,13)/100,ROUND(_xlpm.ppk*_xlpm.wt*_xlpm.v,0)))</f>
        <v>3410</v>
      </c>
      <c r="H134" s="6" cm="1">
        <f t="array" ref="H134">IF(OR($A134="",$L134=""),"",_xlfn.LET(_xlpm.cat,UPPER($E134),_xlpm.base,_xlfn.SWITCH(TRUE,_xlpm.cat="GAMEFOWL",0.22,_xlpm.cat="POULTRY",0.18,_xlpm.cat="SWINE",0.16,_xlpm.cat="HOGS",0.16,_xlpm.cat="RABBIT",0.15,0.17),_xlpm.code,IFERROR(VALUE(LEFT($A134,FIND(" ",$A134&amp;" ")-1)),0),_xlpm.v,MOD(_xlpm.code,9)/1000,MIN(0.3,MAX(0.1,_xlpm.base+_xlpm.v))))</f>
        <v>0.223</v>
      </c>
      <c r="I134" s="5" t="s">
        <v>139</v>
      </c>
      <c r="J134" s="5">
        <v>3</v>
      </c>
      <c r="K134" s="5">
        <v>0.17</v>
      </c>
      <c r="L134" s="5">
        <v>50</v>
      </c>
      <c r="M134" s="5">
        <v>4</v>
      </c>
      <c r="N134" s="5">
        <v>2</v>
      </c>
      <c r="O134" s="5">
        <v>2</v>
      </c>
      <c r="Q134" s="5" t="s">
        <v>472</v>
      </c>
      <c r="R134" s="5" t="s">
        <v>34</v>
      </c>
      <c r="S134" s="5" t="s">
        <v>39</v>
      </c>
      <c r="T134" s="7" t="s">
        <v>34</v>
      </c>
      <c r="U134" s="5" t="s">
        <v>34</v>
      </c>
      <c r="V134" s="7" t="s">
        <v>34</v>
      </c>
      <c r="W134" s="5" t="s">
        <v>34</v>
      </c>
      <c r="X134" s="5">
        <v>19.663669007990393</v>
      </c>
      <c r="Y134" s="5" t="s">
        <v>34</v>
      </c>
      <c r="Z134" s="5" t="s">
        <v>34</v>
      </c>
      <c r="AA134" s="5" t="s">
        <v>34</v>
      </c>
      <c r="AB134" s="5" t="s">
        <v>34</v>
      </c>
      <c r="AC134" s="5" t="s">
        <v>34</v>
      </c>
      <c r="AD134" s="5" t="s">
        <v>34</v>
      </c>
    </row>
    <row r="135" spans="1:30" ht="15.55" x14ac:dyDescent="0.3">
      <c r="A135" s="4">
        <v>1000000000911</v>
      </c>
      <c r="B135" s="5" t="s">
        <v>473</v>
      </c>
      <c r="C135" s="4">
        <v>3000000000336</v>
      </c>
      <c r="D135" s="5" t="s">
        <v>474</v>
      </c>
      <c r="E135" s="5" t="s">
        <v>62</v>
      </c>
      <c r="F135" s="5" t="s">
        <v>63</v>
      </c>
      <c r="G135" s="10" cm="1">
        <f t="array" ref="G135">IF(OR($A135="",$L135=""),"",_xlfn.LET(_xlpm.cat,UPPER($E135),_xlpm.wt,IFERROR(VALUE(LEFT($L135,FIND(" ",$L135&amp;" ")-1)),$L135),_xlpm.ppk,_xlfn.SWITCH(TRUE,_xlpm.cat="GAMEFOWL",62,_xlpm.cat="POULTRY",45,_xlpm.cat="SWINE",48,_xlpm.cat="HOGS",48,_xlpm.cat="RABBIT",40,45),_xlpm.code,IFERROR(VALUE(LEFT($A135,FIND(" ",$A135&amp;" ")-1)),0),_xlpm.v,1+MOD(_xlpm.code,13)/100,ROUND(_xlpm.ppk*_xlpm.wt*_xlpm.v,0)))</f>
        <v>2295</v>
      </c>
      <c r="H135" s="6" cm="1">
        <f t="array" ref="H135">IF(OR($A135="",$L135=""),"",_xlfn.LET(_xlpm.cat,UPPER($E135),_xlpm.base,_xlfn.SWITCH(TRUE,_xlpm.cat="GAMEFOWL",0.22,_xlpm.cat="POULTRY",0.18,_xlpm.cat="SWINE",0.16,_xlpm.cat="HOGS",0.16,_xlpm.cat="RABBIT",0.15,0.17),_xlpm.code,IFERROR(VALUE(LEFT($A135,FIND(" ",$A135&amp;" ")-1)),0),_xlpm.v,MOD(_xlpm.code,9)/1000,MIN(0.3,MAX(0.1,_xlpm.base+_xlpm.v))))</f>
        <v>0.183</v>
      </c>
      <c r="I135" s="5" t="s">
        <v>139</v>
      </c>
      <c r="J135" s="5">
        <v>3</v>
      </c>
      <c r="K135" s="5">
        <v>0.17</v>
      </c>
      <c r="L135" s="5">
        <v>50</v>
      </c>
      <c r="M135" s="5">
        <v>4</v>
      </c>
      <c r="N135" s="5">
        <v>2</v>
      </c>
      <c r="O135" s="5">
        <v>2</v>
      </c>
      <c r="Q135" s="5" t="s">
        <v>475</v>
      </c>
      <c r="R135" s="5" t="s">
        <v>34</v>
      </c>
      <c r="S135" s="5" t="s">
        <v>92</v>
      </c>
      <c r="T135" s="7">
        <v>5000000000559</v>
      </c>
      <c r="U135" s="5" t="s">
        <v>264</v>
      </c>
      <c r="V135" s="7">
        <v>5000000000115</v>
      </c>
      <c r="W135" s="5" t="s">
        <v>265</v>
      </c>
      <c r="X135" s="5" t="s">
        <v>34</v>
      </c>
      <c r="Y135" s="5" t="s">
        <v>34</v>
      </c>
      <c r="Z135" s="5" t="s">
        <v>34</v>
      </c>
      <c r="AA135" s="5" t="s">
        <v>34</v>
      </c>
      <c r="AB135" s="5" t="s">
        <v>34</v>
      </c>
      <c r="AC135" s="5">
        <v>7.9994879999999986</v>
      </c>
      <c r="AD135" s="5">
        <v>8.4645745116279052</v>
      </c>
    </row>
    <row r="136" spans="1:30" ht="15.55" x14ac:dyDescent="0.3">
      <c r="A136" s="4">
        <v>3000000000567</v>
      </c>
      <c r="B136" s="5" t="s">
        <v>476</v>
      </c>
      <c r="C136" s="4">
        <v>3000000000567</v>
      </c>
      <c r="D136" s="5" t="s">
        <v>477</v>
      </c>
      <c r="E136" s="5" t="s">
        <v>31</v>
      </c>
      <c r="F136" s="5" t="s">
        <v>32</v>
      </c>
      <c r="G136" s="10" cm="1">
        <f t="array" ref="G136">IF(OR($A136="",$L136=""),"",_xlfn.LET(_xlpm.cat,UPPER($E136),_xlpm.wt,IFERROR(VALUE(LEFT($L136,FIND(" ",$L136&amp;" ")-1)),$L136),_xlpm.ppk,_xlfn.SWITCH(TRUE,_xlpm.cat="GAMEFOWL",62,_xlpm.cat="POULTRY",45,_xlpm.cat="SWINE",48,_xlpm.cat="HOGS",48,_xlpm.cat="RABBIT",40,45),_xlpm.code,IFERROR(VALUE(LEFT($A136,FIND(" ",$A136&amp;" ")-1)),0),_xlpm.v,1+MOD(_xlpm.code,13)/100,ROUND(_xlpm.ppk*_xlpm.wt*_xlpm.v,0)))</f>
        <v>2664</v>
      </c>
      <c r="H136" s="6" cm="1">
        <f t="array" ref="H136">IF(OR($A136="",$L136=""),"",_xlfn.LET(_xlpm.cat,UPPER($E136),_xlpm.base,_xlfn.SWITCH(TRUE,_xlpm.cat="GAMEFOWL",0.22,_xlpm.cat="POULTRY",0.18,_xlpm.cat="SWINE",0.16,_xlpm.cat="HOGS",0.16,_xlpm.cat="RABBIT",0.15,0.17),_xlpm.code,IFERROR(VALUE(LEFT($A136,FIND(" ",$A136&amp;" ")-1)),0),_xlpm.v,MOD(_xlpm.code,9)/1000,MIN(0.3,MAX(0.1,_xlpm.base+_xlpm.v))))</f>
        <v>0.16300000000000001</v>
      </c>
      <c r="I136" s="5" t="s">
        <v>48</v>
      </c>
      <c r="J136" s="5">
        <v>3</v>
      </c>
      <c r="K136" s="5">
        <v>0.17</v>
      </c>
      <c r="L136" s="5">
        <v>50</v>
      </c>
      <c r="M136" s="5">
        <v>4</v>
      </c>
      <c r="N136" s="5">
        <v>2</v>
      </c>
      <c r="O136" s="5">
        <v>2</v>
      </c>
      <c r="Q136" s="5">
        <v>567</v>
      </c>
      <c r="R136" s="5" t="s">
        <v>34</v>
      </c>
      <c r="S136" s="5" t="s">
        <v>478</v>
      </c>
      <c r="T136" s="7" t="s">
        <v>34</v>
      </c>
      <c r="U136" s="5" t="s">
        <v>34</v>
      </c>
      <c r="V136" s="7" t="s">
        <v>34</v>
      </c>
      <c r="W136" s="5" t="s">
        <v>34</v>
      </c>
      <c r="X136" s="5" t="s">
        <v>34</v>
      </c>
      <c r="Y136" s="5" t="s">
        <v>34</v>
      </c>
      <c r="Z136" s="5" t="s">
        <v>34</v>
      </c>
      <c r="AA136" s="5" t="s">
        <v>34</v>
      </c>
      <c r="AB136" s="5" t="s">
        <v>34</v>
      </c>
      <c r="AC136" s="5">
        <v>6.5007125959367951</v>
      </c>
      <c r="AD136" s="5">
        <v>6.5671997113545872</v>
      </c>
    </row>
    <row r="137" spans="1:30" ht="15.55" x14ac:dyDescent="0.3">
      <c r="A137" s="4">
        <v>1000000000240</v>
      </c>
      <c r="B137" s="5" t="s">
        <v>479</v>
      </c>
      <c r="C137" s="4">
        <v>3000000000569</v>
      </c>
      <c r="D137" s="5" t="s">
        <v>480</v>
      </c>
      <c r="E137" s="5" t="s">
        <v>31</v>
      </c>
      <c r="F137" s="5" t="s">
        <v>32</v>
      </c>
      <c r="G137" s="10" cm="1">
        <f t="array" ref="G137">IF(OR($A137="",$L137=""),"",_xlfn.LET(_xlpm.cat,UPPER($E137),_xlpm.wt,IFERROR(VALUE(LEFT($L137,FIND(" ",$L137&amp;" ")-1)),$L137),_xlpm.ppk,_xlfn.SWITCH(TRUE,_xlpm.cat="GAMEFOWL",62,_xlpm.cat="POULTRY",45,_xlpm.cat="SWINE",48,_xlpm.cat="HOGS",48,_xlpm.cat="RABBIT",40,45),_xlpm.code,IFERROR(VALUE(LEFT($A137,FIND(" ",$A137&amp;" ")-1)),0),_xlpm.v,1+MOD(_xlpm.code,13)/100,ROUND(_xlpm.ppk*_xlpm.wt*_xlpm.v,0)))</f>
        <v>1284</v>
      </c>
      <c r="H137" s="6" cm="1">
        <f t="array" ref="H137">IF(OR($A137="",$L137=""),"",_xlfn.LET(_xlpm.cat,UPPER($E137),_xlpm.base,_xlfn.SWITCH(TRUE,_xlpm.cat="GAMEFOWL",0.22,_xlpm.cat="POULTRY",0.18,_xlpm.cat="SWINE",0.16,_xlpm.cat="HOGS",0.16,_xlpm.cat="RABBIT",0.15,0.17),_xlpm.code,IFERROR(VALUE(LEFT($A137,FIND(" ",$A137&amp;" ")-1)),0),_xlpm.v,MOD(_xlpm.code,9)/1000,MIN(0.3,MAX(0.1,_xlpm.base+_xlpm.v))))</f>
        <v>0.16700000000000001</v>
      </c>
      <c r="I137" s="5" t="s">
        <v>48</v>
      </c>
      <c r="J137" s="5">
        <v>3</v>
      </c>
      <c r="K137" s="5">
        <v>0.17</v>
      </c>
      <c r="L137" s="5">
        <v>25</v>
      </c>
      <c r="M137" s="5">
        <v>4</v>
      </c>
      <c r="N137" s="5">
        <v>2</v>
      </c>
      <c r="O137" s="5">
        <v>2</v>
      </c>
      <c r="Q137" s="5" t="s">
        <v>34</v>
      </c>
      <c r="R137" s="5" t="s">
        <v>34</v>
      </c>
      <c r="S137" s="5" t="s">
        <v>39</v>
      </c>
      <c r="T137" s="7">
        <v>5000000000422</v>
      </c>
      <c r="U137" s="5" t="s">
        <v>481</v>
      </c>
      <c r="V137" s="7">
        <v>5000000000478</v>
      </c>
      <c r="W137" s="5" t="s">
        <v>482</v>
      </c>
      <c r="X137" s="5" t="s">
        <v>34</v>
      </c>
      <c r="Y137" s="5" t="s">
        <v>34</v>
      </c>
      <c r="Z137" s="5" t="s">
        <v>34</v>
      </c>
      <c r="AA137" s="5" t="s">
        <v>34</v>
      </c>
      <c r="AB137" s="5" t="s">
        <v>34</v>
      </c>
      <c r="AC137" s="5">
        <v>6.8321843166090295</v>
      </c>
      <c r="AD137" s="5">
        <v>7.0731008656475867</v>
      </c>
    </row>
    <row r="138" spans="1:30" ht="15.55" x14ac:dyDescent="0.3">
      <c r="A138" s="4">
        <v>1000000000914</v>
      </c>
      <c r="B138" s="5" t="s">
        <v>483</v>
      </c>
      <c r="C138" s="4">
        <v>3000000000609</v>
      </c>
      <c r="D138" s="5" t="s">
        <v>484</v>
      </c>
      <c r="E138" s="5" t="s">
        <v>391</v>
      </c>
      <c r="F138" s="5" t="s">
        <v>314</v>
      </c>
      <c r="G138" s="10" cm="1">
        <f t="array" ref="G138">IF(OR($A138="",$L138=""),"",_xlfn.LET(_xlpm.cat,UPPER($E138),_xlpm.wt,IFERROR(VALUE(LEFT($L138,FIND(" ",$L138&amp;" ")-1)),$L138),_xlpm.ppk,_xlfn.SWITCH(TRUE,_xlpm.cat="GAMEFOWL",62,_xlpm.cat="POULTRY",45,_xlpm.cat="SWINE",48,_xlpm.cat="HOGS",48,_xlpm.cat="RABBIT",40,45),_xlpm.code,IFERROR(VALUE(LEFT($A138,FIND(" ",$A138&amp;" ")-1)),0),_xlpm.v,1+MOD(_xlpm.code,13)/100,ROUND(_xlpm.ppk*_xlpm.wt*_xlpm.v,0)))</f>
        <v>1050</v>
      </c>
      <c r="H138" s="6" cm="1">
        <f t="array" ref="H138">IF(OR($A138="",$L138=""),"",_xlfn.LET(_xlpm.cat,UPPER($E138),_xlpm.base,_xlfn.SWITCH(TRUE,_xlpm.cat="GAMEFOWL",0.22,_xlpm.cat="POULTRY",0.18,_xlpm.cat="SWINE",0.16,_xlpm.cat="HOGS",0.16,_xlpm.cat="RABBIT",0.15,0.17),_xlpm.code,IFERROR(VALUE(LEFT($A138,FIND(" ",$A138&amp;" ")-1)),0),_xlpm.v,MOD(_xlpm.code,9)/1000,MIN(0.3,MAX(0.1,_xlpm.base+_xlpm.v))))</f>
        <v>0.156</v>
      </c>
      <c r="I138" s="5" t="s">
        <v>33</v>
      </c>
      <c r="J138" s="5">
        <v>4</v>
      </c>
      <c r="K138" s="5">
        <v>0.17</v>
      </c>
      <c r="L138" s="5">
        <v>25</v>
      </c>
      <c r="M138" s="5">
        <v>4</v>
      </c>
      <c r="N138" s="5">
        <v>1.5</v>
      </c>
      <c r="O138" s="5">
        <v>1.5</v>
      </c>
      <c r="Q138" s="5" t="s">
        <v>34</v>
      </c>
      <c r="R138" s="5" t="s">
        <v>34</v>
      </c>
      <c r="S138" s="5" t="s">
        <v>39</v>
      </c>
      <c r="T138" s="7">
        <v>5000000000400</v>
      </c>
      <c r="U138" s="5" t="s">
        <v>485</v>
      </c>
      <c r="V138" s="7">
        <v>5000000000441</v>
      </c>
      <c r="W138" s="5" t="s">
        <v>486</v>
      </c>
      <c r="X138" s="5" t="s">
        <v>34</v>
      </c>
      <c r="Y138" s="5" t="s">
        <v>34</v>
      </c>
      <c r="Z138" s="5">
        <v>6.2064993103448174</v>
      </c>
      <c r="AA138" s="5" t="s">
        <v>34</v>
      </c>
      <c r="AB138" s="5" t="s">
        <v>34</v>
      </c>
      <c r="AC138" s="5">
        <v>6.0919177846153874</v>
      </c>
      <c r="AD138" s="5" t="s">
        <v>34</v>
      </c>
    </row>
    <row r="139" spans="1:30" ht="15.55" x14ac:dyDescent="0.3">
      <c r="A139" s="4">
        <v>1000000000913</v>
      </c>
      <c r="B139" s="5" t="s">
        <v>487</v>
      </c>
      <c r="C139" s="4">
        <v>3000000000607</v>
      </c>
      <c r="D139" s="5" t="s">
        <v>488</v>
      </c>
      <c r="E139" s="5" t="s">
        <v>391</v>
      </c>
      <c r="F139" s="5" t="s">
        <v>314</v>
      </c>
      <c r="G139" s="10" cm="1">
        <f t="array" ref="G139">IF(OR($A139="",$L139=""),"",_xlfn.LET(_xlpm.cat,UPPER($E139),_xlpm.wt,IFERROR(VALUE(LEFT($L139,FIND(" ",$L139&amp;" ")-1)),$L139),_xlpm.ppk,_xlfn.SWITCH(TRUE,_xlpm.cat="GAMEFOWL",62,_xlpm.cat="POULTRY",45,_xlpm.cat="SWINE",48,_xlpm.cat="HOGS",48,_xlpm.cat="RABBIT",40,45),_xlpm.code,IFERROR(VALUE(LEFT($A139,FIND(" ",$A139&amp;" ")-1)),0),_xlpm.v,1+MOD(_xlpm.code,13)/100,ROUND(_xlpm.ppk*_xlpm.wt*_xlpm.v,0)))</f>
        <v>1040</v>
      </c>
      <c r="H139" s="6" cm="1">
        <f t="array" ref="H139">IF(OR($A139="",$L139=""),"",_xlfn.LET(_xlpm.cat,UPPER($E139),_xlpm.base,_xlfn.SWITCH(TRUE,_xlpm.cat="GAMEFOWL",0.22,_xlpm.cat="POULTRY",0.18,_xlpm.cat="SWINE",0.16,_xlpm.cat="HOGS",0.16,_xlpm.cat="RABBIT",0.15,0.17),_xlpm.code,IFERROR(VALUE(LEFT($A139,FIND(" ",$A139&amp;" ")-1)),0),_xlpm.v,MOD(_xlpm.code,9)/1000,MIN(0.3,MAX(0.1,_xlpm.base+_xlpm.v))))</f>
        <v>0.155</v>
      </c>
      <c r="I139" s="5" t="s">
        <v>33</v>
      </c>
      <c r="J139" s="5">
        <v>4</v>
      </c>
      <c r="K139" s="5">
        <v>0.17</v>
      </c>
      <c r="L139" s="5">
        <v>25</v>
      </c>
      <c r="M139" s="5">
        <v>4</v>
      </c>
      <c r="N139" s="5">
        <v>1.5</v>
      </c>
      <c r="O139" s="5">
        <v>1.5</v>
      </c>
      <c r="Q139" s="5" t="s">
        <v>34</v>
      </c>
      <c r="R139" s="5" t="s">
        <v>34</v>
      </c>
      <c r="S139" s="5" t="s">
        <v>39</v>
      </c>
      <c r="T139" s="7">
        <v>5000000000401</v>
      </c>
      <c r="U139" s="5" t="s">
        <v>489</v>
      </c>
      <c r="V139" s="7">
        <v>5000000000443</v>
      </c>
      <c r="W139" s="5" t="s">
        <v>490</v>
      </c>
      <c r="X139" s="5" t="s">
        <v>34</v>
      </c>
      <c r="Y139" s="5" t="s">
        <v>34</v>
      </c>
      <c r="Z139" s="5">
        <v>6.4433175048231517</v>
      </c>
      <c r="AA139" s="5" t="s">
        <v>34</v>
      </c>
      <c r="AB139" s="5" t="s">
        <v>34</v>
      </c>
      <c r="AC139" s="5">
        <v>6.1153110743801644</v>
      </c>
      <c r="AD139" s="5" t="s">
        <v>34</v>
      </c>
    </row>
    <row r="140" spans="1:30" ht="15.55" x14ac:dyDescent="0.3">
      <c r="A140" s="4">
        <v>1000000000546</v>
      </c>
      <c r="B140" s="5" t="s">
        <v>491</v>
      </c>
      <c r="C140" s="4">
        <v>3000000000045</v>
      </c>
      <c r="D140" s="5" t="s">
        <v>492</v>
      </c>
      <c r="E140" s="5" t="s">
        <v>86</v>
      </c>
      <c r="F140" s="5" t="s">
        <v>63</v>
      </c>
      <c r="G140" s="10" cm="1">
        <f t="array" ref="G140">IF(OR($A140="",$L140=""),"",_xlfn.LET(_xlpm.cat,UPPER($E140),_xlpm.wt,IFERROR(VALUE(LEFT($L140,FIND(" ",$L140&amp;" ")-1)),$L140),_xlpm.ppk,_xlfn.SWITCH(TRUE,_xlpm.cat="GAMEFOWL",62,_xlpm.cat="POULTRY",45,_xlpm.cat="SWINE",48,_xlpm.cat="HOGS",48,_xlpm.cat="RABBIT",40,45),_xlpm.code,IFERROR(VALUE(LEFT($A140,FIND(" ",$A140&amp;" ")-1)),0),_xlpm.v,1+MOD(_xlpm.code,13)/100,ROUND(_xlpm.ppk*_xlpm.wt*_xlpm.v,0)))</f>
        <v>1566</v>
      </c>
      <c r="H140" s="6" cm="1">
        <f t="array" ref="H140">IF(OR($A140="",$L140=""),"",_xlfn.LET(_xlpm.cat,UPPER($E140),_xlpm.base,_xlfn.SWITCH(TRUE,_xlpm.cat="GAMEFOWL",0.22,_xlpm.cat="POULTRY",0.18,_xlpm.cat="SWINE",0.16,_xlpm.cat="HOGS",0.16,_xlpm.cat="RABBIT",0.15,0.17),_xlpm.code,IFERROR(VALUE(LEFT($A140,FIND(" ",$A140&amp;" ")-1)),0),_xlpm.v,MOD(_xlpm.code,9)/1000,MIN(0.3,MAX(0.1,_xlpm.base+_xlpm.v))))</f>
        <v>0.22700000000000001</v>
      </c>
      <c r="I140" s="5" t="s">
        <v>139</v>
      </c>
      <c r="J140" s="5">
        <v>3</v>
      </c>
      <c r="K140" s="5">
        <v>0.17</v>
      </c>
      <c r="L140" s="5">
        <v>25</v>
      </c>
      <c r="M140" s="5">
        <v>3</v>
      </c>
      <c r="N140" s="5">
        <v>2</v>
      </c>
      <c r="O140" s="5">
        <v>2</v>
      </c>
      <c r="Q140" s="5" t="s">
        <v>34</v>
      </c>
      <c r="R140" s="5" t="s">
        <v>34</v>
      </c>
      <c r="S140" s="5" t="s">
        <v>39</v>
      </c>
      <c r="T140" s="7">
        <v>5000000000390</v>
      </c>
      <c r="U140" s="5" t="s">
        <v>493</v>
      </c>
      <c r="V140" s="7">
        <v>5000000000130</v>
      </c>
      <c r="W140" s="5" t="s">
        <v>119</v>
      </c>
      <c r="X140" s="5">
        <v>19.31013951575834</v>
      </c>
      <c r="Y140" s="5" t="s">
        <v>34</v>
      </c>
      <c r="Z140" s="5" t="s">
        <v>34</v>
      </c>
      <c r="AA140" s="5" t="s">
        <v>34</v>
      </c>
      <c r="AB140" s="5" t="s">
        <v>34</v>
      </c>
      <c r="AC140" s="5" t="s">
        <v>34</v>
      </c>
      <c r="AD140" s="5" t="s">
        <v>34</v>
      </c>
    </row>
    <row r="141" spans="1:30" ht="15.55" x14ac:dyDescent="0.3">
      <c r="A141" s="4">
        <v>3000000001289</v>
      </c>
      <c r="B141" s="5" t="s">
        <v>494</v>
      </c>
      <c r="C141" s="4">
        <v>3000000001289</v>
      </c>
      <c r="D141" s="5" t="s">
        <v>494</v>
      </c>
      <c r="E141" s="5" t="s">
        <v>31</v>
      </c>
      <c r="F141" s="5" t="s">
        <v>32</v>
      </c>
      <c r="G141" s="10" cm="1">
        <f t="array" ref="G141">IF(OR($A141="",$L141=""),"",_xlfn.LET(_xlpm.cat,UPPER($E141),_xlpm.wt,IFERROR(VALUE(LEFT($L141,FIND(" ",$L141&amp;" ")-1)),$L141),_xlpm.ppk,_xlfn.SWITCH(TRUE,_xlpm.cat="GAMEFOWL",62,_xlpm.cat="POULTRY",45,_xlpm.cat="SWINE",48,_xlpm.cat="HOGS",48,_xlpm.cat="RABBIT",40,45),_xlpm.code,IFERROR(VALUE(LEFT($A141,FIND(" ",$A141&amp;" ")-1)),0),_xlpm.v,1+MOD(_xlpm.code,13)/100,ROUND(_xlpm.ppk*_xlpm.wt*_xlpm.v,0)))</f>
        <v>2520</v>
      </c>
      <c r="H141" s="6" cm="1">
        <f t="array" ref="H141">IF(OR($A141="",$L141=""),"",_xlfn.LET(_xlpm.cat,UPPER($E141),_xlpm.base,_xlfn.SWITCH(TRUE,_xlpm.cat="GAMEFOWL",0.22,_xlpm.cat="POULTRY",0.18,_xlpm.cat="SWINE",0.16,_xlpm.cat="HOGS",0.16,_xlpm.cat="RABBIT",0.15,0.17),_xlpm.code,IFERROR(VALUE(LEFT($A141,FIND(" ",$A141&amp;" ")-1)),0),_xlpm.v,MOD(_xlpm.code,9)/1000,MIN(0.3,MAX(0.1,_xlpm.base+_xlpm.v))))</f>
        <v>0.16500000000000001</v>
      </c>
      <c r="I141" s="5" t="s">
        <v>33</v>
      </c>
      <c r="J141" s="5">
        <v>4</v>
      </c>
      <c r="K141" s="5">
        <v>0.17</v>
      </c>
      <c r="L141" s="5">
        <v>50</v>
      </c>
      <c r="M141" s="5">
        <v>2</v>
      </c>
      <c r="N141" s="5">
        <v>1</v>
      </c>
      <c r="O141" s="5">
        <v>1</v>
      </c>
      <c r="Q141" s="5">
        <v>1289</v>
      </c>
      <c r="R141" s="5" t="s">
        <v>34</v>
      </c>
      <c r="S141" s="5" t="s">
        <v>222</v>
      </c>
      <c r="T141" s="7" t="s">
        <v>34</v>
      </c>
      <c r="U141" s="5" t="s">
        <v>34</v>
      </c>
      <c r="V141" s="7" t="s">
        <v>34</v>
      </c>
      <c r="W141" s="5" t="s">
        <v>34</v>
      </c>
      <c r="X141" s="5" t="s">
        <v>34</v>
      </c>
      <c r="Y141" s="5" t="s">
        <v>34</v>
      </c>
      <c r="Z141" s="5" t="s">
        <v>34</v>
      </c>
      <c r="AA141" s="5" t="s">
        <v>34</v>
      </c>
      <c r="AB141" s="5" t="s">
        <v>34</v>
      </c>
      <c r="AC141" s="5">
        <v>7.9994879999999986</v>
      </c>
      <c r="AD141" s="5" t="s">
        <v>34</v>
      </c>
    </row>
    <row r="142" spans="1:30" ht="15.55" x14ac:dyDescent="0.3">
      <c r="A142" s="4">
        <v>1000000001121</v>
      </c>
      <c r="B142" s="5" t="s">
        <v>495</v>
      </c>
      <c r="C142" s="4">
        <v>3000000000162</v>
      </c>
      <c r="D142" s="5" t="s">
        <v>496</v>
      </c>
      <c r="E142" s="5" t="s">
        <v>31</v>
      </c>
      <c r="F142" s="5" t="s">
        <v>34</v>
      </c>
      <c r="G142" s="10" cm="1">
        <f t="array" ref="G142">IF(OR($A142="",$L142=""),"",_xlfn.LET(_xlpm.cat,UPPER($E142),_xlpm.wt,IFERROR(VALUE(LEFT($L142,FIND(" ",$L142&amp;" ")-1)),$L142),_xlpm.ppk,_xlfn.SWITCH(TRUE,_xlpm.cat="GAMEFOWL",62,_xlpm.cat="POULTRY",45,_xlpm.cat="SWINE",48,_xlpm.cat="HOGS",48,_xlpm.cat="RABBIT",40,45),_xlpm.code,IFERROR(VALUE(LEFT($A142,FIND(" ",$A142&amp;" ")-1)),0),_xlpm.v,1+MOD(_xlpm.code,13)/100,ROUND(_xlpm.ppk*_xlpm.wt*_xlpm.v,0)))</f>
        <v>1248</v>
      </c>
      <c r="H142" s="6" cm="1">
        <f t="array" ref="H142">IF(OR($A142="",$L142=""),"",_xlfn.LET(_xlpm.cat,UPPER($E142),_xlpm.base,_xlfn.SWITCH(TRUE,_xlpm.cat="GAMEFOWL",0.22,_xlpm.cat="POULTRY",0.18,_xlpm.cat="SWINE",0.16,_xlpm.cat="HOGS",0.16,_xlpm.cat="RABBIT",0.15,0.17),_xlpm.code,IFERROR(VALUE(LEFT($A142,FIND(" ",$A142&amp;" ")-1)),0),_xlpm.v,MOD(_xlpm.code,9)/1000,MIN(0.3,MAX(0.1,_xlpm.base+_xlpm.v))))</f>
        <v>0.16600000000000001</v>
      </c>
      <c r="I142" s="5" t="s">
        <v>57</v>
      </c>
      <c r="K142" s="5">
        <v>0</v>
      </c>
      <c r="L142" s="5">
        <v>25</v>
      </c>
      <c r="M142" s="5">
        <v>2</v>
      </c>
      <c r="N142" s="5">
        <v>1</v>
      </c>
      <c r="O142" s="5">
        <v>1</v>
      </c>
      <c r="Q142" s="5" t="s">
        <v>497</v>
      </c>
      <c r="R142" s="5" t="s">
        <v>34</v>
      </c>
      <c r="S142" s="5" t="s">
        <v>113</v>
      </c>
      <c r="T142" s="7">
        <v>5000000000055</v>
      </c>
      <c r="U142" s="5" t="s">
        <v>299</v>
      </c>
      <c r="V142" s="7">
        <v>5000000000109</v>
      </c>
      <c r="W142" s="5" t="s">
        <v>498</v>
      </c>
      <c r="X142" s="5" t="s">
        <v>34</v>
      </c>
      <c r="Y142" s="5" t="s">
        <v>34</v>
      </c>
      <c r="Z142" s="5" t="s">
        <v>34</v>
      </c>
      <c r="AA142" s="5" t="s">
        <v>34</v>
      </c>
      <c r="AB142" s="5" t="s">
        <v>34</v>
      </c>
      <c r="AC142" s="5" t="s">
        <v>34</v>
      </c>
      <c r="AD142" s="5" t="s">
        <v>34</v>
      </c>
    </row>
    <row r="143" spans="1:30" ht="15.55" x14ac:dyDescent="0.3">
      <c r="A143" s="4">
        <v>1000000000041</v>
      </c>
      <c r="B143" s="5" t="s">
        <v>499</v>
      </c>
      <c r="C143" s="4">
        <v>3000000000078</v>
      </c>
      <c r="D143" s="5" t="s">
        <v>500</v>
      </c>
      <c r="E143" s="5" t="s">
        <v>86</v>
      </c>
      <c r="F143" s="5" t="s">
        <v>63</v>
      </c>
      <c r="G143" s="10" cm="1">
        <f t="array" ref="G143">IF(OR($A143="",$L143=""),"",_xlfn.LET(_xlpm.cat,UPPER($E143),_xlpm.wt,IFERROR(VALUE(LEFT($L143,FIND(" ",$L143&amp;" ")-1)),$L143),_xlpm.ppk,_xlfn.SWITCH(TRUE,_xlpm.cat="GAMEFOWL",62,_xlpm.cat="POULTRY",45,_xlpm.cat="SWINE",48,_xlpm.cat="HOGS",48,_xlpm.cat="RABBIT",40,45),_xlpm.code,IFERROR(VALUE(LEFT($A143,FIND(" ",$A143&amp;" ")-1)),0),_xlpm.v,1+MOD(_xlpm.code,13)/100,ROUND(_xlpm.ppk*_xlpm.wt*_xlpm.v,0)))</f>
        <v>3193</v>
      </c>
      <c r="H143" s="6" cm="1">
        <f t="array" ref="H143">IF(OR($A143="",$L143=""),"",_xlfn.LET(_xlpm.cat,UPPER($E143),_xlpm.base,_xlfn.SWITCH(TRUE,_xlpm.cat="GAMEFOWL",0.22,_xlpm.cat="POULTRY",0.18,_xlpm.cat="SWINE",0.16,_xlpm.cat="HOGS",0.16,_xlpm.cat="RABBIT",0.15,0.17),_xlpm.code,IFERROR(VALUE(LEFT($A143,FIND(" ",$A143&amp;" ")-1)),0),_xlpm.v,MOD(_xlpm.code,9)/1000,MIN(0.3,MAX(0.1,_xlpm.base+_xlpm.v))))</f>
        <v>0.22600000000000001</v>
      </c>
      <c r="I143" s="5" t="s">
        <v>122</v>
      </c>
      <c r="J143" s="5">
        <v>3</v>
      </c>
      <c r="K143" s="5">
        <v>0</v>
      </c>
      <c r="L143" s="5">
        <v>50</v>
      </c>
      <c r="M143" s="5">
        <v>0.8</v>
      </c>
      <c r="P143" s="5">
        <v>0.8</v>
      </c>
      <c r="Q143" s="5" t="s">
        <v>34</v>
      </c>
      <c r="R143" s="5" t="s">
        <v>34</v>
      </c>
      <c r="S143" s="5" t="s">
        <v>39</v>
      </c>
      <c r="T143" s="7">
        <v>5000000000718</v>
      </c>
      <c r="U143" s="5" t="s">
        <v>446</v>
      </c>
      <c r="V143" s="7">
        <v>5000000000721</v>
      </c>
      <c r="W143" s="5" t="s">
        <v>447</v>
      </c>
      <c r="X143" s="5" t="s">
        <v>34</v>
      </c>
      <c r="Y143" s="5" t="s">
        <v>34</v>
      </c>
      <c r="Z143" s="5" t="s">
        <v>34</v>
      </c>
      <c r="AA143" s="5" t="s">
        <v>34</v>
      </c>
      <c r="AB143" s="5">
        <v>12.672035139092241</v>
      </c>
      <c r="AC143" s="5" t="s">
        <v>34</v>
      </c>
      <c r="AD143" s="5" t="s">
        <v>34</v>
      </c>
    </row>
    <row r="144" spans="1:30" ht="15.55" x14ac:dyDescent="0.3">
      <c r="A144" s="4">
        <v>1000000001387</v>
      </c>
      <c r="B144" s="5" t="s">
        <v>501</v>
      </c>
      <c r="C144" s="4">
        <v>3000000000482</v>
      </c>
      <c r="D144" s="5" t="s">
        <v>502</v>
      </c>
      <c r="E144" s="5" t="s">
        <v>86</v>
      </c>
      <c r="F144" s="5" t="s">
        <v>113</v>
      </c>
      <c r="G144" s="10" cm="1">
        <f t="array" ref="G144">IF(OR($A144="",$L144=""),"",_xlfn.LET(_xlpm.cat,UPPER($E144),_xlpm.wt,IFERROR(VALUE(LEFT($L144,FIND(" ",$L144&amp;" ")-1)),$L144),_xlpm.ppk,_xlfn.SWITCH(TRUE,_xlpm.cat="GAMEFOWL",62,_xlpm.cat="POULTRY",45,_xlpm.cat="SWINE",48,_xlpm.cat="HOGS",48,_xlpm.cat="RABBIT",40,45),_xlpm.code,IFERROR(VALUE(LEFT($A144,FIND(" ",$A144&amp;" ")-1)),0),_xlpm.v,1+MOD(_xlpm.code,13)/100,ROUND(_xlpm.ppk*_xlpm.wt*_xlpm.v,0)))</f>
        <v>3410</v>
      </c>
      <c r="H144" s="6" cm="1">
        <f t="array" ref="H144">IF(OR($A144="",$L144=""),"",_xlfn.LET(_xlpm.cat,UPPER($E144),_xlpm.base,_xlfn.SWITCH(TRUE,_xlpm.cat="GAMEFOWL",0.22,_xlpm.cat="POULTRY",0.18,_xlpm.cat="SWINE",0.16,_xlpm.cat="HOGS",0.16,_xlpm.cat="RABBIT",0.15,0.17),_xlpm.code,IFERROR(VALUE(LEFT($A144,FIND(" ",$A144&amp;" ")-1)),0),_xlpm.v,MOD(_xlpm.code,9)/1000,MIN(0.3,MAX(0.1,_xlpm.base+_xlpm.v))))</f>
        <v>0.222</v>
      </c>
      <c r="I144" s="5" t="s">
        <v>122</v>
      </c>
      <c r="J144" s="5">
        <v>3</v>
      </c>
      <c r="K144" s="5">
        <v>0</v>
      </c>
      <c r="L144" s="5">
        <v>50</v>
      </c>
      <c r="M144" s="5">
        <v>0.8</v>
      </c>
      <c r="P144" s="5">
        <v>0.8</v>
      </c>
      <c r="Q144" s="5" t="s">
        <v>34</v>
      </c>
      <c r="R144" s="5" t="s">
        <v>34</v>
      </c>
      <c r="S144" s="5" t="s">
        <v>113</v>
      </c>
      <c r="T144" s="7">
        <v>5000000000658</v>
      </c>
      <c r="U144" s="5" t="s">
        <v>503</v>
      </c>
      <c r="V144" s="7">
        <v>5000000000152</v>
      </c>
      <c r="W144" s="5" t="s">
        <v>397</v>
      </c>
      <c r="X144" s="5" t="s">
        <v>34</v>
      </c>
      <c r="Y144" s="5" t="s">
        <v>34</v>
      </c>
      <c r="Z144" s="5" t="s">
        <v>34</v>
      </c>
      <c r="AA144" s="5" t="s">
        <v>34</v>
      </c>
      <c r="AB144" s="5">
        <v>13.15910660833525</v>
      </c>
      <c r="AC144" s="5" t="s">
        <v>34</v>
      </c>
      <c r="AD144" s="5" t="s">
        <v>34</v>
      </c>
    </row>
    <row r="145" spans="1:30" ht="15.55" x14ac:dyDescent="0.3">
      <c r="A145" s="4">
        <v>1000000000567</v>
      </c>
      <c r="B145" s="5" t="s">
        <v>504</v>
      </c>
      <c r="C145" s="4">
        <v>3000000000059</v>
      </c>
      <c r="D145" s="5" t="s">
        <v>505</v>
      </c>
      <c r="E145" s="5" t="s">
        <v>86</v>
      </c>
      <c r="F145" s="5" t="s">
        <v>63</v>
      </c>
      <c r="G145" s="10" cm="1">
        <f t="array" ref="G145">IF(OR($A145="",$L145=""),"",_xlfn.LET(_xlpm.cat,UPPER($E145),_xlpm.wt,IFERROR(VALUE(LEFT($L145,FIND(" ",$L145&amp;" ")-1)),$L145),_xlpm.ppk,_xlfn.SWITCH(TRUE,_xlpm.cat="GAMEFOWL",62,_xlpm.cat="POULTRY",45,_xlpm.cat="SWINE",48,_xlpm.cat="HOGS",48,_xlpm.cat="RABBIT",40,45),_xlpm.code,IFERROR(VALUE(LEFT($A145,FIND(" ",$A145&amp;" ")-1)),0),_xlpm.v,1+MOD(_xlpm.code,13)/100,ROUND(_xlpm.ppk*_xlpm.wt*_xlpm.v,0)))</f>
        <v>1690</v>
      </c>
      <c r="H145" s="6" cm="1">
        <f t="array" ref="H145">IF(OR($A145="",$L145=""),"",_xlfn.LET(_xlpm.cat,UPPER($E145),_xlpm.base,_xlfn.SWITCH(TRUE,_xlpm.cat="GAMEFOWL",0.22,_xlpm.cat="POULTRY",0.18,_xlpm.cat="SWINE",0.16,_xlpm.cat="HOGS",0.16,_xlpm.cat="RABBIT",0.15,0.17),_xlpm.code,IFERROR(VALUE(LEFT($A145,FIND(" ",$A145&amp;" ")-1)),0),_xlpm.v,MOD(_xlpm.code,9)/1000,MIN(0.3,MAX(0.1,_xlpm.base+_xlpm.v))))</f>
        <v>0.221</v>
      </c>
      <c r="I145" s="5" t="s">
        <v>122</v>
      </c>
      <c r="J145" s="5">
        <v>3</v>
      </c>
      <c r="K145" s="5">
        <v>0</v>
      </c>
      <c r="L145" s="5">
        <v>25</v>
      </c>
      <c r="M145" s="5">
        <v>0.8</v>
      </c>
      <c r="P145" s="5">
        <v>0.8</v>
      </c>
      <c r="Q145" s="5" t="s">
        <v>34</v>
      </c>
      <c r="R145" s="5" t="s">
        <v>34</v>
      </c>
      <c r="S145" s="5" t="s">
        <v>34</v>
      </c>
      <c r="T145" s="7" t="s">
        <v>34</v>
      </c>
      <c r="U145" s="5" t="s">
        <v>34</v>
      </c>
      <c r="V145" s="7" t="s">
        <v>34</v>
      </c>
      <c r="W145" s="5" t="s">
        <v>34</v>
      </c>
      <c r="X145" s="5" t="s">
        <v>34</v>
      </c>
      <c r="Y145" s="5" t="s">
        <v>34</v>
      </c>
      <c r="Z145" s="5" t="s">
        <v>34</v>
      </c>
      <c r="AA145" s="5" t="s">
        <v>34</v>
      </c>
      <c r="AB145" s="5" t="s">
        <v>34</v>
      </c>
      <c r="AC145" s="5" t="s">
        <v>34</v>
      </c>
      <c r="AD145" s="5" t="s">
        <v>34</v>
      </c>
    </row>
    <row r="146" spans="1:30" ht="15.55" x14ac:dyDescent="0.3">
      <c r="A146" s="4">
        <v>1000000000565</v>
      </c>
      <c r="B146" s="5" t="s">
        <v>506</v>
      </c>
      <c r="C146" s="4">
        <v>3000000000053</v>
      </c>
      <c r="D146" s="5" t="s">
        <v>507</v>
      </c>
      <c r="E146" s="5" t="s">
        <v>86</v>
      </c>
      <c r="F146" s="5" t="s">
        <v>63</v>
      </c>
      <c r="G146" s="10" cm="1">
        <f t="array" ref="G146">IF(OR($A146="",$L146=""),"",_xlfn.LET(_xlpm.cat,UPPER($E146),_xlpm.wt,IFERROR(VALUE(LEFT($L146,FIND(" ",$L146&amp;" ")-1)),$L146),_xlpm.ppk,_xlfn.SWITCH(TRUE,_xlpm.cat="GAMEFOWL",62,_xlpm.cat="POULTRY",45,_xlpm.cat="SWINE",48,_xlpm.cat="HOGS",48,_xlpm.cat="RABBIT",40,45),_xlpm.code,IFERROR(VALUE(LEFT($A146,FIND(" ",$A146&amp;" ")-1)),0),_xlpm.v,1+MOD(_xlpm.code,13)/100,ROUND(_xlpm.ppk*_xlpm.wt*_xlpm.v,0)))</f>
        <v>1659</v>
      </c>
      <c r="H146" s="6" cm="1">
        <f t="array" ref="H146">IF(OR($A146="",$L146=""),"",_xlfn.LET(_xlpm.cat,UPPER($E146),_xlpm.base,_xlfn.SWITCH(TRUE,_xlpm.cat="GAMEFOWL",0.22,_xlpm.cat="POULTRY",0.18,_xlpm.cat="SWINE",0.16,_xlpm.cat="HOGS",0.16,_xlpm.cat="RABBIT",0.15,0.17),_xlpm.code,IFERROR(VALUE(LEFT($A146,FIND(" ",$A146&amp;" ")-1)),0),_xlpm.v,MOD(_xlpm.code,9)/1000,MIN(0.3,MAX(0.1,_xlpm.base+_xlpm.v))))</f>
        <v>0.22800000000000001</v>
      </c>
      <c r="I146" s="5" t="s">
        <v>122</v>
      </c>
      <c r="J146" s="5">
        <v>3</v>
      </c>
      <c r="K146" s="5">
        <v>0</v>
      </c>
      <c r="L146" s="5">
        <v>25</v>
      </c>
      <c r="M146" s="5">
        <v>0.8</v>
      </c>
      <c r="P146" s="5">
        <v>0.8</v>
      </c>
      <c r="Q146" s="5" t="s">
        <v>34</v>
      </c>
      <c r="R146" s="5" t="s">
        <v>34</v>
      </c>
      <c r="S146" s="5" t="s">
        <v>39</v>
      </c>
      <c r="T146" s="7">
        <v>5000000000067</v>
      </c>
      <c r="U146" s="5" t="s">
        <v>508</v>
      </c>
      <c r="V146" s="7">
        <v>5000000000133</v>
      </c>
      <c r="W146" s="5" t="s">
        <v>509</v>
      </c>
      <c r="X146" s="5" t="s">
        <v>34</v>
      </c>
      <c r="Y146" s="5" t="s">
        <v>34</v>
      </c>
      <c r="Z146" s="5" t="s">
        <v>34</v>
      </c>
      <c r="AA146" s="5" t="s">
        <v>34</v>
      </c>
      <c r="AB146" s="5">
        <v>6.53675819309123</v>
      </c>
      <c r="AC146" s="5" t="s">
        <v>34</v>
      </c>
      <c r="AD146" s="5" t="s">
        <v>34</v>
      </c>
    </row>
    <row r="147" spans="1:30" ht="15.55" x14ac:dyDescent="0.3">
      <c r="A147" s="4">
        <v>1000000000566</v>
      </c>
      <c r="B147" s="5" t="s">
        <v>510</v>
      </c>
      <c r="C147" s="4">
        <v>3000000000055</v>
      </c>
      <c r="D147" s="5" t="s">
        <v>511</v>
      </c>
      <c r="E147" s="5" t="s">
        <v>86</v>
      </c>
      <c r="F147" s="5" t="s">
        <v>63</v>
      </c>
      <c r="G147" s="10" cm="1">
        <f t="array" ref="G147">IF(OR($A147="",$L147=""),"",_xlfn.LET(_xlpm.cat,UPPER($E147),_xlpm.wt,IFERROR(VALUE(LEFT($L147,FIND(" ",$L147&amp;" ")-1)),$L147),_xlpm.ppk,_xlfn.SWITCH(TRUE,_xlpm.cat="GAMEFOWL",62,_xlpm.cat="POULTRY",45,_xlpm.cat="SWINE",48,_xlpm.cat="HOGS",48,_xlpm.cat="RABBIT",40,45),_xlpm.code,IFERROR(VALUE(LEFT($A147,FIND(" ",$A147&amp;" ")-1)),0),_xlpm.v,1+MOD(_xlpm.code,13)/100,ROUND(_xlpm.ppk*_xlpm.wt*_xlpm.v,0)))</f>
        <v>1674</v>
      </c>
      <c r="H147" s="6" cm="1">
        <f t="array" ref="H147">IF(OR($A147="",$L147=""),"",_xlfn.LET(_xlpm.cat,UPPER($E147),_xlpm.base,_xlfn.SWITCH(TRUE,_xlpm.cat="GAMEFOWL",0.22,_xlpm.cat="POULTRY",0.18,_xlpm.cat="SWINE",0.16,_xlpm.cat="HOGS",0.16,_xlpm.cat="RABBIT",0.15,0.17),_xlpm.code,IFERROR(VALUE(LEFT($A147,FIND(" ",$A147&amp;" ")-1)),0),_xlpm.v,MOD(_xlpm.code,9)/1000,MIN(0.3,MAX(0.1,_xlpm.base+_xlpm.v))))</f>
        <v>0.22</v>
      </c>
      <c r="I147" s="5" t="s">
        <v>122</v>
      </c>
      <c r="J147" s="5">
        <v>3</v>
      </c>
      <c r="K147" s="5">
        <v>0</v>
      </c>
      <c r="L147" s="5">
        <v>25</v>
      </c>
      <c r="M147" s="5">
        <v>0.8</v>
      </c>
      <c r="P147" s="5">
        <v>0.8</v>
      </c>
      <c r="Q147" s="5" t="s">
        <v>34</v>
      </c>
      <c r="R147" s="5" t="s">
        <v>34</v>
      </c>
      <c r="S147" s="5" t="s">
        <v>39</v>
      </c>
      <c r="T147" s="7">
        <v>5000000000068</v>
      </c>
      <c r="U147" s="5" t="s">
        <v>512</v>
      </c>
      <c r="V147" s="7">
        <v>5000000000134</v>
      </c>
      <c r="W147" s="5" t="s">
        <v>513</v>
      </c>
      <c r="X147" s="5" t="s">
        <v>34</v>
      </c>
      <c r="Y147" s="5" t="s">
        <v>34</v>
      </c>
      <c r="Z147" s="5" t="s">
        <v>34</v>
      </c>
      <c r="AA147" s="5" t="s">
        <v>34</v>
      </c>
      <c r="AB147" s="5" t="s">
        <v>34</v>
      </c>
      <c r="AC147" s="5" t="s">
        <v>34</v>
      </c>
      <c r="AD147" s="5" t="s">
        <v>34</v>
      </c>
    </row>
    <row r="148" spans="1:30" ht="15.55" x14ac:dyDescent="0.3">
      <c r="A148" s="4">
        <v>1000000000568</v>
      </c>
      <c r="B148" s="5" t="s">
        <v>514</v>
      </c>
      <c r="C148" s="4">
        <v>3000000000061</v>
      </c>
      <c r="D148" s="5" t="s">
        <v>515</v>
      </c>
      <c r="E148" s="5" t="s">
        <v>86</v>
      </c>
      <c r="F148" s="5" t="s">
        <v>63</v>
      </c>
      <c r="G148" s="10" cm="1">
        <f t="array" ref="G148">IF(OR($A148="",$L148=""),"",_xlfn.LET(_xlpm.cat,UPPER($E148),_xlpm.wt,IFERROR(VALUE(LEFT($L148,FIND(" ",$L148&amp;" ")-1)),$L148),_xlpm.ppk,_xlfn.SWITCH(TRUE,_xlpm.cat="GAMEFOWL",62,_xlpm.cat="POULTRY",45,_xlpm.cat="SWINE",48,_xlpm.cat="HOGS",48,_xlpm.cat="RABBIT",40,45),_xlpm.code,IFERROR(VALUE(LEFT($A148,FIND(" ",$A148&amp;" ")-1)),0),_xlpm.v,1+MOD(_xlpm.code,13)/100,ROUND(_xlpm.ppk*_xlpm.wt*_xlpm.v,0)))</f>
        <v>1705</v>
      </c>
      <c r="H148" s="6" cm="1">
        <f t="array" ref="H148">IF(OR($A148="",$L148=""),"",_xlfn.LET(_xlpm.cat,UPPER($E148),_xlpm.base,_xlfn.SWITCH(TRUE,_xlpm.cat="GAMEFOWL",0.22,_xlpm.cat="POULTRY",0.18,_xlpm.cat="SWINE",0.16,_xlpm.cat="HOGS",0.16,_xlpm.cat="RABBIT",0.15,0.17),_xlpm.code,IFERROR(VALUE(LEFT($A148,FIND(" ",$A148&amp;" ")-1)),0),_xlpm.v,MOD(_xlpm.code,9)/1000,MIN(0.3,MAX(0.1,_xlpm.base+_xlpm.v))))</f>
        <v>0.222</v>
      </c>
      <c r="I148" s="5" t="s">
        <v>122</v>
      </c>
      <c r="J148" s="5">
        <v>3</v>
      </c>
      <c r="K148" s="5">
        <v>0</v>
      </c>
      <c r="L148" s="5">
        <v>25</v>
      </c>
      <c r="M148" s="5">
        <v>0.8</v>
      </c>
      <c r="P148" s="5">
        <v>0.8</v>
      </c>
      <c r="Q148" s="5" t="s">
        <v>34</v>
      </c>
      <c r="R148" s="5" t="s">
        <v>34</v>
      </c>
      <c r="S148" s="5" t="s">
        <v>39</v>
      </c>
      <c r="T148" s="7">
        <v>5000000000686</v>
      </c>
      <c r="U148" s="5" t="s">
        <v>516</v>
      </c>
      <c r="V148" s="7">
        <v>5000000000688</v>
      </c>
      <c r="W148" s="5" t="s">
        <v>517</v>
      </c>
      <c r="X148" s="5" t="s">
        <v>34</v>
      </c>
      <c r="Y148" s="5" t="s">
        <v>34</v>
      </c>
      <c r="Z148" s="5" t="s">
        <v>34</v>
      </c>
      <c r="AA148" s="5" t="s">
        <v>34</v>
      </c>
      <c r="AB148" s="5">
        <v>4.1402337228714519</v>
      </c>
      <c r="AC148" s="5" t="s">
        <v>34</v>
      </c>
      <c r="AD148" s="5" t="s">
        <v>34</v>
      </c>
    </row>
    <row r="149" spans="1:30" ht="15.55" x14ac:dyDescent="0.3">
      <c r="A149" s="4">
        <v>1000000000849</v>
      </c>
      <c r="B149" s="5" t="s">
        <v>518</v>
      </c>
      <c r="C149" s="4">
        <v>3000000000132</v>
      </c>
      <c r="D149" s="5" t="s">
        <v>519</v>
      </c>
      <c r="E149" s="5" t="s">
        <v>62</v>
      </c>
      <c r="F149" s="5" t="s">
        <v>34</v>
      </c>
      <c r="G149" s="10" cm="1">
        <f t="array" ref="G149">IF(OR($A149="",$L149=""),"",_xlfn.LET(_xlpm.cat,UPPER($E149),_xlpm.wt,IFERROR(VALUE(LEFT($L149,FIND(" ",$L149&amp;" ")-1)),$L149),_xlpm.ppk,_xlfn.SWITCH(TRUE,_xlpm.cat="GAMEFOWL",62,_xlpm.cat="POULTRY",45,_xlpm.cat="SWINE",48,_xlpm.cat="HOGS",48,_xlpm.cat="RABBIT",40,45),_xlpm.code,IFERROR(VALUE(LEFT($A149,FIND(" ",$A149&amp;" ")-1)),0),_xlpm.v,1+MOD(_xlpm.code,13)/100,ROUND(_xlpm.ppk*_xlpm.wt*_xlpm.v,0)))</f>
        <v>1181</v>
      </c>
      <c r="H149" s="6" cm="1">
        <f t="array" ref="H149">IF(OR($A149="",$L149=""),"",_xlfn.LET(_xlpm.cat,UPPER($E149),_xlpm.base,_xlfn.SWITCH(TRUE,_xlpm.cat="GAMEFOWL",0.22,_xlpm.cat="POULTRY",0.18,_xlpm.cat="SWINE",0.16,_xlpm.cat="HOGS",0.16,_xlpm.cat="RABBIT",0.15,0.17),_xlpm.code,IFERROR(VALUE(LEFT($A149,FIND(" ",$A149&amp;" ")-1)),0),_xlpm.v,MOD(_xlpm.code,9)/1000,MIN(0.3,MAX(0.1,_xlpm.base+_xlpm.v))))</f>
        <v>0.184</v>
      </c>
      <c r="I149" s="5" t="s">
        <v>57</v>
      </c>
      <c r="K149" s="5">
        <v>0</v>
      </c>
      <c r="L149" s="5">
        <v>25</v>
      </c>
      <c r="M149" s="5">
        <v>4</v>
      </c>
      <c r="N149" s="5">
        <v>2</v>
      </c>
      <c r="O149" s="5">
        <v>2</v>
      </c>
      <c r="Q149" s="5" t="s">
        <v>520</v>
      </c>
      <c r="R149" s="5" t="s">
        <v>34</v>
      </c>
      <c r="S149" s="5" t="s">
        <v>314</v>
      </c>
      <c r="T149" s="7">
        <v>5000000000055</v>
      </c>
      <c r="U149" s="5" t="s">
        <v>521</v>
      </c>
      <c r="V149" s="7">
        <v>5000000000109</v>
      </c>
      <c r="W149" s="5" t="s">
        <v>522</v>
      </c>
      <c r="X149" s="5" t="s">
        <v>34</v>
      </c>
      <c r="Y149" s="5" t="s">
        <v>34</v>
      </c>
      <c r="Z149" s="5" t="s">
        <v>34</v>
      </c>
      <c r="AA149" s="5" t="s">
        <v>34</v>
      </c>
      <c r="AB149" s="5" t="s">
        <v>34</v>
      </c>
      <c r="AC149" s="5" t="s">
        <v>34</v>
      </c>
      <c r="AD149" s="5" t="s">
        <v>34</v>
      </c>
    </row>
    <row r="150" spans="1:30" ht="15.55" x14ac:dyDescent="0.3">
      <c r="A150" s="4">
        <v>1000000001721</v>
      </c>
      <c r="B150" s="5" t="s">
        <v>523</v>
      </c>
      <c r="C150" s="4">
        <v>3000000001279</v>
      </c>
      <c r="D150" s="5" t="s">
        <v>524</v>
      </c>
      <c r="E150" s="5" t="s">
        <v>62</v>
      </c>
      <c r="F150" s="5" t="s">
        <v>63</v>
      </c>
      <c r="G150" s="10" cm="1">
        <f t="array" ref="G150">IF(OR($A150="",$L150=""),"",_xlfn.LET(_xlpm.cat,UPPER($E150),_xlpm.wt,IFERROR(VALUE(LEFT($L150,FIND(" ",$L150&amp;" ")-1)),$L150),_xlpm.ppk,_xlfn.SWITCH(TRUE,_xlpm.cat="GAMEFOWL",62,_xlpm.cat="POULTRY",45,_xlpm.cat="SWINE",48,_xlpm.cat="HOGS",48,_xlpm.cat="RABBIT",40,45),_xlpm.code,IFERROR(VALUE(LEFT($A150,FIND(" ",$A150&amp;" ")-1)),0),_xlpm.v,1+MOD(_xlpm.code,13)/100,ROUND(_xlpm.ppk*_xlpm.wt*_xlpm.v,0)))</f>
        <v>2385</v>
      </c>
      <c r="H150" s="6" cm="1">
        <f t="array" ref="H150">IF(OR($A150="",$L150=""),"",_xlfn.LET(_xlpm.cat,UPPER($E150),_xlpm.base,_xlfn.SWITCH(TRUE,_xlpm.cat="GAMEFOWL",0.22,_xlpm.cat="POULTRY",0.18,_xlpm.cat="SWINE",0.16,_xlpm.cat="HOGS",0.16,_xlpm.cat="RABBIT",0.15,0.17),_xlpm.code,IFERROR(VALUE(LEFT($A150,FIND(" ",$A150&amp;" ")-1)),0),_xlpm.v,MOD(_xlpm.code,9)/1000,MIN(0.3,MAX(0.1,_xlpm.base+_xlpm.v))))</f>
        <v>0.183</v>
      </c>
      <c r="I150" s="5" t="s">
        <v>77</v>
      </c>
      <c r="J150" s="5">
        <v>4</v>
      </c>
      <c r="K150" s="5">
        <v>0.33</v>
      </c>
      <c r="L150" s="5">
        <v>50</v>
      </c>
      <c r="M150" s="5">
        <v>4</v>
      </c>
      <c r="N150" s="5">
        <v>2</v>
      </c>
      <c r="O150" s="5">
        <v>2</v>
      </c>
      <c r="Q150" s="5" t="s">
        <v>525</v>
      </c>
      <c r="R150" s="5" t="s">
        <v>34</v>
      </c>
      <c r="S150" s="5" t="s">
        <v>526</v>
      </c>
      <c r="T150" s="7">
        <v>5000000000610</v>
      </c>
      <c r="U150" s="5" t="s">
        <v>527</v>
      </c>
      <c r="V150" s="7" t="s">
        <v>34</v>
      </c>
      <c r="W150" s="5" t="s">
        <v>34</v>
      </c>
      <c r="X150" s="5" t="s">
        <v>34</v>
      </c>
      <c r="Y150" s="5" t="s">
        <v>34</v>
      </c>
      <c r="Z150" s="5" t="s">
        <v>34</v>
      </c>
      <c r="AA150" s="5" t="s">
        <v>34</v>
      </c>
      <c r="AB150" s="5" t="s">
        <v>34</v>
      </c>
      <c r="AC150" s="5" t="s">
        <v>34</v>
      </c>
      <c r="AD150" s="5" t="s">
        <v>34</v>
      </c>
    </row>
    <row r="151" spans="1:30" ht="15.55" x14ac:dyDescent="0.3">
      <c r="A151" s="4">
        <v>1000000001659</v>
      </c>
      <c r="B151" s="5" t="s">
        <v>528</v>
      </c>
      <c r="C151" s="4">
        <v>3000000001282</v>
      </c>
      <c r="D151" s="5" t="s">
        <v>529</v>
      </c>
      <c r="E151" s="5" t="s">
        <v>62</v>
      </c>
      <c r="F151" s="5" t="s">
        <v>63</v>
      </c>
      <c r="G151" s="10" cm="1">
        <f t="array" ref="G151">IF(OR($A151="",$L151=""),"",_xlfn.LET(_xlpm.cat,UPPER($E151),_xlpm.wt,IFERROR(VALUE(LEFT($L151,FIND(" ",$L151&amp;" ")-1)),$L151),_xlpm.ppk,_xlfn.SWITCH(TRUE,_xlpm.cat="GAMEFOWL",62,_xlpm.cat="POULTRY",45,_xlpm.cat="SWINE",48,_xlpm.cat="HOGS",48,_xlpm.cat="RABBIT",40,45),_xlpm.code,IFERROR(VALUE(LEFT($A151,FIND(" ",$A151&amp;" ")-1)),0),_xlpm.v,1+MOD(_xlpm.code,13)/100,ROUND(_xlpm.ppk*_xlpm.wt*_xlpm.v,0)))</f>
        <v>2453</v>
      </c>
      <c r="H151" s="6" cm="1">
        <f t="array" ref="H151">IF(OR($A151="",$L151=""),"",_xlfn.LET(_xlpm.cat,UPPER($E151),_xlpm.base,_xlfn.SWITCH(TRUE,_xlpm.cat="GAMEFOWL",0.22,_xlpm.cat="POULTRY",0.18,_xlpm.cat="SWINE",0.16,_xlpm.cat="HOGS",0.16,_xlpm.cat="RABBIT",0.15,0.17),_xlpm.code,IFERROR(VALUE(LEFT($A151,FIND(" ",$A151&amp;" ")-1)),0),_xlpm.v,MOD(_xlpm.code,9)/1000,MIN(0.3,MAX(0.1,_xlpm.base+_xlpm.v))))</f>
        <v>0.184</v>
      </c>
      <c r="I151" s="5" t="s">
        <v>106</v>
      </c>
      <c r="J151" s="5">
        <v>3</v>
      </c>
      <c r="K151" s="5">
        <v>0.33</v>
      </c>
      <c r="L151" s="5">
        <v>50</v>
      </c>
      <c r="M151" s="5">
        <v>2</v>
      </c>
      <c r="N151" s="5">
        <v>2</v>
      </c>
      <c r="O151" s="5">
        <v>2</v>
      </c>
      <c r="Q151" s="5" t="s">
        <v>530</v>
      </c>
      <c r="R151" s="5" t="s">
        <v>34</v>
      </c>
      <c r="S151" s="5" t="s">
        <v>113</v>
      </c>
      <c r="T151" s="7">
        <v>5000000000561</v>
      </c>
      <c r="U151" s="5" t="s">
        <v>98</v>
      </c>
      <c r="V151" s="7">
        <v>5000000000125</v>
      </c>
      <c r="W151" s="5" t="s">
        <v>99</v>
      </c>
      <c r="X151" s="5" t="s">
        <v>34</v>
      </c>
      <c r="Y151" s="5" t="s">
        <v>34</v>
      </c>
      <c r="Z151" s="5" t="s">
        <v>34</v>
      </c>
      <c r="AA151" s="5">
        <v>7.1346784864864849</v>
      </c>
      <c r="AB151" s="5" t="s">
        <v>34</v>
      </c>
      <c r="AC151" s="5" t="s">
        <v>34</v>
      </c>
      <c r="AD151" s="5" t="s">
        <v>34</v>
      </c>
    </row>
    <row r="152" spans="1:30" ht="15.55" x14ac:dyDescent="0.3">
      <c r="A152" s="4">
        <v>1000000000407</v>
      </c>
      <c r="B152" s="5" t="s">
        <v>453</v>
      </c>
      <c r="C152" s="4">
        <v>3000000001129</v>
      </c>
      <c r="D152" s="5" t="s">
        <v>454</v>
      </c>
      <c r="E152" s="5" t="s">
        <v>62</v>
      </c>
      <c r="F152" s="5" t="s">
        <v>63</v>
      </c>
      <c r="G152" s="10" cm="1">
        <f t="array" ref="G152">IF(OR($A152="",$L152=""),"",_xlfn.LET(_xlpm.cat,UPPER($E152),_xlpm.wt,IFERROR(VALUE(LEFT($L152,FIND(" ",$L152&amp;" ")-1)),$L152),_xlpm.ppk,_xlfn.SWITCH(TRUE,_xlpm.cat="GAMEFOWL",62,_xlpm.cat="POULTRY",45,_xlpm.cat="SWINE",48,_xlpm.cat="HOGS",48,_xlpm.cat="RABBIT",40,45),_xlpm.code,IFERROR(VALUE(LEFT($A152,FIND(" ",$A152&amp;" ")-1)),0),_xlpm.v,1+MOD(_xlpm.code,13)/100,ROUND(_xlpm.ppk*_xlpm.wt*_xlpm.v,0)))</f>
        <v>2363</v>
      </c>
      <c r="H152" s="6" cm="1">
        <f t="array" ref="H152">IF(OR($A152="",$L152=""),"",_xlfn.LET(_xlpm.cat,UPPER($E152),_xlpm.base,_xlfn.SWITCH(TRUE,_xlpm.cat="GAMEFOWL",0.22,_xlpm.cat="POULTRY",0.18,_xlpm.cat="SWINE",0.16,_xlpm.cat="HOGS",0.16,_xlpm.cat="RABBIT",0.15,0.17),_xlpm.code,IFERROR(VALUE(LEFT($A152,FIND(" ",$A152&amp;" ")-1)),0),_xlpm.v,MOD(_xlpm.code,9)/1000,MIN(0.3,MAX(0.1,_xlpm.base+_xlpm.v))))</f>
        <v>0.183</v>
      </c>
      <c r="I152" s="5" t="s">
        <v>106</v>
      </c>
      <c r="J152" s="5">
        <v>3</v>
      </c>
      <c r="K152" s="5">
        <v>0.33</v>
      </c>
      <c r="L152" s="5">
        <v>50</v>
      </c>
      <c r="M152" s="5">
        <v>4</v>
      </c>
      <c r="N152" s="5">
        <v>2</v>
      </c>
      <c r="O152" s="5">
        <v>2</v>
      </c>
      <c r="Q152" s="5" t="s">
        <v>531</v>
      </c>
      <c r="R152" s="5" t="s">
        <v>34</v>
      </c>
      <c r="S152" s="5" t="s">
        <v>245</v>
      </c>
      <c r="T152" s="7">
        <v>5000000000558</v>
      </c>
      <c r="U152" s="5" t="s">
        <v>229</v>
      </c>
      <c r="V152" s="7">
        <v>5000000000113</v>
      </c>
      <c r="W152" s="5" t="s">
        <v>230</v>
      </c>
      <c r="X152" s="5" t="s">
        <v>34</v>
      </c>
      <c r="Y152" s="5" t="s">
        <v>34</v>
      </c>
      <c r="Z152" s="5">
        <v>7.2324138082191771</v>
      </c>
      <c r="AA152" s="5">
        <v>7.6590842553191489</v>
      </c>
      <c r="AB152" s="5" t="s">
        <v>34</v>
      </c>
      <c r="AC152" s="5" t="s">
        <v>34</v>
      </c>
      <c r="AD152" s="5" t="s">
        <v>34</v>
      </c>
    </row>
    <row r="153" spans="1:30" ht="15.55" x14ac:dyDescent="0.3">
      <c r="A153" s="4">
        <v>1000000000852</v>
      </c>
      <c r="B153" s="5" t="s">
        <v>532</v>
      </c>
      <c r="C153" s="4">
        <v>3000000000138</v>
      </c>
      <c r="D153" s="5" t="s">
        <v>533</v>
      </c>
      <c r="E153" s="5" t="s">
        <v>31</v>
      </c>
      <c r="F153" s="5" t="s">
        <v>34</v>
      </c>
      <c r="G153" s="10" cm="1">
        <f t="array" ref="G153">IF(OR($A153="",$L153=""),"",_xlfn.LET(_xlpm.cat,UPPER($E153),_xlpm.wt,IFERROR(VALUE(LEFT($L153,FIND(" ",$L153&amp;" ")-1)),$L153),_xlpm.ppk,_xlfn.SWITCH(TRUE,_xlpm.cat="GAMEFOWL",62,_xlpm.cat="POULTRY",45,_xlpm.cat="SWINE",48,_xlpm.cat="HOGS",48,_xlpm.cat="RABBIT",40,45),_xlpm.code,IFERROR(VALUE(LEFT($A153,FIND(" ",$A153&amp;" ")-1)),0),_xlpm.v,1+MOD(_xlpm.code,13)/100,ROUND(_xlpm.ppk*_xlpm.wt*_xlpm.v,0)))</f>
        <v>2592</v>
      </c>
      <c r="H153" s="6" cm="1">
        <f t="array" ref="H153">IF(OR($A153="",$L153=""),"",_xlfn.LET(_xlpm.cat,UPPER($E153),_xlpm.base,_xlfn.SWITCH(TRUE,_xlpm.cat="GAMEFOWL",0.22,_xlpm.cat="POULTRY",0.18,_xlpm.cat="SWINE",0.16,_xlpm.cat="HOGS",0.16,_xlpm.cat="RABBIT",0.15,0.17),_xlpm.code,IFERROR(VALUE(LEFT($A153,FIND(" ",$A153&amp;" ")-1)),0),_xlpm.v,MOD(_xlpm.code,9)/1000,MIN(0.3,MAX(0.1,_xlpm.base+_xlpm.v))))</f>
        <v>0.16700000000000001</v>
      </c>
      <c r="I153" s="5" t="s">
        <v>57</v>
      </c>
      <c r="K153" s="5">
        <v>0</v>
      </c>
      <c r="L153" s="5">
        <v>50</v>
      </c>
      <c r="M153" s="5">
        <v>2</v>
      </c>
      <c r="N153" s="5">
        <v>2</v>
      </c>
      <c r="O153" s="5">
        <v>2</v>
      </c>
      <c r="Q153" s="5" t="s">
        <v>534</v>
      </c>
      <c r="R153" s="5" t="s">
        <v>34</v>
      </c>
      <c r="S153" s="5" t="s">
        <v>535</v>
      </c>
      <c r="T153" s="7">
        <v>5000000000050</v>
      </c>
      <c r="U153" s="5" t="s">
        <v>150</v>
      </c>
      <c r="V153" s="7">
        <v>5000000000110</v>
      </c>
      <c r="W153" s="5" t="s">
        <v>536</v>
      </c>
      <c r="X153" s="5" t="s">
        <v>34</v>
      </c>
      <c r="Y153" s="5" t="s">
        <v>34</v>
      </c>
      <c r="Z153" s="5" t="s">
        <v>34</v>
      </c>
      <c r="AA153" s="5" t="s">
        <v>34</v>
      </c>
      <c r="AB153" s="5" t="s">
        <v>34</v>
      </c>
      <c r="AC153" s="5" t="s">
        <v>34</v>
      </c>
      <c r="AD153" s="5" t="s">
        <v>34</v>
      </c>
    </row>
    <row r="154" spans="1:30" ht="15.55" x14ac:dyDescent="0.3">
      <c r="A154" s="4">
        <v>1000000000851</v>
      </c>
      <c r="B154" s="5" t="s">
        <v>537</v>
      </c>
      <c r="C154" s="4">
        <v>3000000000136</v>
      </c>
      <c r="D154" s="5" t="s">
        <v>538</v>
      </c>
      <c r="E154" s="5" t="s">
        <v>31</v>
      </c>
      <c r="F154" s="5" t="s">
        <v>34</v>
      </c>
      <c r="G154" s="10" cm="1">
        <f t="array" ref="G154">IF(OR($A154="",$L154=""),"",_xlfn.LET(_xlpm.cat,UPPER($E154),_xlpm.wt,IFERROR(VALUE(LEFT($L154,FIND(" ",$L154&amp;" ")-1)),$L154),_xlpm.ppk,_xlfn.SWITCH(TRUE,_xlpm.cat="GAMEFOWL",62,_xlpm.cat="POULTRY",45,_xlpm.cat="SWINE",48,_xlpm.cat="HOGS",48,_xlpm.cat="RABBIT",40,45),_xlpm.code,IFERROR(VALUE(LEFT($A154,FIND(" ",$A154&amp;" ")-1)),0),_xlpm.v,1+MOD(_xlpm.code,13)/100,ROUND(_xlpm.ppk*_xlpm.wt*_xlpm.v,0)))</f>
        <v>2568</v>
      </c>
      <c r="H154" s="6" cm="1">
        <f t="array" ref="H154">IF(OR($A154="",$L154=""),"",_xlfn.LET(_xlpm.cat,UPPER($E154),_xlpm.base,_xlfn.SWITCH(TRUE,_xlpm.cat="GAMEFOWL",0.22,_xlpm.cat="POULTRY",0.18,_xlpm.cat="SWINE",0.16,_xlpm.cat="HOGS",0.16,_xlpm.cat="RABBIT",0.15,0.17),_xlpm.code,IFERROR(VALUE(LEFT($A154,FIND(" ",$A154&amp;" ")-1)),0),_xlpm.v,MOD(_xlpm.code,9)/1000,MIN(0.3,MAX(0.1,_xlpm.base+_xlpm.v))))</f>
        <v>0.16600000000000001</v>
      </c>
      <c r="I154" s="5" t="s">
        <v>57</v>
      </c>
      <c r="K154" s="5">
        <v>0</v>
      </c>
      <c r="L154" s="5">
        <v>50</v>
      </c>
      <c r="M154" s="5">
        <v>2</v>
      </c>
      <c r="N154" s="5">
        <v>2</v>
      </c>
      <c r="O154" s="5">
        <v>2</v>
      </c>
      <c r="Q154" s="5" t="s">
        <v>539</v>
      </c>
      <c r="R154" s="5" t="s">
        <v>34</v>
      </c>
      <c r="S154" s="5" t="s">
        <v>222</v>
      </c>
      <c r="T154" s="7">
        <v>5000000000001</v>
      </c>
      <c r="U154" s="5" t="s">
        <v>349</v>
      </c>
      <c r="V154" s="7">
        <v>5000000000103</v>
      </c>
      <c r="W154" s="5" t="s">
        <v>350</v>
      </c>
      <c r="X154" s="5" t="s">
        <v>34</v>
      </c>
      <c r="Y154" s="5" t="s">
        <v>34</v>
      </c>
      <c r="Z154" s="5" t="s">
        <v>34</v>
      </c>
      <c r="AA154" s="5" t="s">
        <v>34</v>
      </c>
      <c r="AB154" s="5" t="s">
        <v>34</v>
      </c>
      <c r="AC154" s="5" t="s">
        <v>34</v>
      </c>
      <c r="AD154" s="5" t="s">
        <v>34</v>
      </c>
    </row>
    <row r="155" spans="1:30" ht="15.55" x14ac:dyDescent="0.3">
      <c r="A155" s="4">
        <v>1000000001015</v>
      </c>
      <c r="B155" s="5" t="s">
        <v>540</v>
      </c>
      <c r="C155" s="4">
        <v>3000000000276</v>
      </c>
      <c r="D155" s="5" t="s">
        <v>464</v>
      </c>
      <c r="E155" s="5" t="s">
        <v>62</v>
      </c>
      <c r="F155" s="5" t="s">
        <v>34</v>
      </c>
      <c r="G155" s="10" cm="1">
        <f t="array" ref="G155">IF(OR($A155="",$L155=""),"",_xlfn.LET(_xlpm.cat,UPPER($E155),_xlpm.wt,IFERROR(VALUE(LEFT($L155,FIND(" ",$L155&amp;" ")-1)),$L155),_xlpm.ppk,_xlfn.SWITCH(TRUE,_xlpm.cat="GAMEFOWL",62,_xlpm.cat="POULTRY",45,_xlpm.cat="SWINE",48,_xlpm.cat="HOGS",48,_xlpm.cat="RABBIT",40,45),_xlpm.code,IFERROR(VALUE(LEFT($A155,FIND(" ",$A155&amp;" ")-1)),0),_xlpm.v,1+MOD(_xlpm.code,13)/100,ROUND(_xlpm.ppk*_xlpm.wt*_xlpm.v,0)))</f>
        <v>2295</v>
      </c>
      <c r="H155" s="6" cm="1">
        <f t="array" ref="H155">IF(OR($A155="",$L155=""),"",_xlfn.LET(_xlpm.cat,UPPER($E155),_xlpm.base,_xlfn.SWITCH(TRUE,_xlpm.cat="GAMEFOWL",0.22,_xlpm.cat="POULTRY",0.18,_xlpm.cat="SWINE",0.16,_xlpm.cat="HOGS",0.16,_xlpm.cat="RABBIT",0.15,0.17),_xlpm.code,IFERROR(VALUE(LEFT($A155,FIND(" ",$A155&amp;" ")-1)),0),_xlpm.v,MOD(_xlpm.code,9)/1000,MIN(0.3,MAX(0.1,_xlpm.base+_xlpm.v))))</f>
        <v>0.188</v>
      </c>
      <c r="I155" s="5" t="s">
        <v>57</v>
      </c>
      <c r="K155" s="5">
        <v>0</v>
      </c>
      <c r="L155" s="5">
        <v>50</v>
      </c>
      <c r="M155" s="5">
        <v>2</v>
      </c>
      <c r="N155" s="5">
        <v>2</v>
      </c>
      <c r="O155" s="5">
        <v>2</v>
      </c>
      <c r="Q155" s="5" t="s">
        <v>541</v>
      </c>
      <c r="R155" s="5" t="s">
        <v>34</v>
      </c>
      <c r="S155" s="5" t="s">
        <v>222</v>
      </c>
      <c r="T155" s="7">
        <v>5000000000555</v>
      </c>
      <c r="U155" s="5" t="s">
        <v>466</v>
      </c>
      <c r="V155" s="7">
        <v>5000000000187</v>
      </c>
      <c r="W155" s="5" t="s">
        <v>542</v>
      </c>
      <c r="X155" s="5" t="s">
        <v>34</v>
      </c>
      <c r="Y155" s="5" t="s">
        <v>34</v>
      </c>
      <c r="Z155" s="5" t="s">
        <v>34</v>
      </c>
      <c r="AA155" s="5" t="s">
        <v>34</v>
      </c>
      <c r="AB155" s="5" t="s">
        <v>34</v>
      </c>
      <c r="AC155" s="5" t="s">
        <v>34</v>
      </c>
      <c r="AD155" s="5" t="s">
        <v>34</v>
      </c>
    </row>
    <row r="156" spans="1:30" ht="15.55" x14ac:dyDescent="0.3">
      <c r="A156" s="4">
        <v>1000000000408</v>
      </c>
      <c r="B156" s="5" t="s">
        <v>543</v>
      </c>
      <c r="C156" s="4">
        <v>3000000001131</v>
      </c>
      <c r="D156" s="5" t="s">
        <v>544</v>
      </c>
      <c r="E156" s="5" t="s">
        <v>62</v>
      </c>
      <c r="F156" s="5" t="s">
        <v>63</v>
      </c>
      <c r="G156" s="10" cm="1">
        <f t="array" ref="G156">IF(OR($A156="",$L156=""),"",_xlfn.LET(_xlpm.cat,UPPER($E156),_xlpm.wt,IFERROR(VALUE(LEFT($L156,FIND(" ",$L156&amp;" ")-1)),$L156),_xlpm.ppk,_xlfn.SWITCH(TRUE,_xlpm.cat="GAMEFOWL",62,_xlpm.cat="POULTRY",45,_xlpm.cat="SWINE",48,_xlpm.cat="HOGS",48,_xlpm.cat="RABBIT",40,45),_xlpm.code,IFERROR(VALUE(LEFT($A156,FIND(" ",$A156&amp;" ")-1)),0),_xlpm.v,1+MOD(_xlpm.code,13)/100,ROUND(_xlpm.ppk*_xlpm.wt*_xlpm.v,0)))</f>
        <v>2385</v>
      </c>
      <c r="H156" s="6" cm="1">
        <f t="array" ref="H156">IF(OR($A156="",$L156=""),"",_xlfn.LET(_xlpm.cat,UPPER($E156),_xlpm.base,_xlfn.SWITCH(TRUE,_xlpm.cat="GAMEFOWL",0.22,_xlpm.cat="POULTRY",0.18,_xlpm.cat="SWINE",0.16,_xlpm.cat="HOGS",0.16,_xlpm.cat="RABBIT",0.15,0.17),_xlpm.code,IFERROR(VALUE(LEFT($A156,FIND(" ",$A156&amp;" ")-1)),0),_xlpm.v,MOD(_xlpm.code,9)/1000,MIN(0.3,MAX(0.1,_xlpm.base+_xlpm.v))))</f>
        <v>0.184</v>
      </c>
      <c r="I156" s="5" t="s">
        <v>139</v>
      </c>
      <c r="J156" s="5">
        <v>3</v>
      </c>
      <c r="K156" s="5">
        <v>0.17</v>
      </c>
      <c r="L156" s="5">
        <v>50</v>
      </c>
      <c r="M156" s="5">
        <v>4</v>
      </c>
      <c r="N156" s="5">
        <v>2</v>
      </c>
      <c r="O156" s="5">
        <v>2</v>
      </c>
      <c r="Q156" s="5" t="s">
        <v>545</v>
      </c>
      <c r="R156" s="5" t="s">
        <v>34</v>
      </c>
      <c r="S156" s="5" t="s">
        <v>245</v>
      </c>
      <c r="T156" s="7">
        <v>5000000000559</v>
      </c>
      <c r="U156" s="5" t="s">
        <v>264</v>
      </c>
      <c r="V156" s="7">
        <v>5000000000115</v>
      </c>
      <c r="W156" s="5" t="s">
        <v>265</v>
      </c>
      <c r="X156" s="5" t="s">
        <v>34</v>
      </c>
      <c r="Y156" s="5" t="s">
        <v>34</v>
      </c>
      <c r="Z156" s="5" t="s">
        <v>34</v>
      </c>
      <c r="AA156" s="5" t="s">
        <v>34</v>
      </c>
      <c r="AB156" s="5" t="s">
        <v>34</v>
      </c>
      <c r="AC156" s="5" t="s">
        <v>34</v>
      </c>
      <c r="AD156" s="5">
        <v>9.0200090829694339</v>
      </c>
    </row>
    <row r="157" spans="1:30" ht="15.55" x14ac:dyDescent="0.3">
      <c r="A157" s="4">
        <v>1000000000239</v>
      </c>
      <c r="B157" s="5" t="s">
        <v>546</v>
      </c>
      <c r="C157" s="4">
        <v>3000000000567</v>
      </c>
      <c r="D157" s="5" t="s">
        <v>547</v>
      </c>
      <c r="E157" s="5" t="s">
        <v>31</v>
      </c>
      <c r="F157" s="5" t="s">
        <v>32</v>
      </c>
      <c r="G157" s="10" cm="1">
        <f t="array" ref="G157">IF(OR($A157="",$L157=""),"",_xlfn.LET(_xlpm.cat,UPPER($E157),_xlpm.wt,IFERROR(VALUE(LEFT($L157,FIND(" ",$L157&amp;" ")-1)),$L157),_xlpm.ppk,_xlfn.SWITCH(TRUE,_xlpm.cat="GAMEFOWL",62,_xlpm.cat="POULTRY",45,_xlpm.cat="SWINE",48,_xlpm.cat="HOGS",48,_xlpm.cat="RABBIT",40,45),_xlpm.code,IFERROR(VALUE(LEFT($A157,FIND(" ",$A157&amp;" ")-1)),0),_xlpm.v,1+MOD(_xlpm.code,13)/100,ROUND(_xlpm.ppk*_xlpm.wt*_xlpm.v,0)))</f>
        <v>509</v>
      </c>
      <c r="H157" s="6" cm="1">
        <f t="array" ref="H157">IF(OR($A157="",$L157=""),"",_xlfn.LET(_xlpm.cat,UPPER($E157),_xlpm.base,_xlfn.SWITCH(TRUE,_xlpm.cat="GAMEFOWL",0.22,_xlpm.cat="POULTRY",0.18,_xlpm.cat="SWINE",0.16,_xlpm.cat="HOGS",0.16,_xlpm.cat="RABBIT",0.15,0.17),_xlpm.code,IFERROR(VALUE(LEFT($A157,FIND(" ",$A157&amp;" ")-1)),0),_xlpm.v,MOD(_xlpm.code,9)/1000,MIN(0.3,MAX(0.1,_xlpm.base+_xlpm.v))))</f>
        <v>0.16600000000000001</v>
      </c>
      <c r="I157" s="5" t="s">
        <v>139</v>
      </c>
      <c r="J157" s="5">
        <v>3</v>
      </c>
      <c r="K157" s="5">
        <v>0.17</v>
      </c>
      <c r="L157" s="5">
        <v>10</v>
      </c>
      <c r="M157" s="5">
        <v>4</v>
      </c>
      <c r="N157" s="5">
        <v>2</v>
      </c>
      <c r="O157" s="5">
        <v>2</v>
      </c>
      <c r="Q157" s="5" t="s">
        <v>34</v>
      </c>
      <c r="R157" s="5" t="s">
        <v>34</v>
      </c>
      <c r="S157" s="5" t="s">
        <v>39</v>
      </c>
      <c r="T157" s="7">
        <v>5000000000420</v>
      </c>
      <c r="U157" s="5" t="s">
        <v>548</v>
      </c>
      <c r="V157" s="7">
        <v>5000000000479</v>
      </c>
      <c r="W157" s="5" t="s">
        <v>549</v>
      </c>
      <c r="X157" s="5" t="s">
        <v>34</v>
      </c>
      <c r="Y157" s="5" t="s">
        <v>34</v>
      </c>
      <c r="Z157" s="5" t="s">
        <v>34</v>
      </c>
      <c r="AA157" s="5" t="s">
        <v>34</v>
      </c>
      <c r="AB157" s="5" t="s">
        <v>34</v>
      </c>
      <c r="AC157" s="5">
        <v>6.5007125959367951</v>
      </c>
      <c r="AD157" s="5">
        <v>6.5671997113545872</v>
      </c>
    </row>
    <row r="158" spans="1:30" ht="15.55" x14ac:dyDescent="0.3">
      <c r="A158" s="4">
        <v>1000000000915</v>
      </c>
      <c r="B158" s="5" t="s">
        <v>550</v>
      </c>
      <c r="C158" s="4">
        <v>3000000000076</v>
      </c>
      <c r="D158" s="5" t="s">
        <v>125</v>
      </c>
      <c r="E158" s="5" t="s">
        <v>86</v>
      </c>
      <c r="F158" s="5" t="s">
        <v>63</v>
      </c>
      <c r="G158" s="10" cm="1">
        <f t="array" ref="G158">IF(OR($A158="",$L158=""),"",_xlfn.LET(_xlpm.cat,UPPER($E158),_xlpm.wt,IFERROR(VALUE(LEFT($L158,FIND(" ",$L158&amp;" ")-1)),$L158),_xlpm.ppk,_xlfn.SWITCH(TRUE,_xlpm.cat="GAMEFOWL",62,_xlpm.cat="POULTRY",45,_xlpm.cat="SWINE",48,_xlpm.cat="HOGS",48,_xlpm.cat="RABBIT",40,45),_xlpm.code,IFERROR(VALUE(LEFT($A158,FIND(" ",$A158&amp;" ")-1)),0),_xlpm.v,1+MOD(_xlpm.code,13)/100,ROUND(_xlpm.ppk*_xlpm.wt*_xlpm.v,0)))</f>
        <v>1643</v>
      </c>
      <c r="H158" s="6" cm="1">
        <f t="array" ref="H158">IF(OR($A158="",$L158=""),"",_xlfn.LET(_xlpm.cat,UPPER($E158),_xlpm.base,_xlfn.SWITCH(TRUE,_xlpm.cat="GAMEFOWL",0.22,_xlpm.cat="POULTRY",0.18,_xlpm.cat="SWINE",0.16,_xlpm.cat="HOGS",0.16,_xlpm.cat="RABBIT",0.15,0.17),_xlpm.code,IFERROR(VALUE(LEFT($A158,FIND(" ",$A158&amp;" ")-1)),0),_xlpm.v,MOD(_xlpm.code,9)/1000,MIN(0.3,MAX(0.1,_xlpm.base+_xlpm.v))))</f>
        <v>0.22700000000000001</v>
      </c>
      <c r="I158" s="5" t="s">
        <v>64</v>
      </c>
      <c r="J158" s="5">
        <v>3</v>
      </c>
      <c r="K158" s="5">
        <v>0.33</v>
      </c>
      <c r="L158" s="5">
        <v>25</v>
      </c>
      <c r="M158" s="5">
        <v>4</v>
      </c>
      <c r="N158" s="5">
        <v>2</v>
      </c>
      <c r="O158" s="5">
        <v>2</v>
      </c>
      <c r="Q158" s="5" t="s">
        <v>34</v>
      </c>
      <c r="R158" s="5" t="s">
        <v>34</v>
      </c>
      <c r="S158" s="5" t="s">
        <v>314</v>
      </c>
      <c r="T158" s="7">
        <v>5000000000451</v>
      </c>
      <c r="U158" s="5" t="s">
        <v>551</v>
      </c>
      <c r="V158" s="7">
        <v>5000000000130</v>
      </c>
      <c r="W158" s="5" t="s">
        <v>119</v>
      </c>
      <c r="X158" s="5" t="s">
        <v>34</v>
      </c>
      <c r="Y158" s="5" t="s">
        <v>34</v>
      </c>
      <c r="Z158" s="5">
        <v>6.5492321808127008</v>
      </c>
      <c r="AA158" s="5">
        <v>7.5474284815724832</v>
      </c>
      <c r="AB158" s="5" t="s">
        <v>34</v>
      </c>
      <c r="AC158" s="5">
        <v>5.8662912000000009</v>
      </c>
      <c r="AD158" s="5" t="s">
        <v>34</v>
      </c>
    </row>
    <row r="159" spans="1:30" ht="15.55" x14ac:dyDescent="0.3">
      <c r="A159" s="4">
        <v>1000000000344</v>
      </c>
      <c r="B159" s="5" t="s">
        <v>552</v>
      </c>
      <c r="C159" s="4">
        <v>3000000000567</v>
      </c>
      <c r="D159" s="5" t="s">
        <v>553</v>
      </c>
      <c r="E159" s="5" t="s">
        <v>31</v>
      </c>
      <c r="F159" s="5" t="s">
        <v>32</v>
      </c>
      <c r="G159" s="10" cm="1">
        <f t="array" ref="G159">IF(OR($A159="",$L159=""),"",_xlfn.LET(_xlpm.cat,UPPER($E159),_xlpm.wt,IFERROR(VALUE(LEFT($L159,FIND(" ",$L159&amp;" ")-1)),$L159),_xlpm.ppk,_xlfn.SWITCH(TRUE,_xlpm.cat="GAMEFOWL",62,_xlpm.cat="POULTRY",45,_xlpm.cat="SWINE",48,_xlpm.cat="HOGS",48,_xlpm.cat="RABBIT",40,45),_xlpm.code,IFERROR(VALUE(LEFT($A159,FIND(" ",$A159&amp;" ")-1)),0),_xlpm.v,1+MOD(_xlpm.code,13)/100,ROUND(_xlpm.ppk*_xlpm.wt*_xlpm.v,0)))</f>
        <v>1284</v>
      </c>
      <c r="H159" s="6" cm="1">
        <f t="array" ref="H159">IF(OR($A159="",$L159=""),"",_xlfn.LET(_xlpm.cat,UPPER($E159),_xlpm.base,_xlfn.SWITCH(TRUE,_xlpm.cat="GAMEFOWL",0.22,_xlpm.cat="POULTRY",0.18,_xlpm.cat="SWINE",0.16,_xlpm.cat="HOGS",0.16,_xlpm.cat="RABBIT",0.15,0.17),_xlpm.code,IFERROR(VALUE(LEFT($A159,FIND(" ",$A159&amp;" ")-1)),0),_xlpm.v,MOD(_xlpm.code,9)/1000,MIN(0.3,MAX(0.1,_xlpm.base+_xlpm.v))))</f>
        <v>0.16300000000000001</v>
      </c>
      <c r="I159" s="5" t="s">
        <v>139</v>
      </c>
      <c r="J159" s="5">
        <v>3</v>
      </c>
      <c r="K159" s="5">
        <v>0.17</v>
      </c>
      <c r="L159" s="5">
        <v>25</v>
      </c>
      <c r="M159" s="5">
        <v>4</v>
      </c>
      <c r="N159" s="5">
        <v>2</v>
      </c>
      <c r="O159" s="5">
        <v>2</v>
      </c>
      <c r="Q159" s="5" t="s">
        <v>34</v>
      </c>
      <c r="R159" s="5" t="s">
        <v>34</v>
      </c>
      <c r="S159" s="5" t="s">
        <v>39</v>
      </c>
      <c r="T159" s="7">
        <v>5000000000163</v>
      </c>
      <c r="U159" s="5" t="s">
        <v>554</v>
      </c>
      <c r="V159" s="7">
        <v>5000000000479</v>
      </c>
      <c r="W159" s="5" t="s">
        <v>549</v>
      </c>
      <c r="X159" s="5" t="s">
        <v>34</v>
      </c>
      <c r="Y159" s="5" t="s">
        <v>34</v>
      </c>
      <c r="Z159" s="5" t="s">
        <v>34</v>
      </c>
      <c r="AA159" s="5" t="s">
        <v>34</v>
      </c>
      <c r="AB159" s="5" t="s">
        <v>34</v>
      </c>
      <c r="AC159" s="5">
        <v>6.5007125959367951</v>
      </c>
      <c r="AD159" s="5">
        <v>6.5671997113545872</v>
      </c>
    </row>
    <row r="160" spans="1:30" ht="15.55" x14ac:dyDescent="0.3">
      <c r="A160" s="4">
        <v>1000000000473</v>
      </c>
      <c r="B160" s="5" t="s">
        <v>555</v>
      </c>
      <c r="C160" s="4">
        <v>3000000000076</v>
      </c>
      <c r="D160" s="5" t="s">
        <v>125</v>
      </c>
      <c r="E160" s="5" t="s">
        <v>86</v>
      </c>
      <c r="F160" s="5" t="s">
        <v>63</v>
      </c>
      <c r="G160" s="10" cm="1">
        <f t="array" ref="G160">IF(OR($A160="",$L160=""),"",_xlfn.LET(_xlpm.cat,UPPER($E160),_xlpm.wt,IFERROR(VALUE(LEFT($L160,FIND(" ",$L160&amp;" ")-1)),$L160),_xlpm.ppk,_xlfn.SWITCH(TRUE,_xlpm.cat="GAMEFOWL",62,_xlpm.cat="POULTRY",45,_xlpm.cat="SWINE",48,_xlpm.cat="HOGS",48,_xlpm.cat="RABBIT",40,45),_xlpm.code,IFERROR(VALUE(LEFT($A160,FIND(" ",$A160&amp;" ")-1)),0),_xlpm.v,1+MOD(_xlpm.code,13)/100,ROUND(_xlpm.ppk*_xlpm.wt*_xlpm.v,0)))</f>
        <v>3286</v>
      </c>
      <c r="H160" s="6" cm="1">
        <f t="array" ref="H160">IF(OR($A160="",$L160=""),"",_xlfn.LET(_xlpm.cat,UPPER($E160),_xlpm.base,_xlfn.SWITCH(TRUE,_xlpm.cat="GAMEFOWL",0.22,_xlpm.cat="POULTRY",0.18,_xlpm.cat="SWINE",0.16,_xlpm.cat="HOGS",0.16,_xlpm.cat="RABBIT",0.15,0.17),_xlpm.code,IFERROR(VALUE(LEFT($A160,FIND(" ",$A160&amp;" ")-1)),0),_xlpm.v,MOD(_xlpm.code,9)/1000,MIN(0.3,MAX(0.1,_xlpm.base+_xlpm.v))))</f>
        <v>0.22600000000000001</v>
      </c>
      <c r="I160" s="5" t="s">
        <v>122</v>
      </c>
      <c r="K160" s="5">
        <v>0</v>
      </c>
      <c r="L160" s="5">
        <v>50</v>
      </c>
      <c r="M160" s="5">
        <v>4</v>
      </c>
      <c r="N160" s="5">
        <v>2</v>
      </c>
      <c r="O160" s="5">
        <v>2</v>
      </c>
      <c r="Q160" s="5" t="s">
        <v>34</v>
      </c>
      <c r="R160" s="5" t="s">
        <v>34</v>
      </c>
      <c r="S160" s="5" t="s">
        <v>39</v>
      </c>
      <c r="T160" s="7">
        <v>5000000000717</v>
      </c>
      <c r="U160" s="5" t="s">
        <v>438</v>
      </c>
      <c r="V160" s="7">
        <v>5000000000720</v>
      </c>
      <c r="W160" s="5" t="s">
        <v>439</v>
      </c>
      <c r="X160" s="5" t="s">
        <v>34</v>
      </c>
      <c r="Y160" s="5" t="s">
        <v>34</v>
      </c>
      <c r="Z160" s="5">
        <v>6.5492321808127008</v>
      </c>
      <c r="AA160" s="5">
        <v>7.5474284815724832</v>
      </c>
      <c r="AB160" s="5" t="s">
        <v>34</v>
      </c>
      <c r="AC160" s="5">
        <v>5.8662912000000009</v>
      </c>
      <c r="AD160" s="5" t="s">
        <v>34</v>
      </c>
    </row>
    <row r="161" spans="1:30" ht="15.55" x14ac:dyDescent="0.3">
      <c r="A161" s="4">
        <v>1000000000830</v>
      </c>
      <c r="B161" s="5" t="s">
        <v>556</v>
      </c>
      <c r="C161" s="4">
        <v>3000000000569</v>
      </c>
      <c r="D161" s="5" t="s">
        <v>557</v>
      </c>
      <c r="E161" s="5" t="s">
        <v>31</v>
      </c>
      <c r="F161" s="5" t="s">
        <v>32</v>
      </c>
      <c r="G161" s="10" cm="1">
        <f t="array" ref="G161">IF(OR($A161="",$L161=""),"",_xlfn.LET(_xlpm.cat,UPPER($E161),_xlpm.wt,IFERROR(VALUE(LEFT($L161,FIND(" ",$L161&amp;" ")-1)),$L161),_xlpm.ppk,_xlfn.SWITCH(TRUE,_xlpm.cat="GAMEFOWL",62,_xlpm.cat="POULTRY",45,_xlpm.cat="SWINE",48,_xlpm.cat="HOGS",48,_xlpm.cat="RABBIT",40,45),_xlpm.code,IFERROR(VALUE(LEFT($A161,FIND(" ",$A161&amp;" ")-1)),0),_xlpm.v,1+MOD(_xlpm.code,13)/100,ROUND(_xlpm.ppk*_xlpm.wt*_xlpm.v,0)))</f>
        <v>2688</v>
      </c>
      <c r="H161" s="6" cm="1">
        <f t="array" ref="H161">IF(OR($A161="",$L161=""),"",_xlfn.LET(_xlpm.cat,UPPER($E161),_xlpm.base,_xlfn.SWITCH(TRUE,_xlpm.cat="GAMEFOWL",0.22,_xlpm.cat="POULTRY",0.18,_xlpm.cat="SWINE",0.16,_xlpm.cat="HOGS",0.16,_xlpm.cat="RABBIT",0.15,0.17),_xlpm.code,IFERROR(VALUE(LEFT($A161,FIND(" ",$A161&amp;" ")-1)),0),_xlpm.v,MOD(_xlpm.code,9)/1000,MIN(0.3,MAX(0.1,_xlpm.base+_xlpm.v))))</f>
        <v>0.16300000000000001</v>
      </c>
      <c r="I161" s="5" t="s">
        <v>139</v>
      </c>
      <c r="J161" s="5">
        <v>3</v>
      </c>
      <c r="K161" s="5">
        <v>0.17</v>
      </c>
      <c r="L161" s="5">
        <v>50</v>
      </c>
      <c r="M161" s="5">
        <v>4</v>
      </c>
      <c r="N161" s="5">
        <v>2</v>
      </c>
      <c r="O161" s="5">
        <v>2</v>
      </c>
      <c r="Q161" s="5" t="s">
        <v>558</v>
      </c>
      <c r="R161" s="5" t="s">
        <v>34</v>
      </c>
      <c r="S161" s="5" t="s">
        <v>63</v>
      </c>
      <c r="T161" s="7">
        <v>5000000000057</v>
      </c>
      <c r="U161" s="5" t="s">
        <v>189</v>
      </c>
      <c r="V161" s="7">
        <v>5000000000102</v>
      </c>
      <c r="W161" s="5" t="s">
        <v>190</v>
      </c>
      <c r="X161" s="5" t="s">
        <v>34</v>
      </c>
      <c r="Y161" s="5" t="s">
        <v>34</v>
      </c>
      <c r="Z161" s="5" t="s">
        <v>34</v>
      </c>
      <c r="AA161" s="5" t="s">
        <v>34</v>
      </c>
      <c r="AB161" s="5" t="s">
        <v>34</v>
      </c>
      <c r="AC161" s="5">
        <v>6.8321843166090295</v>
      </c>
      <c r="AD161" s="5">
        <v>7.0731008656475867</v>
      </c>
    </row>
    <row r="162" spans="1:30" ht="15.55" x14ac:dyDescent="0.3">
      <c r="A162" s="4">
        <v>1000000000829</v>
      </c>
      <c r="B162" s="5" t="s">
        <v>559</v>
      </c>
      <c r="C162" s="4">
        <v>3000000000567</v>
      </c>
      <c r="D162" s="5" t="s">
        <v>560</v>
      </c>
      <c r="E162" s="5" t="s">
        <v>31</v>
      </c>
      <c r="F162" s="5" t="s">
        <v>32</v>
      </c>
      <c r="G162" s="10" cm="1">
        <f t="array" ref="G162">IF(OR($A162="",$L162=""),"",_xlfn.LET(_xlpm.cat,UPPER($E162),_xlpm.wt,IFERROR(VALUE(LEFT($L162,FIND(" ",$L162&amp;" ")-1)),$L162),_xlpm.ppk,_xlfn.SWITCH(TRUE,_xlpm.cat="GAMEFOWL",62,_xlpm.cat="POULTRY",45,_xlpm.cat="SWINE",48,_xlpm.cat="HOGS",48,_xlpm.cat="RABBIT",40,45),_xlpm.code,IFERROR(VALUE(LEFT($A162,FIND(" ",$A162&amp;" ")-1)),0),_xlpm.v,1+MOD(_xlpm.code,13)/100,ROUND(_xlpm.ppk*_xlpm.wt*_xlpm.v,0)))</f>
        <v>1332</v>
      </c>
      <c r="H162" s="6" cm="1">
        <f t="array" ref="H162">IF(OR($A162="",$L162=""),"",_xlfn.LET(_xlpm.cat,UPPER($E162),_xlpm.base,_xlfn.SWITCH(TRUE,_xlpm.cat="GAMEFOWL",0.22,_xlpm.cat="POULTRY",0.18,_xlpm.cat="SWINE",0.16,_xlpm.cat="HOGS",0.16,_xlpm.cat="RABBIT",0.15,0.17),_xlpm.code,IFERROR(VALUE(LEFT($A162,FIND(" ",$A162&amp;" ")-1)),0),_xlpm.v,MOD(_xlpm.code,9)/1000,MIN(0.3,MAX(0.1,_xlpm.base+_xlpm.v))))</f>
        <v>0.16200000000000001</v>
      </c>
      <c r="I162" s="5" t="s">
        <v>139</v>
      </c>
      <c r="J162" s="5">
        <v>3</v>
      </c>
      <c r="K162" s="5">
        <v>0.17</v>
      </c>
      <c r="L162" s="5">
        <v>25</v>
      </c>
      <c r="M162" s="5">
        <v>4</v>
      </c>
      <c r="N162" s="5">
        <v>2</v>
      </c>
      <c r="O162" s="5">
        <v>2</v>
      </c>
      <c r="Q162" s="5" t="s">
        <v>561</v>
      </c>
      <c r="R162" s="5" t="s">
        <v>34</v>
      </c>
      <c r="S162" s="5" t="s">
        <v>63</v>
      </c>
      <c r="T162" s="7">
        <v>5000000000055</v>
      </c>
      <c r="U162" s="5" t="s">
        <v>299</v>
      </c>
      <c r="V162" s="7">
        <v>5000000000603</v>
      </c>
      <c r="W162" s="5" t="s">
        <v>562</v>
      </c>
      <c r="X162" s="5" t="s">
        <v>34</v>
      </c>
      <c r="Y162" s="5" t="s">
        <v>34</v>
      </c>
      <c r="Z162" s="5" t="s">
        <v>34</v>
      </c>
      <c r="AA162" s="5" t="s">
        <v>34</v>
      </c>
      <c r="AB162" s="5" t="s">
        <v>34</v>
      </c>
      <c r="AC162" s="5">
        <v>6.5007125959367951</v>
      </c>
      <c r="AD162" s="5">
        <v>6.5671997113545872</v>
      </c>
    </row>
    <row r="163" spans="1:30" ht="15.55" x14ac:dyDescent="0.3">
      <c r="A163" s="4">
        <v>1000000000118</v>
      </c>
      <c r="B163" s="5" t="s">
        <v>563</v>
      </c>
      <c r="C163" s="4">
        <v>3000000001125</v>
      </c>
      <c r="D163" s="5" t="s">
        <v>564</v>
      </c>
      <c r="E163" s="5" t="s">
        <v>62</v>
      </c>
      <c r="F163" s="5" t="s">
        <v>63</v>
      </c>
      <c r="G163" s="10" cm="1">
        <f t="array" ref="G163">IF(OR($A163="",$L163=""),"",_xlfn.LET(_xlpm.cat,UPPER($E163),_xlpm.wt,IFERROR(VALUE(LEFT($L163,FIND(" ",$L163&amp;" ")-1)),$L163),_xlpm.ppk,_xlfn.SWITCH(TRUE,_xlpm.cat="GAMEFOWL",62,_xlpm.cat="POULTRY",45,_xlpm.cat="SWINE",48,_xlpm.cat="HOGS",48,_xlpm.cat="RABBIT",40,45),_xlpm.code,IFERROR(VALUE(LEFT($A163,FIND(" ",$A163&amp;" ")-1)),0),_xlpm.v,1+MOD(_xlpm.code,13)/100,ROUND(_xlpm.ppk*_xlpm.wt*_xlpm.v,0)))</f>
        <v>2295</v>
      </c>
      <c r="H163" s="6" cm="1">
        <f t="array" ref="H163">IF(OR($A163="",$L163=""),"",_xlfn.LET(_xlpm.cat,UPPER($E163),_xlpm.base,_xlfn.SWITCH(TRUE,_xlpm.cat="GAMEFOWL",0.22,_xlpm.cat="POULTRY",0.18,_xlpm.cat="SWINE",0.16,_xlpm.cat="HOGS",0.16,_xlpm.cat="RABBIT",0.15,0.17),_xlpm.code,IFERROR(VALUE(LEFT($A163,FIND(" ",$A163&amp;" ")-1)),0),_xlpm.v,MOD(_xlpm.code,9)/1000,MIN(0.3,MAX(0.1,_xlpm.base+_xlpm.v))))</f>
        <v>0.182</v>
      </c>
      <c r="I163" s="5" t="s">
        <v>106</v>
      </c>
      <c r="J163" s="5">
        <v>4</v>
      </c>
      <c r="K163" s="5">
        <v>0.33</v>
      </c>
      <c r="L163" s="5">
        <v>50</v>
      </c>
      <c r="M163" s="5">
        <v>4</v>
      </c>
      <c r="N163" s="5">
        <v>2</v>
      </c>
      <c r="O163" s="5">
        <v>2</v>
      </c>
      <c r="Q163" s="5" t="s">
        <v>565</v>
      </c>
      <c r="R163" s="5" t="s">
        <v>34</v>
      </c>
      <c r="S163" s="5" t="s">
        <v>526</v>
      </c>
      <c r="T163" s="7">
        <v>5000000000562</v>
      </c>
      <c r="U163" s="5" t="s">
        <v>108</v>
      </c>
      <c r="V163" s="7">
        <v>5000000000122</v>
      </c>
      <c r="W163" s="5" t="s">
        <v>109</v>
      </c>
      <c r="X163" s="5" t="s">
        <v>34</v>
      </c>
      <c r="Y163" s="5" t="s">
        <v>34</v>
      </c>
      <c r="Z163" s="5" t="s">
        <v>34</v>
      </c>
      <c r="AA163" s="5" t="s">
        <v>34</v>
      </c>
      <c r="AB163" s="5" t="s">
        <v>34</v>
      </c>
      <c r="AC163" s="5" t="s">
        <v>34</v>
      </c>
      <c r="AD163" s="5" t="s">
        <v>34</v>
      </c>
    </row>
    <row r="164" spans="1:30" ht="15.55" x14ac:dyDescent="0.3">
      <c r="A164" s="4">
        <v>1000000000848</v>
      </c>
      <c r="B164" s="5" t="s">
        <v>566</v>
      </c>
      <c r="C164" s="4">
        <v>3000000000130</v>
      </c>
      <c r="D164" s="5" t="s">
        <v>567</v>
      </c>
      <c r="E164" s="5" t="s">
        <v>31</v>
      </c>
      <c r="F164" s="5" t="s">
        <v>34</v>
      </c>
      <c r="G164" s="10" cm="1">
        <f t="array" ref="G164">IF(OR($A164="",$L164=""),"",_xlfn.LET(_xlpm.cat,UPPER($E164),_xlpm.wt,IFERROR(VALUE(LEFT($L164,FIND(" ",$L164&amp;" ")-1)),$L164),_xlpm.ppk,_xlfn.SWITCH(TRUE,_xlpm.cat="GAMEFOWL",62,_xlpm.cat="POULTRY",45,_xlpm.cat="SWINE",48,_xlpm.cat="HOGS",48,_xlpm.cat="RABBIT",40,45),_xlpm.code,IFERROR(VALUE(LEFT($A164,FIND(" ",$A164&amp;" ")-1)),0),_xlpm.v,1+MOD(_xlpm.code,13)/100,ROUND(_xlpm.ppk*_xlpm.wt*_xlpm.v,0)))</f>
        <v>2496</v>
      </c>
      <c r="H164" s="6" cm="1">
        <f t="array" ref="H164">IF(OR($A164="",$L164=""),"",_xlfn.LET(_xlpm.cat,UPPER($E164),_xlpm.base,_xlfn.SWITCH(TRUE,_xlpm.cat="GAMEFOWL",0.22,_xlpm.cat="POULTRY",0.18,_xlpm.cat="SWINE",0.16,_xlpm.cat="HOGS",0.16,_xlpm.cat="RABBIT",0.15,0.17),_xlpm.code,IFERROR(VALUE(LEFT($A164,FIND(" ",$A164&amp;" ")-1)),0),_xlpm.v,MOD(_xlpm.code,9)/1000,MIN(0.3,MAX(0.1,_xlpm.base+_xlpm.v))))</f>
        <v>0.16300000000000001</v>
      </c>
      <c r="I164" s="5" t="s">
        <v>57</v>
      </c>
      <c r="K164" s="5">
        <v>0</v>
      </c>
      <c r="L164" s="5">
        <v>50</v>
      </c>
      <c r="M164" s="5">
        <v>4</v>
      </c>
      <c r="N164" s="5">
        <v>2</v>
      </c>
      <c r="O164" s="5">
        <v>2</v>
      </c>
      <c r="Q164" s="5" t="s">
        <v>568</v>
      </c>
      <c r="R164" s="5" t="s">
        <v>34</v>
      </c>
      <c r="S164" s="5" t="s">
        <v>222</v>
      </c>
      <c r="T164" s="7">
        <v>5000000000053</v>
      </c>
      <c r="U164" s="5" t="s">
        <v>569</v>
      </c>
      <c r="V164" s="7">
        <v>5000000000112</v>
      </c>
      <c r="W164" s="5" t="s">
        <v>570</v>
      </c>
      <c r="X164" s="5" t="s">
        <v>34</v>
      </c>
      <c r="Y164" s="5" t="s">
        <v>34</v>
      </c>
      <c r="Z164" s="5" t="s">
        <v>34</v>
      </c>
      <c r="AA164" s="5" t="s">
        <v>34</v>
      </c>
      <c r="AB164" s="5" t="s">
        <v>34</v>
      </c>
      <c r="AC164" s="5" t="s">
        <v>34</v>
      </c>
      <c r="AD164" s="5" t="s">
        <v>34</v>
      </c>
    </row>
    <row r="165" spans="1:30" ht="15.55" x14ac:dyDescent="0.3">
      <c r="A165" s="4">
        <v>1000000000850</v>
      </c>
      <c r="B165" s="5" t="s">
        <v>571</v>
      </c>
      <c r="C165" s="4">
        <v>3000000000134</v>
      </c>
      <c r="D165" s="5" t="s">
        <v>572</v>
      </c>
      <c r="E165" s="5" t="s">
        <v>31</v>
      </c>
      <c r="F165" s="5" t="s">
        <v>34</v>
      </c>
      <c r="G165" s="10" cm="1">
        <f t="array" ref="G165">IF(OR($A165="",$L165=""),"",_xlfn.LET(_xlpm.cat,UPPER($E165),_xlpm.wt,IFERROR(VALUE(LEFT($L165,FIND(" ",$L165&amp;" ")-1)),$L165),_xlpm.ppk,_xlfn.SWITCH(TRUE,_xlpm.cat="GAMEFOWL",62,_xlpm.cat="POULTRY",45,_xlpm.cat="SWINE",48,_xlpm.cat="HOGS",48,_xlpm.cat="RABBIT",40,45),_xlpm.code,IFERROR(VALUE(LEFT($A165,FIND(" ",$A165&amp;" ")-1)),0),_xlpm.v,1+MOD(_xlpm.code,13)/100,ROUND(_xlpm.ppk*_xlpm.wt*_xlpm.v,0)))</f>
        <v>2544</v>
      </c>
      <c r="H165" s="6" cm="1">
        <f t="array" ref="H165">IF(OR($A165="",$L165=""),"",_xlfn.LET(_xlpm.cat,UPPER($E165),_xlpm.base,_xlfn.SWITCH(TRUE,_xlpm.cat="GAMEFOWL",0.22,_xlpm.cat="POULTRY",0.18,_xlpm.cat="SWINE",0.16,_xlpm.cat="HOGS",0.16,_xlpm.cat="RABBIT",0.15,0.17),_xlpm.code,IFERROR(VALUE(LEFT($A165,FIND(" ",$A165&amp;" ")-1)),0),_xlpm.v,MOD(_xlpm.code,9)/1000,MIN(0.3,MAX(0.1,_xlpm.base+_xlpm.v))))</f>
        <v>0.16500000000000001</v>
      </c>
      <c r="I165" s="5" t="s">
        <v>57</v>
      </c>
      <c r="K165" s="5">
        <v>0</v>
      </c>
      <c r="L165" s="5">
        <v>50</v>
      </c>
      <c r="M165" s="5">
        <v>2</v>
      </c>
      <c r="N165" s="5">
        <v>2</v>
      </c>
      <c r="O165" s="5">
        <v>2</v>
      </c>
      <c r="Q165" s="5" t="s">
        <v>573</v>
      </c>
      <c r="R165" s="5" t="s">
        <v>34</v>
      </c>
      <c r="S165" s="5" t="s">
        <v>222</v>
      </c>
      <c r="T165" s="7">
        <v>5000000000057</v>
      </c>
      <c r="U165" s="5" t="s">
        <v>574</v>
      </c>
      <c r="V165" s="7">
        <v>5000000000102</v>
      </c>
      <c r="W165" s="5" t="s">
        <v>190</v>
      </c>
      <c r="X165" s="5" t="s">
        <v>34</v>
      </c>
      <c r="Y165" s="5" t="s">
        <v>34</v>
      </c>
      <c r="Z165" s="5" t="s">
        <v>34</v>
      </c>
      <c r="AA165" s="5" t="s">
        <v>34</v>
      </c>
      <c r="AB165" s="5" t="s">
        <v>34</v>
      </c>
      <c r="AC165" s="5" t="s">
        <v>34</v>
      </c>
      <c r="AD165" s="5" t="s">
        <v>34</v>
      </c>
    </row>
    <row r="166" spans="1:30" ht="15.55" x14ac:dyDescent="0.3">
      <c r="A166" s="4">
        <v>1000000001605</v>
      </c>
      <c r="B166" s="5" t="s">
        <v>575</v>
      </c>
      <c r="C166" s="4">
        <v>3000000000212</v>
      </c>
      <c r="D166" s="5" t="s">
        <v>576</v>
      </c>
      <c r="E166" s="5" t="s">
        <v>86</v>
      </c>
      <c r="F166" s="5" t="s">
        <v>63</v>
      </c>
      <c r="G166" s="10" cm="1">
        <f t="array" ref="G166">IF(OR($A166="",$L166=""),"",_xlfn.LET(_xlpm.cat,UPPER($E166),_xlpm.wt,IFERROR(VALUE(LEFT($L166,FIND(" ",$L166&amp;" ")-1)),$L166),_xlpm.ppk,_xlfn.SWITCH(TRUE,_xlpm.cat="GAMEFOWL",62,_xlpm.cat="POULTRY",45,_xlpm.cat="SWINE",48,_xlpm.cat="HOGS",48,_xlpm.cat="RABBIT",40,45),_xlpm.code,IFERROR(VALUE(LEFT($A166,FIND(" ",$A166&amp;" ")-1)),0),_xlpm.v,1+MOD(_xlpm.code,13)/100,ROUND(_xlpm.ppk*_xlpm.wt*_xlpm.v,0)))</f>
        <v>1659</v>
      </c>
      <c r="H166" s="6" cm="1">
        <f t="array" ref="H166">IF(OR($A166="",$L166=""),"",_xlfn.LET(_xlpm.cat,UPPER($E166),_xlpm.base,_xlfn.SWITCH(TRUE,_xlpm.cat="GAMEFOWL",0.22,_xlpm.cat="POULTRY",0.18,_xlpm.cat="SWINE",0.16,_xlpm.cat="HOGS",0.16,_xlpm.cat="RABBIT",0.15,0.17),_xlpm.code,IFERROR(VALUE(LEFT($A166,FIND(" ",$A166&amp;" ")-1)),0),_xlpm.v,MOD(_xlpm.code,9)/1000,MIN(0.3,MAX(0.1,_xlpm.base+_xlpm.v))))</f>
        <v>0.224</v>
      </c>
      <c r="I166" s="5" t="s">
        <v>106</v>
      </c>
      <c r="J166" s="5">
        <v>3</v>
      </c>
      <c r="K166" s="5">
        <v>0.33</v>
      </c>
      <c r="L166" s="5">
        <v>25</v>
      </c>
      <c r="M166" s="5">
        <v>4</v>
      </c>
      <c r="N166" s="5">
        <v>2</v>
      </c>
      <c r="O166" s="5">
        <v>2</v>
      </c>
      <c r="Q166" s="5">
        <v>1605</v>
      </c>
      <c r="R166" s="5" t="s">
        <v>34</v>
      </c>
      <c r="S166" s="5" t="s">
        <v>39</v>
      </c>
      <c r="T166" s="7" t="s">
        <v>34</v>
      </c>
      <c r="U166" s="5" t="s">
        <v>577</v>
      </c>
      <c r="V166" s="7" t="s">
        <v>34</v>
      </c>
      <c r="W166" s="5" t="s">
        <v>308</v>
      </c>
      <c r="X166" s="5" t="s">
        <v>34</v>
      </c>
      <c r="Y166" s="5" t="s">
        <v>34</v>
      </c>
      <c r="Z166" s="5" t="s">
        <v>34</v>
      </c>
      <c r="AA166" s="5" t="s">
        <v>34</v>
      </c>
      <c r="AB166" s="5" t="s">
        <v>34</v>
      </c>
      <c r="AC166" s="5" t="s">
        <v>34</v>
      </c>
      <c r="AD166" s="5" t="s">
        <v>34</v>
      </c>
    </row>
    <row r="167" spans="1:30" ht="15.55" x14ac:dyDescent="0.3">
      <c r="A167" s="4">
        <v>1000000001985</v>
      </c>
      <c r="B167" s="5" t="s">
        <v>578</v>
      </c>
      <c r="C167" s="4">
        <v>3000000000216</v>
      </c>
      <c r="D167" s="5" t="s">
        <v>579</v>
      </c>
      <c r="E167" s="5" t="s">
        <v>86</v>
      </c>
      <c r="F167" s="5" t="s">
        <v>63</v>
      </c>
      <c r="G167" s="10" cm="1">
        <f t="array" ref="G167">IF(OR($A167="",$L167=""),"",_xlfn.LET(_xlpm.cat,UPPER($E167),_xlpm.wt,IFERROR(VALUE(LEFT($L167,FIND(" ",$L167&amp;" ")-1)),$L167),_xlpm.ppk,_xlfn.SWITCH(TRUE,_xlpm.cat="GAMEFOWL",62,_xlpm.cat="POULTRY",45,_xlpm.cat="SWINE",48,_xlpm.cat="HOGS",48,_xlpm.cat="RABBIT",40,45),_xlpm.code,IFERROR(VALUE(LEFT($A167,FIND(" ",$A167&amp;" ")-1)),0),_xlpm.v,1+MOD(_xlpm.code,13)/100,ROUND(_xlpm.ppk*_xlpm.wt*_xlpm.v,0)))</f>
        <v>1705</v>
      </c>
      <c r="H167" s="6" cm="1">
        <f t="array" ref="H167">IF(OR($A167="",$L167=""),"",_xlfn.LET(_xlpm.cat,UPPER($E167),_xlpm.base,_xlfn.SWITCH(TRUE,_xlpm.cat="GAMEFOWL",0.22,_xlpm.cat="POULTRY",0.18,_xlpm.cat="SWINE",0.16,_xlpm.cat="HOGS",0.16,_xlpm.cat="RABBIT",0.15,0.17),_xlpm.code,IFERROR(VALUE(LEFT($A167,FIND(" ",$A167&amp;" ")-1)),0),_xlpm.v,MOD(_xlpm.code,9)/1000,MIN(0.3,MAX(0.1,_xlpm.base+_xlpm.v))))</f>
        <v>0.22600000000000001</v>
      </c>
      <c r="I167" s="5" t="s">
        <v>139</v>
      </c>
      <c r="J167" s="5">
        <v>3</v>
      </c>
      <c r="K167" s="5">
        <v>0.17</v>
      </c>
      <c r="L167" s="5">
        <v>25</v>
      </c>
      <c r="M167" s="5">
        <v>4</v>
      </c>
      <c r="N167" s="5">
        <v>2</v>
      </c>
      <c r="O167" s="5">
        <v>2</v>
      </c>
      <c r="Q167" s="5" t="s">
        <v>34</v>
      </c>
      <c r="R167" s="5" t="s">
        <v>34</v>
      </c>
      <c r="S167" s="5" t="s">
        <v>39</v>
      </c>
      <c r="T167" s="7" t="s">
        <v>34</v>
      </c>
      <c r="U167" s="5" t="s">
        <v>580</v>
      </c>
      <c r="V167" s="7" t="s">
        <v>34</v>
      </c>
      <c r="W167" s="5" t="s">
        <v>308</v>
      </c>
      <c r="X167" s="5" t="s">
        <v>34</v>
      </c>
      <c r="Y167" s="5" t="s">
        <v>34</v>
      </c>
      <c r="Z167" s="5" t="s">
        <v>34</v>
      </c>
      <c r="AA167" s="5" t="s">
        <v>34</v>
      </c>
      <c r="AB167" s="5" t="s">
        <v>34</v>
      </c>
      <c r="AC167" s="5" t="s">
        <v>34</v>
      </c>
      <c r="AD167" s="5" t="s">
        <v>34</v>
      </c>
    </row>
    <row r="168" spans="1:30" ht="15.55" x14ac:dyDescent="0.3">
      <c r="A168" s="4">
        <v>1000000000963</v>
      </c>
      <c r="B168" s="5" t="s">
        <v>581</v>
      </c>
      <c r="C168" s="4">
        <v>3000000000567</v>
      </c>
      <c r="D168" s="5" t="s">
        <v>553</v>
      </c>
      <c r="E168" s="5" t="s">
        <v>31</v>
      </c>
      <c r="F168" s="5" t="s">
        <v>32</v>
      </c>
      <c r="G168" s="10" cm="1">
        <f t="array" ref="G168">IF(OR($A168="",$L168=""),"",_xlfn.LET(_xlpm.cat,UPPER($E168),_xlpm.wt,IFERROR(VALUE(LEFT($L168,FIND(" ",$L168&amp;" ")-1)),$L168),_xlpm.ppk,_xlfn.SWITCH(TRUE,_xlpm.cat="GAMEFOWL",62,_xlpm.cat="POULTRY",45,_xlpm.cat="SWINE",48,_xlpm.cat="HOGS",48,_xlpm.cat="RABBIT",40,45),_xlpm.code,IFERROR(VALUE(LEFT($A168,FIND(" ",$A168&amp;" ")-1)),0),_xlpm.v,1+MOD(_xlpm.code,13)/100,ROUND(_xlpm.ppk*_xlpm.wt*_xlpm.v,0)))</f>
        <v>1175</v>
      </c>
      <c r="H168" s="6" cm="1">
        <f t="array" ref="H168">IF(OR($A168="",$L168=""),"",_xlfn.LET(_xlpm.cat,UPPER($E168),_xlpm.base,_xlfn.SWITCH(TRUE,_xlpm.cat="GAMEFOWL",0.22,_xlpm.cat="POULTRY",0.18,_xlpm.cat="SWINE",0.16,_xlpm.cat="HOGS",0.16,_xlpm.cat="RABBIT",0.15,0.17),_xlpm.code,IFERROR(VALUE(LEFT($A168,FIND(" ",$A168&amp;" ")-1)),0),_xlpm.v,MOD(_xlpm.code,9)/1000,MIN(0.3,MAX(0.1,_xlpm.base+_xlpm.v))))</f>
        <v>0.161</v>
      </c>
      <c r="I168" s="5" t="s">
        <v>139</v>
      </c>
      <c r="J168" s="5">
        <v>3</v>
      </c>
      <c r="K168" s="5">
        <v>0.17</v>
      </c>
      <c r="L168" s="5">
        <v>24</v>
      </c>
      <c r="M168" s="5">
        <v>4</v>
      </c>
      <c r="N168" s="5">
        <v>2</v>
      </c>
      <c r="O168" s="5">
        <v>2</v>
      </c>
      <c r="Q168" s="5" t="s">
        <v>34</v>
      </c>
      <c r="R168" s="5" t="s">
        <v>34</v>
      </c>
      <c r="S168" s="5" t="s">
        <v>34</v>
      </c>
      <c r="T168" s="7" t="s">
        <v>34</v>
      </c>
      <c r="U168" s="5" t="s">
        <v>34</v>
      </c>
      <c r="V168" s="7" t="s">
        <v>34</v>
      </c>
      <c r="W168" s="5" t="s">
        <v>34</v>
      </c>
      <c r="X168" s="5" t="s">
        <v>34</v>
      </c>
      <c r="Y168" s="5" t="s">
        <v>34</v>
      </c>
      <c r="Z168" s="5" t="s">
        <v>34</v>
      </c>
      <c r="AA168" s="5" t="s">
        <v>34</v>
      </c>
      <c r="AB168" s="5" t="s">
        <v>34</v>
      </c>
      <c r="AC168" s="5">
        <v>6.5007125959367951</v>
      </c>
      <c r="AD168" s="5">
        <v>6.5671997113545872</v>
      </c>
    </row>
    <row r="169" spans="1:30" ht="15.55" x14ac:dyDescent="0.3">
      <c r="A169" s="4">
        <v>1000000001475</v>
      </c>
      <c r="B169" s="5" t="s">
        <v>582</v>
      </c>
      <c r="C169" s="4">
        <v>3000000000067</v>
      </c>
      <c r="D169" s="5" t="s">
        <v>277</v>
      </c>
      <c r="E169" s="5" t="s">
        <v>86</v>
      </c>
      <c r="F169" s="5" t="s">
        <v>63</v>
      </c>
      <c r="G169" s="10" cm="1">
        <f t="array" ref="G169">IF(OR($A169="",$L169=""),"",_xlfn.LET(_xlpm.cat,UPPER($E169),_xlpm.wt,IFERROR(VALUE(LEFT($L169,FIND(" ",$L169&amp;" ")-1)),$L169),_xlpm.ppk,_xlfn.SWITCH(TRUE,_xlpm.cat="GAMEFOWL",62,_xlpm.cat="POULTRY",45,_xlpm.cat="SWINE",48,_xlpm.cat="HOGS",48,_xlpm.cat="RABBIT",40,45),_xlpm.code,IFERROR(VALUE(LEFT($A169,FIND(" ",$A169&amp;" ")-1)),0),_xlpm.v,1+MOD(_xlpm.code,13)/100,ROUND(_xlpm.ppk*_xlpm.wt*_xlpm.v,0)))</f>
        <v>1659</v>
      </c>
      <c r="H169" s="6" cm="1">
        <f t="array" ref="H169">IF(OR($A169="",$L169=""),"",_xlfn.LET(_xlpm.cat,UPPER($E169),_xlpm.base,_xlfn.SWITCH(TRUE,_xlpm.cat="GAMEFOWL",0.22,_xlpm.cat="POULTRY",0.18,_xlpm.cat="SWINE",0.16,_xlpm.cat="HOGS",0.16,_xlpm.cat="RABBIT",0.15,0.17),_xlpm.code,IFERROR(VALUE(LEFT($A169,FIND(" ",$A169&amp;" ")-1)),0),_xlpm.v,MOD(_xlpm.code,9)/1000,MIN(0.3,MAX(0.1,_xlpm.base+_xlpm.v))))</f>
        <v>0.22</v>
      </c>
      <c r="I169" s="5" t="s">
        <v>139</v>
      </c>
      <c r="J169" s="5">
        <v>3</v>
      </c>
      <c r="K169" s="5">
        <v>0.17</v>
      </c>
      <c r="L169" s="5">
        <v>25</v>
      </c>
      <c r="M169" s="5">
        <v>4</v>
      </c>
      <c r="N169" s="5">
        <v>2</v>
      </c>
      <c r="O169" s="5">
        <v>2</v>
      </c>
      <c r="Q169" s="5" t="s">
        <v>34</v>
      </c>
      <c r="R169" s="5" t="s">
        <v>34</v>
      </c>
      <c r="S169" s="5" t="s">
        <v>39</v>
      </c>
      <c r="T169" s="7">
        <v>5000000000666</v>
      </c>
      <c r="U169" s="5" t="s">
        <v>583</v>
      </c>
      <c r="V169" s="7">
        <v>5000000000130</v>
      </c>
      <c r="W169" s="5" t="s">
        <v>119</v>
      </c>
      <c r="X169" s="5">
        <v>18.195462301761221</v>
      </c>
      <c r="Y169" s="5" t="s">
        <v>34</v>
      </c>
      <c r="Z169" s="5" t="s">
        <v>34</v>
      </c>
      <c r="AA169" s="5" t="s">
        <v>34</v>
      </c>
      <c r="AB169" s="5" t="s">
        <v>34</v>
      </c>
      <c r="AC169" s="5" t="s">
        <v>34</v>
      </c>
      <c r="AD169" s="5" t="s">
        <v>34</v>
      </c>
    </row>
    <row r="170" spans="1:30" ht="15.55" x14ac:dyDescent="0.3">
      <c r="A170" s="4">
        <v>1000000000978</v>
      </c>
      <c r="B170" s="5" t="s">
        <v>584</v>
      </c>
      <c r="C170" s="4">
        <v>3000000000072</v>
      </c>
      <c r="D170" s="5" t="s">
        <v>585</v>
      </c>
      <c r="E170" s="5" t="s">
        <v>86</v>
      </c>
      <c r="F170" s="5" t="s">
        <v>63</v>
      </c>
      <c r="G170" s="10" cm="1">
        <f t="array" ref="G170">IF(OR($A170="",$L170=""),"",_xlfn.LET(_xlpm.cat,UPPER($E170),_xlpm.wt,IFERROR(VALUE(LEFT($L170,FIND(" ",$L170&amp;" ")-1)),$L170),_xlpm.ppk,_xlfn.SWITCH(TRUE,_xlpm.cat="GAMEFOWL",62,_xlpm.cat="POULTRY",45,_xlpm.cat="SWINE",48,_xlpm.cat="HOGS",48,_xlpm.cat="RABBIT",40,45),_xlpm.code,IFERROR(VALUE(LEFT($A170,FIND(" ",$A170&amp;" ")-1)),0),_xlpm.v,1+MOD(_xlpm.code,13)/100,ROUND(_xlpm.ppk*_xlpm.wt*_xlpm.v,0)))</f>
        <v>1083</v>
      </c>
      <c r="H170" s="6" cm="1">
        <f t="array" ref="H170">IF(OR($A170="",$L170=""),"",_xlfn.LET(_xlpm.cat,UPPER($E170),_xlpm.base,_xlfn.SWITCH(TRUE,_xlpm.cat="GAMEFOWL",0.22,_xlpm.cat="POULTRY",0.18,_xlpm.cat="SWINE",0.16,_xlpm.cat="HOGS",0.16,_xlpm.cat="RABBIT",0.15,0.17),_xlpm.code,IFERROR(VALUE(LEFT($A170,FIND(" ",$A170&amp;" ")-1)),0),_xlpm.v,MOD(_xlpm.code,9)/1000,MIN(0.3,MAX(0.1,_xlpm.base+_xlpm.v))))</f>
        <v>0.22700000000000001</v>
      </c>
      <c r="I170" s="5" t="s">
        <v>139</v>
      </c>
      <c r="J170" s="5">
        <v>3</v>
      </c>
      <c r="K170" s="5">
        <v>0.17</v>
      </c>
      <c r="L170" s="5">
        <v>16.8</v>
      </c>
      <c r="M170" s="5">
        <v>4</v>
      </c>
      <c r="N170" s="5">
        <v>2</v>
      </c>
      <c r="O170" s="5">
        <v>2</v>
      </c>
      <c r="Q170" s="5" t="s">
        <v>34</v>
      </c>
      <c r="R170" s="5" t="s">
        <v>34</v>
      </c>
      <c r="S170" s="5" t="s">
        <v>34</v>
      </c>
      <c r="T170" s="7" t="s">
        <v>34</v>
      </c>
      <c r="U170" s="5" t="s">
        <v>34</v>
      </c>
      <c r="V170" s="7" t="s">
        <v>34</v>
      </c>
      <c r="W170" s="5" t="s">
        <v>34</v>
      </c>
      <c r="X170" s="5">
        <v>19.663669007990393</v>
      </c>
      <c r="Y170" s="5" t="s">
        <v>34</v>
      </c>
      <c r="Z170" s="5" t="s">
        <v>34</v>
      </c>
      <c r="AA170" s="5" t="s">
        <v>34</v>
      </c>
      <c r="AB170" s="5" t="s">
        <v>34</v>
      </c>
      <c r="AC170" s="5" t="s">
        <v>34</v>
      </c>
      <c r="AD170" s="5" t="s">
        <v>34</v>
      </c>
    </row>
    <row r="171" spans="1:30" ht="15.55" x14ac:dyDescent="0.3">
      <c r="A171" s="4">
        <v>3000000000057</v>
      </c>
      <c r="B171" s="5" t="s">
        <v>586</v>
      </c>
      <c r="C171" s="4">
        <v>3000000000057</v>
      </c>
      <c r="D171" s="5" t="s">
        <v>586</v>
      </c>
      <c r="E171" s="5" t="s">
        <v>86</v>
      </c>
      <c r="F171" s="5" t="s">
        <v>63</v>
      </c>
      <c r="G171" s="10" cm="1">
        <f t="array" ref="G171">IF(OR($A171="",$L171=""),"",_xlfn.LET(_xlpm.cat,UPPER($E171),_xlpm.wt,IFERROR(VALUE(LEFT($L171,FIND(" ",$L171&amp;" ")-1)),$L171),_xlpm.ppk,_xlfn.SWITCH(TRUE,_xlpm.cat="GAMEFOWL",62,_xlpm.cat="POULTRY",45,_xlpm.cat="SWINE",48,_xlpm.cat="HOGS",48,_xlpm.cat="RABBIT",40,45),_xlpm.code,IFERROR(VALUE(LEFT($A171,FIND(" ",$A171&amp;" ")-1)),0),_xlpm.v,1+MOD(_xlpm.code,13)/100,ROUND(_xlpm.ppk*_xlpm.wt*_xlpm.v,0)))</f>
        <v>3348</v>
      </c>
      <c r="H171" s="6" cm="1">
        <f t="array" ref="H171">IF(OR($A171="",$L171=""),"",_xlfn.LET(_xlpm.cat,UPPER($E171),_xlpm.base,_xlfn.SWITCH(TRUE,_xlpm.cat="GAMEFOWL",0.22,_xlpm.cat="POULTRY",0.18,_xlpm.cat="SWINE",0.16,_xlpm.cat="HOGS",0.16,_xlpm.cat="RABBIT",0.15,0.17),_xlpm.code,IFERROR(VALUE(LEFT($A171,FIND(" ",$A171&amp;" ")-1)),0),_xlpm.v,MOD(_xlpm.code,9)/1000,MIN(0.3,MAX(0.1,_xlpm.base+_xlpm.v))))</f>
        <v>0.22600000000000001</v>
      </c>
      <c r="I171" s="5" t="s">
        <v>139</v>
      </c>
      <c r="J171" s="5">
        <v>3</v>
      </c>
      <c r="K171" s="5">
        <v>0.17</v>
      </c>
      <c r="L171" s="5">
        <v>50</v>
      </c>
      <c r="M171" s="5">
        <v>4</v>
      </c>
      <c r="N171" s="5">
        <v>2</v>
      </c>
      <c r="O171" s="5">
        <v>2</v>
      </c>
      <c r="Q171" s="5" t="s">
        <v>587</v>
      </c>
      <c r="R171" s="5" t="s">
        <v>34</v>
      </c>
      <c r="S171" s="5" t="s">
        <v>39</v>
      </c>
      <c r="T171" s="7">
        <v>5000000000042</v>
      </c>
      <c r="U171" s="5" t="s">
        <v>588</v>
      </c>
      <c r="V171" s="7" t="s">
        <v>34</v>
      </c>
      <c r="W171" s="5" t="s">
        <v>308</v>
      </c>
      <c r="X171" s="5">
        <v>19.113977617489983</v>
      </c>
      <c r="Y171" s="5" t="s">
        <v>34</v>
      </c>
      <c r="Z171" s="5" t="s">
        <v>34</v>
      </c>
      <c r="AA171" s="5" t="s">
        <v>34</v>
      </c>
      <c r="AB171" s="5" t="s">
        <v>34</v>
      </c>
      <c r="AC171" s="5" t="s">
        <v>34</v>
      </c>
      <c r="AD171" s="5" t="s">
        <v>34</v>
      </c>
    </row>
    <row r="172" spans="1:30" ht="15.55" x14ac:dyDescent="0.3">
      <c r="A172" s="4">
        <v>1000000000406</v>
      </c>
      <c r="B172" s="5" t="s">
        <v>589</v>
      </c>
      <c r="C172" s="4">
        <v>3000000001127</v>
      </c>
      <c r="D172" s="5" t="s">
        <v>468</v>
      </c>
      <c r="E172" s="5" t="s">
        <v>62</v>
      </c>
      <c r="F172" s="5" t="s">
        <v>63</v>
      </c>
      <c r="G172" s="10" cm="1">
        <f t="array" ref="G172">IF(OR($A172="",$L172=""),"",_xlfn.LET(_xlpm.cat,UPPER($E172),_xlpm.wt,IFERROR(VALUE(LEFT($L172,FIND(" ",$L172&amp;" ")-1)),$L172),_xlpm.ppk,_xlfn.SWITCH(TRUE,_xlpm.cat="GAMEFOWL",62,_xlpm.cat="POULTRY",45,_xlpm.cat="SWINE",48,_xlpm.cat="HOGS",48,_xlpm.cat="RABBIT",40,45),_xlpm.code,IFERROR(VALUE(LEFT($A172,FIND(" ",$A172&amp;" ")-1)),0),_xlpm.v,1+MOD(_xlpm.code,13)/100,ROUND(_xlpm.ppk*_xlpm.wt*_xlpm.v,0)))</f>
        <v>2340</v>
      </c>
      <c r="H172" s="6" cm="1">
        <f t="array" ref="H172">IF(OR($A172="",$L172=""),"",_xlfn.LET(_xlpm.cat,UPPER($E172),_xlpm.base,_xlfn.SWITCH(TRUE,_xlpm.cat="GAMEFOWL",0.22,_xlpm.cat="POULTRY",0.18,_xlpm.cat="SWINE",0.16,_xlpm.cat="HOGS",0.16,_xlpm.cat="RABBIT",0.15,0.17),_xlpm.code,IFERROR(VALUE(LEFT($A172,FIND(" ",$A172&amp;" ")-1)),0),_xlpm.v,MOD(_xlpm.code,9)/1000,MIN(0.3,MAX(0.1,_xlpm.base+_xlpm.v))))</f>
        <v>0.182</v>
      </c>
      <c r="I172" s="5" t="s">
        <v>64</v>
      </c>
      <c r="J172" s="5">
        <v>4</v>
      </c>
      <c r="K172" s="5">
        <v>0.33</v>
      </c>
      <c r="L172" s="5">
        <v>50</v>
      </c>
      <c r="M172" s="5">
        <v>4</v>
      </c>
      <c r="N172" s="5">
        <v>2</v>
      </c>
      <c r="O172" s="5">
        <v>2</v>
      </c>
      <c r="Q172" s="5" t="s">
        <v>590</v>
      </c>
      <c r="R172" s="5" t="s">
        <v>34</v>
      </c>
      <c r="S172" s="5" t="s">
        <v>245</v>
      </c>
      <c r="T172" s="7">
        <v>5000000000557</v>
      </c>
      <c r="U172" s="5" t="s">
        <v>285</v>
      </c>
      <c r="V172" s="7">
        <v>5000000000154</v>
      </c>
      <c r="W172" s="5" t="s">
        <v>286</v>
      </c>
      <c r="X172" s="5" t="s">
        <v>34</v>
      </c>
      <c r="Y172" s="5" t="s">
        <v>34</v>
      </c>
      <c r="Z172" s="5" t="s">
        <v>34</v>
      </c>
      <c r="AA172" s="5">
        <v>8.5170149500924222</v>
      </c>
      <c r="AB172" s="5" t="s">
        <v>34</v>
      </c>
      <c r="AC172" s="5" t="s">
        <v>34</v>
      </c>
      <c r="AD172" s="5" t="s">
        <v>34</v>
      </c>
    </row>
    <row r="173" spans="1:30" ht="15.55" x14ac:dyDescent="0.3">
      <c r="A173" s="4">
        <v>1000000000137</v>
      </c>
      <c r="B173" s="5" t="s">
        <v>591</v>
      </c>
      <c r="C173" s="4">
        <v>3000000001135</v>
      </c>
      <c r="D173" s="5" t="s">
        <v>592</v>
      </c>
      <c r="E173" s="5" t="s">
        <v>62</v>
      </c>
      <c r="F173" s="5" t="s">
        <v>63</v>
      </c>
      <c r="G173" s="10" cm="1">
        <f t="array" ref="G173">IF(OR($A173="",$L173=""),"",_xlfn.LET(_xlpm.cat,UPPER($E173),_xlpm.wt,IFERROR(VALUE(LEFT($L173,FIND(" ",$L173&amp;" ")-1)),$L173),_xlpm.ppk,_xlfn.SWITCH(TRUE,_xlpm.cat="GAMEFOWL",62,_xlpm.cat="POULTRY",45,_xlpm.cat="SWINE",48,_xlpm.cat="HOGS",48,_xlpm.cat="RABBIT",40,45),_xlpm.code,IFERROR(VALUE(LEFT($A173,FIND(" ",$A173&amp;" ")-1)),0),_xlpm.v,1+MOD(_xlpm.code,13)/100,ROUND(_xlpm.ppk*_xlpm.wt*_xlpm.v,0)))</f>
        <v>2430</v>
      </c>
      <c r="H173" s="6" cm="1">
        <f t="array" ref="H173">IF(OR($A173="",$L173=""),"",_xlfn.LET(_xlpm.cat,UPPER($E173),_xlpm.base,_xlfn.SWITCH(TRUE,_xlpm.cat="GAMEFOWL",0.22,_xlpm.cat="POULTRY",0.18,_xlpm.cat="SWINE",0.16,_xlpm.cat="HOGS",0.16,_xlpm.cat="RABBIT",0.15,0.17),_xlpm.code,IFERROR(VALUE(LEFT($A173,FIND(" ",$A173&amp;" ")-1)),0),_xlpm.v,MOD(_xlpm.code,9)/1000,MIN(0.3,MAX(0.1,_xlpm.base+_xlpm.v))))</f>
        <v>0.183</v>
      </c>
      <c r="I173" s="5" t="s">
        <v>106</v>
      </c>
      <c r="J173" s="5">
        <v>3</v>
      </c>
      <c r="K173" s="5">
        <v>0.33</v>
      </c>
      <c r="L173" s="5">
        <v>50</v>
      </c>
      <c r="M173" s="5">
        <v>4</v>
      </c>
      <c r="N173" s="5">
        <v>2</v>
      </c>
      <c r="O173" s="5">
        <v>2</v>
      </c>
      <c r="Q173" s="5" t="s">
        <v>593</v>
      </c>
      <c r="R173" s="5" t="s">
        <v>34</v>
      </c>
      <c r="S173" s="5" t="s">
        <v>594</v>
      </c>
      <c r="T173" s="7">
        <v>5000000000561</v>
      </c>
      <c r="U173" s="5" t="s">
        <v>98</v>
      </c>
      <c r="V173" s="7">
        <v>5000000000125</v>
      </c>
      <c r="W173" s="5" t="s">
        <v>99</v>
      </c>
      <c r="X173" s="5" t="s">
        <v>34</v>
      </c>
      <c r="Y173" s="5" t="s">
        <v>34</v>
      </c>
      <c r="Z173" s="5" t="s">
        <v>34</v>
      </c>
      <c r="AA173" s="5" t="s">
        <v>34</v>
      </c>
      <c r="AB173" s="5" t="s">
        <v>34</v>
      </c>
      <c r="AC173" s="5" t="s">
        <v>34</v>
      </c>
      <c r="AD173" s="5" t="s">
        <v>34</v>
      </c>
    </row>
    <row r="174" spans="1:30" ht="15.55" x14ac:dyDescent="0.3">
      <c r="A174" s="4">
        <v>1000000001697</v>
      </c>
      <c r="B174" s="5" t="s">
        <v>595</v>
      </c>
      <c r="C174" s="4">
        <v>3000000000657</v>
      </c>
      <c r="D174" s="5" t="s">
        <v>596</v>
      </c>
      <c r="E174" s="5" t="s">
        <v>31</v>
      </c>
      <c r="F174" s="5" t="s">
        <v>32</v>
      </c>
      <c r="G174" s="10" cm="1">
        <f t="array" ref="G174">IF(OR($A174="",$L174=""),"",_xlfn.LET(_xlpm.cat,UPPER($E174),_xlpm.wt,IFERROR(VALUE(LEFT($L174,FIND(" ",$L174&amp;" ")-1)),$L174),_xlpm.ppk,_xlfn.SWITCH(TRUE,_xlpm.cat="GAMEFOWL",62,_xlpm.cat="POULTRY",45,_xlpm.cat="SWINE",48,_xlpm.cat="HOGS",48,_xlpm.cat="RABBIT",40,45),_xlpm.code,IFERROR(VALUE(LEFT($A174,FIND(" ",$A174&amp;" ")-1)),0),_xlpm.v,1+MOD(_xlpm.code,13)/100,ROUND(_xlpm.ppk*_xlpm.wt*_xlpm.v,0)))</f>
        <v>1296</v>
      </c>
      <c r="H174" s="6" cm="1">
        <f t="array" ref="H174">IF(OR($A174="",$L174=""),"",_xlfn.LET(_xlpm.cat,UPPER($E174),_xlpm.base,_xlfn.SWITCH(TRUE,_xlpm.cat="GAMEFOWL",0.22,_xlpm.cat="POULTRY",0.18,_xlpm.cat="SWINE",0.16,_xlpm.cat="HOGS",0.16,_xlpm.cat="RABBIT",0.15,0.17),_xlpm.code,IFERROR(VALUE(LEFT($A174,FIND(" ",$A174&amp;" ")-1)),0),_xlpm.v,MOD(_xlpm.code,9)/1000,MIN(0.3,MAX(0.1,_xlpm.base+_xlpm.v))))</f>
        <v>0.16600000000000001</v>
      </c>
      <c r="I174" s="5" t="s">
        <v>139</v>
      </c>
      <c r="J174" s="5">
        <v>3</v>
      </c>
      <c r="K174" s="5">
        <v>0.17</v>
      </c>
      <c r="L174" s="5">
        <v>25</v>
      </c>
      <c r="M174" s="5">
        <v>4</v>
      </c>
      <c r="N174" s="5">
        <v>2</v>
      </c>
      <c r="O174" s="5">
        <v>2</v>
      </c>
      <c r="Q174" s="5" t="s">
        <v>34</v>
      </c>
      <c r="R174" s="5" t="s">
        <v>597</v>
      </c>
      <c r="S174" s="5" t="s">
        <v>63</v>
      </c>
      <c r="T174" s="7">
        <v>5000000000422</v>
      </c>
      <c r="U174" s="5" t="s">
        <v>481</v>
      </c>
      <c r="V174" s="7">
        <v>5000000000478</v>
      </c>
      <c r="W174" s="5" t="s">
        <v>482</v>
      </c>
      <c r="X174" s="5" t="s">
        <v>34</v>
      </c>
      <c r="Y174" s="5" t="s">
        <v>34</v>
      </c>
      <c r="Z174" s="5" t="s">
        <v>34</v>
      </c>
      <c r="AA174" s="5" t="s">
        <v>34</v>
      </c>
      <c r="AB174" s="5" t="s">
        <v>34</v>
      </c>
      <c r="AC174" s="5">
        <v>7.6795084800000035</v>
      </c>
      <c r="AD174" s="5">
        <v>6.8756335509202451</v>
      </c>
    </row>
    <row r="175" spans="1:30" ht="15.55" x14ac:dyDescent="0.3">
      <c r="A175" s="4">
        <v>1000000001666</v>
      </c>
      <c r="B175" s="5" t="s">
        <v>598</v>
      </c>
      <c r="C175" s="4">
        <v>3000000001297</v>
      </c>
      <c r="D175" s="5" t="s">
        <v>599</v>
      </c>
      <c r="E175" s="5" t="s">
        <v>31</v>
      </c>
      <c r="F175" s="5" t="s">
        <v>32</v>
      </c>
      <c r="G175" s="10" cm="1">
        <f t="array" ref="G175">IF(OR($A175="",$L175=""),"",_xlfn.LET(_xlpm.cat,UPPER($E175),_xlpm.wt,IFERROR(VALUE(LEFT($L175,FIND(" ",$L175&amp;" ")-1)),$L175),_xlpm.ppk,_xlfn.SWITCH(TRUE,_xlpm.cat="GAMEFOWL",62,_xlpm.cat="POULTRY",45,_xlpm.cat="SWINE",48,_xlpm.cat="HOGS",48,_xlpm.cat="RABBIT",40,45),_xlpm.code,IFERROR(VALUE(LEFT($A175,FIND(" ",$A175&amp;" ")-1)),0),_xlpm.v,1+MOD(_xlpm.code,13)/100,ROUND(_xlpm.ppk*_xlpm.wt*_xlpm.v,0)))</f>
        <v>2472</v>
      </c>
      <c r="H175" s="6" cm="1">
        <f t="array" ref="H175">IF(OR($A175="",$L175=""),"",_xlfn.LET(_xlpm.cat,UPPER($E175),_xlpm.base,_xlfn.SWITCH(TRUE,_xlpm.cat="GAMEFOWL",0.22,_xlpm.cat="POULTRY",0.18,_xlpm.cat="SWINE",0.16,_xlpm.cat="HOGS",0.16,_xlpm.cat="RABBIT",0.15,0.17),_xlpm.code,IFERROR(VALUE(LEFT($A175,FIND(" ",$A175&amp;" ")-1)),0),_xlpm.v,MOD(_xlpm.code,9)/1000,MIN(0.3,MAX(0.1,_xlpm.base+_xlpm.v))))</f>
        <v>0.16200000000000001</v>
      </c>
      <c r="I175" s="5" t="s">
        <v>139</v>
      </c>
      <c r="J175" s="5">
        <v>3</v>
      </c>
      <c r="K175" s="5">
        <v>0.17</v>
      </c>
      <c r="L175" s="5">
        <v>50</v>
      </c>
      <c r="M175" s="5">
        <v>4</v>
      </c>
      <c r="N175" s="5">
        <v>2</v>
      </c>
      <c r="O175" s="5">
        <v>2</v>
      </c>
      <c r="Q175" s="5" t="s">
        <v>600</v>
      </c>
      <c r="R175" s="5" t="s">
        <v>34</v>
      </c>
      <c r="S175" s="5" t="s">
        <v>314</v>
      </c>
      <c r="T175" s="7" t="s">
        <v>34</v>
      </c>
      <c r="U175" s="5" t="s">
        <v>34</v>
      </c>
      <c r="V175" s="7" t="s">
        <v>34</v>
      </c>
      <c r="W175" s="5" t="s">
        <v>34</v>
      </c>
      <c r="X175" s="5" t="s">
        <v>34</v>
      </c>
      <c r="Y175" s="5" t="s">
        <v>34</v>
      </c>
      <c r="Z175" s="5" t="s">
        <v>34</v>
      </c>
      <c r="AA175" s="5" t="s">
        <v>34</v>
      </c>
      <c r="AB175" s="5" t="s">
        <v>34</v>
      </c>
      <c r="AC175" s="5" t="s">
        <v>34</v>
      </c>
      <c r="AD175" s="5">
        <v>7.999488000000027</v>
      </c>
    </row>
    <row r="176" spans="1:30" ht="15.55" x14ac:dyDescent="0.3">
      <c r="A176" s="4">
        <v>1000000001636</v>
      </c>
      <c r="B176" s="5" t="s">
        <v>601</v>
      </c>
      <c r="C176" s="4">
        <v>3000000001137</v>
      </c>
      <c r="D176" s="5" t="s">
        <v>602</v>
      </c>
      <c r="E176" s="5" t="s">
        <v>62</v>
      </c>
      <c r="F176" s="5" t="s">
        <v>63</v>
      </c>
      <c r="G176" s="10" cm="1">
        <f t="array" ref="G176">IF(OR($A176="",$L176=""),"",_xlfn.LET(_xlpm.cat,UPPER($E176),_xlpm.wt,IFERROR(VALUE(LEFT($L176,FIND(" ",$L176&amp;" ")-1)),$L176),_xlpm.ppk,_xlfn.SWITCH(TRUE,_xlpm.cat="GAMEFOWL",62,_xlpm.cat="POULTRY",45,_xlpm.cat="SWINE",48,_xlpm.cat="HOGS",48,_xlpm.cat="RABBIT",40,45),_xlpm.code,IFERROR(VALUE(LEFT($A176,FIND(" ",$A176&amp;" ")-1)),0),_xlpm.v,1+MOD(_xlpm.code,13)/100,ROUND(_xlpm.ppk*_xlpm.wt*_xlpm.v,0)))</f>
        <v>2520</v>
      </c>
      <c r="H176" s="6" cm="1">
        <f t="array" ref="H176">IF(OR($A176="",$L176=""),"",_xlfn.LET(_xlpm.cat,UPPER($E176),_xlpm.base,_xlfn.SWITCH(TRUE,_xlpm.cat="GAMEFOWL",0.22,_xlpm.cat="POULTRY",0.18,_xlpm.cat="SWINE",0.16,_xlpm.cat="HOGS",0.16,_xlpm.cat="RABBIT",0.15,0.17),_xlpm.code,IFERROR(VALUE(LEFT($A176,FIND(" ",$A176&amp;" ")-1)),0),_xlpm.v,MOD(_xlpm.code,9)/1000,MIN(0.3,MAX(0.1,_xlpm.base+_xlpm.v))))</f>
        <v>0.188</v>
      </c>
      <c r="I176" s="5" t="s">
        <v>106</v>
      </c>
      <c r="J176" s="5">
        <v>4</v>
      </c>
      <c r="K176" s="5">
        <v>0.33</v>
      </c>
      <c r="L176" s="5">
        <v>50</v>
      </c>
      <c r="M176" s="5">
        <v>4</v>
      </c>
      <c r="N176" s="5">
        <v>2</v>
      </c>
      <c r="O176" s="5">
        <v>2</v>
      </c>
      <c r="Q176" s="5" t="s">
        <v>603</v>
      </c>
      <c r="R176" s="5" t="s">
        <v>34</v>
      </c>
      <c r="S176" s="5" t="s">
        <v>604</v>
      </c>
      <c r="T176" s="7">
        <v>5000000000562</v>
      </c>
      <c r="U176" s="5" t="s">
        <v>108</v>
      </c>
      <c r="V176" s="7">
        <v>5000000000123</v>
      </c>
      <c r="W176" s="5" t="s">
        <v>114</v>
      </c>
      <c r="X176" s="5" t="s">
        <v>34</v>
      </c>
      <c r="Y176" s="5" t="s">
        <v>34</v>
      </c>
      <c r="Z176" s="5" t="s">
        <v>34</v>
      </c>
      <c r="AA176" s="5" t="s">
        <v>34</v>
      </c>
      <c r="AB176" s="5" t="s">
        <v>34</v>
      </c>
      <c r="AC176" s="5" t="s">
        <v>34</v>
      </c>
      <c r="AD176" s="5" t="s">
        <v>34</v>
      </c>
    </row>
    <row r="177" spans="1:30" ht="15.55" x14ac:dyDescent="0.3">
      <c r="A177" s="4">
        <v>1000000000117</v>
      </c>
      <c r="B177" s="5" t="s">
        <v>605</v>
      </c>
      <c r="C177" s="4">
        <v>3000000001123</v>
      </c>
      <c r="D177" s="5" t="s">
        <v>592</v>
      </c>
      <c r="E177" s="5" t="s">
        <v>62</v>
      </c>
      <c r="F177" s="5" t="s">
        <v>63</v>
      </c>
      <c r="G177" s="10" cm="1">
        <f t="array" ref="G177">IF(OR($A177="",$L177=""),"",_xlfn.LET(_xlpm.cat,UPPER($E177),_xlpm.wt,IFERROR(VALUE(LEFT($L177,FIND(" ",$L177&amp;" ")-1)),$L177),_xlpm.ppk,_xlfn.SWITCH(TRUE,_xlpm.cat="GAMEFOWL",62,_xlpm.cat="POULTRY",45,_xlpm.cat="SWINE",48,_xlpm.cat="HOGS",48,_xlpm.cat="RABBIT",40,45),_xlpm.code,IFERROR(VALUE(LEFT($A177,FIND(" ",$A177&amp;" ")-1)),0),_xlpm.v,1+MOD(_xlpm.code,13)/100,ROUND(_xlpm.ppk*_xlpm.wt*_xlpm.v,0)))</f>
        <v>2273</v>
      </c>
      <c r="H177" s="6" cm="1">
        <f t="array" ref="H177">IF(OR($A177="",$L177=""),"",_xlfn.LET(_xlpm.cat,UPPER($E177),_xlpm.base,_xlfn.SWITCH(TRUE,_xlpm.cat="GAMEFOWL",0.22,_xlpm.cat="POULTRY",0.18,_xlpm.cat="SWINE",0.16,_xlpm.cat="HOGS",0.16,_xlpm.cat="RABBIT",0.15,0.17),_xlpm.code,IFERROR(VALUE(LEFT($A177,FIND(" ",$A177&amp;" ")-1)),0),_xlpm.v,MOD(_xlpm.code,9)/1000,MIN(0.3,MAX(0.1,_xlpm.base+_xlpm.v))))</f>
        <v>0.18099999999999999</v>
      </c>
      <c r="I177" s="5" t="s">
        <v>106</v>
      </c>
      <c r="J177" s="5">
        <v>4</v>
      </c>
      <c r="K177" s="5">
        <v>0.33</v>
      </c>
      <c r="L177" s="5">
        <v>50</v>
      </c>
      <c r="M177" s="5">
        <v>4</v>
      </c>
      <c r="N177" s="5">
        <v>2</v>
      </c>
      <c r="O177" s="5">
        <v>2</v>
      </c>
      <c r="Q177" s="5" t="s">
        <v>606</v>
      </c>
      <c r="R177" s="5" t="s">
        <v>34</v>
      </c>
      <c r="S177" s="5" t="s">
        <v>526</v>
      </c>
      <c r="T177" s="7">
        <v>5000000000561</v>
      </c>
      <c r="U177" s="5" t="s">
        <v>98</v>
      </c>
      <c r="V177" s="7">
        <v>5000000000125</v>
      </c>
      <c r="W177" s="5" t="s">
        <v>99</v>
      </c>
      <c r="X177" s="5" t="s">
        <v>34</v>
      </c>
      <c r="Y177" s="5" t="s">
        <v>34</v>
      </c>
      <c r="Z177" s="5" t="s">
        <v>34</v>
      </c>
      <c r="AA177" s="5" t="s">
        <v>34</v>
      </c>
      <c r="AB177" s="5" t="s">
        <v>34</v>
      </c>
      <c r="AC177" s="5" t="s">
        <v>34</v>
      </c>
      <c r="AD177" s="5" t="s">
        <v>34</v>
      </c>
    </row>
    <row r="178" spans="1:30" ht="15.55" x14ac:dyDescent="0.3">
      <c r="A178" s="4">
        <v>1000000000967</v>
      </c>
      <c r="B178" s="5" t="s">
        <v>607</v>
      </c>
      <c r="C178" s="4">
        <v>3000000000190</v>
      </c>
      <c r="D178" s="5" t="s">
        <v>608</v>
      </c>
      <c r="E178" s="5" t="s">
        <v>62</v>
      </c>
      <c r="F178" s="5" t="s">
        <v>34</v>
      </c>
      <c r="G178" s="10" cm="1">
        <f t="array" ref="G178">IF(OR($A178="",$L178=""),"",_xlfn.LET(_xlpm.cat,UPPER($E178),_xlpm.wt,IFERROR(VALUE(LEFT($L178,FIND(" ",$L178&amp;" ")-1)),$L178),_xlpm.ppk,_xlfn.SWITCH(TRUE,_xlpm.cat="GAMEFOWL",62,_xlpm.cat="POULTRY",45,_xlpm.cat="SWINE",48,_xlpm.cat="HOGS",48,_xlpm.cat="RABBIT",40,45),_xlpm.code,IFERROR(VALUE(LEFT($A178,FIND(" ",$A178&amp;" ")-1)),0),_xlpm.v,1+MOD(_xlpm.code,13)/100,ROUND(_xlpm.ppk*_xlpm.wt*_xlpm.v,0)))</f>
        <v>23850</v>
      </c>
      <c r="H178" s="6" cm="1">
        <f t="array" ref="H178">IF(OR($A178="",$L178=""),"",_xlfn.LET(_xlpm.cat,UPPER($E178),_xlpm.base,_xlfn.SWITCH(TRUE,_xlpm.cat="GAMEFOWL",0.22,_xlpm.cat="POULTRY",0.18,_xlpm.cat="SWINE",0.16,_xlpm.cat="HOGS",0.16,_xlpm.cat="RABBIT",0.15,0.17),_xlpm.code,IFERROR(VALUE(LEFT($A178,FIND(" ",$A178&amp;" ")-1)),0),_xlpm.v,MOD(_xlpm.code,9)/1000,MIN(0.3,MAX(0.1,_xlpm.base+_xlpm.v))))</f>
        <v>0.185</v>
      </c>
      <c r="I178" s="5" t="s">
        <v>57</v>
      </c>
      <c r="K178" s="5">
        <v>0</v>
      </c>
      <c r="L178" s="5">
        <v>500</v>
      </c>
      <c r="M178" s="5">
        <v>4</v>
      </c>
      <c r="N178" s="5">
        <v>2</v>
      </c>
      <c r="O178" s="5">
        <v>2</v>
      </c>
      <c r="Q178" s="5" t="s">
        <v>34</v>
      </c>
      <c r="R178" s="5" t="s">
        <v>34</v>
      </c>
      <c r="S178" s="5" t="s">
        <v>39</v>
      </c>
      <c r="T178" s="7">
        <v>5000000000601</v>
      </c>
      <c r="U178" s="5" t="s">
        <v>307</v>
      </c>
      <c r="V178" s="7" t="s">
        <v>34</v>
      </c>
      <c r="W178" s="5" t="s">
        <v>34</v>
      </c>
      <c r="X178" s="5" t="s">
        <v>34</v>
      </c>
      <c r="Y178" s="5" t="s">
        <v>34</v>
      </c>
      <c r="Z178" s="5" t="s">
        <v>34</v>
      </c>
      <c r="AA178" s="5" t="s">
        <v>34</v>
      </c>
      <c r="AB178" s="5" t="s">
        <v>34</v>
      </c>
      <c r="AC178" s="5" t="s">
        <v>34</v>
      </c>
      <c r="AD178" s="5" t="s">
        <v>34</v>
      </c>
    </row>
    <row r="179" spans="1:30" ht="15.55" x14ac:dyDescent="0.3">
      <c r="A179" s="4">
        <v>1000000000984</v>
      </c>
      <c r="B179" s="5" t="s">
        <v>609</v>
      </c>
      <c r="C179" s="4">
        <v>3000000000264</v>
      </c>
      <c r="D179" s="5" t="s">
        <v>610</v>
      </c>
      <c r="E179" s="5" t="s">
        <v>62</v>
      </c>
      <c r="F179" s="5" t="s">
        <v>63</v>
      </c>
      <c r="G179" s="10" cm="1">
        <f t="array" ref="G179">IF(OR($A179="",$L179=""),"",_xlfn.LET(_xlpm.cat,UPPER($E179),_xlpm.wt,IFERROR(VALUE(LEFT($L179,FIND(" ",$L179&amp;" ")-1)),$L179),_xlpm.ppk,_xlfn.SWITCH(TRUE,_xlpm.cat="GAMEFOWL",62,_xlpm.cat="POULTRY",45,_xlpm.cat="SWINE",48,_xlpm.cat="HOGS",48,_xlpm.cat="RABBIT",40,45),_xlpm.code,IFERROR(VALUE(LEFT($A179,FIND(" ",$A179&amp;" ")-1)),0),_xlpm.v,1+MOD(_xlpm.code,13)/100,ROUND(_xlpm.ppk*_xlpm.wt*_xlpm.v,0)))</f>
        <v>2475</v>
      </c>
      <c r="H179" s="6" cm="1">
        <f t="array" ref="H179">IF(OR($A179="",$L179=""),"",_xlfn.LET(_xlpm.cat,UPPER($E179),_xlpm.base,_xlfn.SWITCH(TRUE,_xlpm.cat="GAMEFOWL",0.22,_xlpm.cat="POULTRY",0.18,_xlpm.cat="SWINE",0.16,_xlpm.cat="HOGS",0.16,_xlpm.cat="RABBIT",0.15,0.17),_xlpm.code,IFERROR(VALUE(LEFT($A179,FIND(" ",$A179&amp;" ")-1)),0),_xlpm.v,MOD(_xlpm.code,9)/1000,MIN(0.3,MAX(0.1,_xlpm.base+_xlpm.v))))</f>
        <v>0.184</v>
      </c>
      <c r="I179" s="5" t="s">
        <v>77</v>
      </c>
      <c r="J179" s="5">
        <v>4</v>
      </c>
      <c r="K179" s="5">
        <v>0.33</v>
      </c>
      <c r="L179" s="5">
        <v>50</v>
      </c>
      <c r="M179" s="5">
        <v>4</v>
      </c>
      <c r="N179" s="5">
        <v>2</v>
      </c>
      <c r="O179" s="5">
        <v>2</v>
      </c>
      <c r="Q179" s="5" t="s">
        <v>611</v>
      </c>
      <c r="R179" s="5" t="s">
        <v>34</v>
      </c>
      <c r="S179" s="5" t="s">
        <v>314</v>
      </c>
      <c r="T179" s="7">
        <v>5000000000983</v>
      </c>
      <c r="U179" s="5" t="s">
        <v>612</v>
      </c>
      <c r="V179" s="7">
        <v>5000000000117</v>
      </c>
      <c r="W179" s="5" t="s">
        <v>613</v>
      </c>
      <c r="X179" s="5" t="s">
        <v>34</v>
      </c>
      <c r="Y179" s="5" t="s">
        <v>34</v>
      </c>
      <c r="Z179" s="5">
        <v>7.3841427692307713</v>
      </c>
      <c r="AA179" s="5">
        <v>7.9994880000000048</v>
      </c>
      <c r="AB179" s="5" t="s">
        <v>34</v>
      </c>
      <c r="AC179" s="5" t="s">
        <v>34</v>
      </c>
      <c r="AD179" s="5" t="s">
        <v>34</v>
      </c>
    </row>
    <row r="180" spans="1:30" ht="15.55" x14ac:dyDescent="0.3">
      <c r="A180" s="4">
        <v>1000000001722</v>
      </c>
      <c r="B180" s="5" t="s">
        <v>614</v>
      </c>
      <c r="C180" s="4">
        <v>3000000001300</v>
      </c>
      <c r="D180" s="5" t="s">
        <v>615</v>
      </c>
      <c r="E180" s="5" t="s">
        <v>31</v>
      </c>
      <c r="F180" s="5" t="s">
        <v>32</v>
      </c>
      <c r="G180" s="10" cm="1">
        <f t="array" ref="G180">IF(OR($A180="",$L180=""),"",_xlfn.LET(_xlpm.cat,UPPER($E180),_xlpm.wt,IFERROR(VALUE(LEFT($L180,FIND(" ",$L180&amp;" ")-1)),$L180),_xlpm.ppk,_xlfn.SWITCH(TRUE,_xlpm.cat="GAMEFOWL",62,_xlpm.cat="POULTRY",45,_xlpm.cat="SWINE",48,_xlpm.cat="HOGS",48,_xlpm.cat="RABBIT",40,45),_xlpm.code,IFERROR(VALUE(LEFT($A180,FIND(" ",$A180&amp;" ")-1)),0),_xlpm.v,1+MOD(_xlpm.code,13)/100,ROUND(_xlpm.ppk*_xlpm.wt*_xlpm.v,0)))</f>
        <v>2568</v>
      </c>
      <c r="H180" s="6" cm="1">
        <f t="array" ref="H180">IF(OR($A180="",$L180=""),"",_xlfn.LET(_xlpm.cat,UPPER($E180),_xlpm.base,_xlfn.SWITCH(TRUE,_xlpm.cat="GAMEFOWL",0.22,_xlpm.cat="POULTRY",0.18,_xlpm.cat="SWINE",0.16,_xlpm.cat="HOGS",0.16,_xlpm.cat="RABBIT",0.15,0.17),_xlpm.code,IFERROR(VALUE(LEFT($A180,FIND(" ",$A180&amp;" ")-1)),0),_xlpm.v,MOD(_xlpm.code,9)/1000,MIN(0.3,MAX(0.1,_xlpm.base+_xlpm.v))))</f>
        <v>0.16400000000000001</v>
      </c>
      <c r="I180" s="5" t="s">
        <v>48</v>
      </c>
      <c r="J180" s="5">
        <v>3</v>
      </c>
      <c r="K180" s="5">
        <v>0.17</v>
      </c>
      <c r="L180" s="5">
        <v>50</v>
      </c>
      <c r="M180" s="5">
        <v>4</v>
      </c>
      <c r="N180" s="5">
        <v>2</v>
      </c>
      <c r="O180" s="5">
        <v>2</v>
      </c>
      <c r="Q180" s="5" t="s">
        <v>34</v>
      </c>
      <c r="R180" s="5" t="s">
        <v>616</v>
      </c>
      <c r="S180" s="5" t="s">
        <v>314</v>
      </c>
      <c r="T180" s="7">
        <v>5000000000419</v>
      </c>
      <c r="U180" s="5" t="s">
        <v>408</v>
      </c>
      <c r="V180" s="7">
        <v>5000000000477</v>
      </c>
      <c r="W180" s="5" t="s">
        <v>409</v>
      </c>
      <c r="X180" s="5">
        <v>19.029619030837011</v>
      </c>
      <c r="Y180" s="5" t="s">
        <v>34</v>
      </c>
      <c r="Z180" s="5" t="s">
        <v>34</v>
      </c>
      <c r="AA180" s="5" t="s">
        <v>34</v>
      </c>
      <c r="AB180" s="5" t="s">
        <v>34</v>
      </c>
      <c r="AC180" s="5" t="s">
        <v>34</v>
      </c>
      <c r="AD180" s="5" t="s">
        <v>34</v>
      </c>
    </row>
    <row r="181" spans="1:30" ht="15.55" x14ac:dyDescent="0.3">
      <c r="A181" s="4">
        <v>1000000001723</v>
      </c>
      <c r="B181" s="5" t="s">
        <v>617</v>
      </c>
      <c r="C181" s="4">
        <v>3000000001302</v>
      </c>
      <c r="D181" s="5" t="s">
        <v>618</v>
      </c>
      <c r="E181" s="5" t="s">
        <v>31</v>
      </c>
      <c r="F181" s="5" t="s">
        <v>32</v>
      </c>
      <c r="G181" s="10" cm="1">
        <f t="array" ref="G181">IF(OR($A181="",$L181=""),"",_xlfn.LET(_xlpm.cat,UPPER($E181),_xlpm.wt,IFERROR(VALUE(LEFT($L181,FIND(" ",$L181&amp;" ")-1)),$L181),_xlpm.ppk,_xlfn.SWITCH(TRUE,_xlpm.cat="GAMEFOWL",62,_xlpm.cat="POULTRY",45,_xlpm.cat="SWINE",48,_xlpm.cat="HOGS",48,_xlpm.cat="RABBIT",40,45),_xlpm.code,IFERROR(VALUE(LEFT($A181,FIND(" ",$A181&amp;" ")-1)),0),_xlpm.v,1+MOD(_xlpm.code,13)/100,ROUND(_xlpm.ppk*_xlpm.wt*_xlpm.v,0)))</f>
        <v>2592</v>
      </c>
      <c r="H181" s="6" cm="1">
        <f t="array" ref="H181">IF(OR($A181="",$L181=""),"",_xlfn.LET(_xlpm.cat,UPPER($E181),_xlpm.base,_xlfn.SWITCH(TRUE,_xlpm.cat="GAMEFOWL",0.22,_xlpm.cat="POULTRY",0.18,_xlpm.cat="SWINE",0.16,_xlpm.cat="HOGS",0.16,_xlpm.cat="RABBIT",0.15,0.17),_xlpm.code,IFERROR(VALUE(LEFT($A181,FIND(" ",$A181&amp;" ")-1)),0),_xlpm.v,MOD(_xlpm.code,9)/1000,MIN(0.3,MAX(0.1,_xlpm.base+_xlpm.v))))</f>
        <v>0.16500000000000001</v>
      </c>
      <c r="I181" s="5" t="s">
        <v>48</v>
      </c>
      <c r="J181" s="5">
        <v>3</v>
      </c>
      <c r="K181" s="5">
        <v>0.17</v>
      </c>
      <c r="L181" s="5">
        <v>50</v>
      </c>
      <c r="M181" s="5">
        <v>4</v>
      </c>
      <c r="N181" s="5">
        <v>2</v>
      </c>
      <c r="O181" s="5">
        <v>2</v>
      </c>
      <c r="Q181" s="5" t="s">
        <v>34</v>
      </c>
      <c r="R181" s="5" t="s">
        <v>34</v>
      </c>
      <c r="S181" s="5" t="s">
        <v>113</v>
      </c>
      <c r="T181" s="7">
        <v>5000000000419</v>
      </c>
      <c r="U181" s="5" t="s">
        <v>619</v>
      </c>
      <c r="V181" s="7">
        <v>5000000000477</v>
      </c>
      <c r="W181" s="5" t="s">
        <v>620</v>
      </c>
      <c r="X181" s="5">
        <v>19.427632986389106</v>
      </c>
      <c r="Y181" s="5">
        <v>20.500482510023637</v>
      </c>
      <c r="Z181" s="5" t="s">
        <v>34</v>
      </c>
      <c r="AA181" s="5" t="s">
        <v>34</v>
      </c>
      <c r="AB181" s="5" t="s">
        <v>34</v>
      </c>
      <c r="AC181" s="5" t="s">
        <v>34</v>
      </c>
      <c r="AD181" s="5">
        <v>7.0239406829268267</v>
      </c>
    </row>
    <row r="182" spans="1:30" ht="15.55" x14ac:dyDescent="0.3">
      <c r="A182" s="4">
        <v>1000000001404</v>
      </c>
      <c r="B182" s="5" t="s">
        <v>621</v>
      </c>
      <c r="C182" s="4">
        <v>3000000001118</v>
      </c>
      <c r="D182" s="5" t="s">
        <v>622</v>
      </c>
      <c r="E182" s="5" t="s">
        <v>31</v>
      </c>
      <c r="F182" s="5" t="s">
        <v>34</v>
      </c>
      <c r="G182" s="10" cm="1">
        <f t="array" ref="G182">IF(OR($A182="",$L182=""),"",_xlfn.LET(_xlpm.cat,UPPER($E182),_xlpm.wt,IFERROR(VALUE(LEFT($L182,FIND(" ",$L182&amp;" ")-1)),$L182),_xlpm.ppk,_xlfn.SWITCH(TRUE,_xlpm.cat="GAMEFOWL",62,_xlpm.cat="POULTRY",45,_xlpm.cat="SWINE",48,_xlpm.cat="HOGS",48,_xlpm.cat="RABBIT",40,45),_xlpm.code,IFERROR(VALUE(LEFT($A182,FIND(" ",$A182&amp;" ")-1)),0),_xlpm.v,1+MOD(_xlpm.code,13)/100,ROUND(_xlpm.ppk*_xlpm.wt*_xlpm.v,0)))</f>
        <v>2424</v>
      </c>
      <c r="H182" s="6" cm="1">
        <f t="array" ref="H182">IF(OR($A182="",$L182=""),"",_xlfn.LET(_xlpm.cat,UPPER($E182),_xlpm.base,_xlfn.SWITCH(TRUE,_xlpm.cat="GAMEFOWL",0.22,_xlpm.cat="POULTRY",0.18,_xlpm.cat="SWINE",0.16,_xlpm.cat="HOGS",0.16,_xlpm.cat="RABBIT",0.15,0.17),_xlpm.code,IFERROR(VALUE(LEFT($A182,FIND(" ",$A182&amp;" ")-1)),0),_xlpm.v,MOD(_xlpm.code,9)/1000,MIN(0.3,MAX(0.1,_xlpm.base+_xlpm.v))))</f>
        <v>0.161</v>
      </c>
      <c r="I182" s="5" t="s">
        <v>57</v>
      </c>
      <c r="K182" s="5">
        <v>0</v>
      </c>
      <c r="L182" s="5">
        <v>50</v>
      </c>
      <c r="M182" s="5">
        <v>4</v>
      </c>
      <c r="N182" s="5">
        <v>2</v>
      </c>
      <c r="O182" s="5">
        <v>2</v>
      </c>
      <c r="Q182" s="5">
        <v>1404</v>
      </c>
      <c r="R182" s="5" t="s">
        <v>34</v>
      </c>
      <c r="S182" s="5" t="s">
        <v>604</v>
      </c>
      <c r="T182" s="7">
        <v>5000000000053</v>
      </c>
      <c r="U182" s="5" t="s">
        <v>363</v>
      </c>
      <c r="V182" s="7">
        <v>5000000000112</v>
      </c>
      <c r="W182" s="5" t="s">
        <v>623</v>
      </c>
      <c r="X182" s="5" t="s">
        <v>34</v>
      </c>
      <c r="Y182" s="5" t="s">
        <v>34</v>
      </c>
      <c r="Z182" s="5" t="s">
        <v>34</v>
      </c>
      <c r="AA182" s="5" t="s">
        <v>34</v>
      </c>
      <c r="AB182" s="5" t="s">
        <v>34</v>
      </c>
      <c r="AC182" s="5" t="s">
        <v>34</v>
      </c>
      <c r="AD182" s="5" t="s">
        <v>34</v>
      </c>
    </row>
    <row r="183" spans="1:30" ht="15.55" x14ac:dyDescent="0.3">
      <c r="A183" s="4">
        <v>1000000001716</v>
      </c>
      <c r="B183" s="5" t="s">
        <v>624</v>
      </c>
      <c r="C183" s="4">
        <v>3000000001304</v>
      </c>
      <c r="D183" s="5" t="s">
        <v>625</v>
      </c>
      <c r="E183" s="5" t="s">
        <v>31</v>
      </c>
      <c r="F183" s="5" t="s">
        <v>32</v>
      </c>
      <c r="G183" s="10" cm="1">
        <f t="array" ref="G183">IF(OR($A183="",$L183=""),"",_xlfn.LET(_xlpm.cat,UPPER($E183),_xlpm.wt,IFERROR(VALUE(LEFT($L183,FIND(" ",$L183&amp;" ")-1)),$L183),_xlpm.ppk,_xlfn.SWITCH(TRUE,_xlpm.cat="GAMEFOWL",62,_xlpm.cat="POULTRY",45,_xlpm.cat="SWINE",48,_xlpm.cat="HOGS",48,_xlpm.cat="RABBIT",40,45),_xlpm.code,IFERROR(VALUE(LEFT($A183,FIND(" ",$A183&amp;" ")-1)),0),_xlpm.v,1+MOD(_xlpm.code,13)/100,ROUND(_xlpm.ppk*_xlpm.wt*_xlpm.v,0)))</f>
        <v>2424</v>
      </c>
      <c r="H183" s="6" cm="1">
        <f t="array" ref="H183">IF(OR($A183="",$L183=""),"",_xlfn.LET(_xlpm.cat,UPPER($E183),_xlpm.base,_xlfn.SWITCH(TRUE,_xlpm.cat="GAMEFOWL",0.22,_xlpm.cat="POULTRY",0.18,_xlpm.cat="SWINE",0.16,_xlpm.cat="HOGS",0.16,_xlpm.cat="RABBIT",0.15,0.17),_xlpm.code,IFERROR(VALUE(LEFT($A183,FIND(" ",$A183&amp;" ")-1)),0),_xlpm.v,MOD(_xlpm.code,9)/1000,MIN(0.3,MAX(0.1,_xlpm.base+_xlpm.v))))</f>
        <v>0.16700000000000001</v>
      </c>
      <c r="I183" s="5" t="s">
        <v>33</v>
      </c>
      <c r="J183" s="5">
        <v>4</v>
      </c>
      <c r="K183" s="5">
        <v>0.17</v>
      </c>
      <c r="L183" s="5">
        <v>50</v>
      </c>
      <c r="M183" s="5">
        <v>4</v>
      </c>
      <c r="N183" s="5">
        <v>2</v>
      </c>
      <c r="O183" s="5">
        <v>2</v>
      </c>
      <c r="Q183" s="5" t="s">
        <v>626</v>
      </c>
      <c r="R183" s="5" t="s">
        <v>627</v>
      </c>
      <c r="S183" s="5" t="s">
        <v>314</v>
      </c>
      <c r="T183" s="7" t="s">
        <v>34</v>
      </c>
      <c r="U183" s="5" t="s">
        <v>34</v>
      </c>
      <c r="V183" s="7">
        <v>5000000000476</v>
      </c>
      <c r="W183" s="5" t="s">
        <v>414</v>
      </c>
      <c r="X183" s="5" t="s">
        <v>34</v>
      </c>
      <c r="Y183" s="5">
        <v>20.078396175298717</v>
      </c>
      <c r="Z183" s="5" t="s">
        <v>34</v>
      </c>
      <c r="AA183" s="5" t="s">
        <v>34</v>
      </c>
      <c r="AB183" s="5" t="s">
        <v>34</v>
      </c>
      <c r="AC183" s="5" t="s">
        <v>34</v>
      </c>
      <c r="AD183" s="5" t="s">
        <v>34</v>
      </c>
    </row>
    <row r="184" spans="1:30" ht="15.55" x14ac:dyDescent="0.3">
      <c r="A184" s="4">
        <v>1000000001715</v>
      </c>
      <c r="B184" s="5" t="s">
        <v>628</v>
      </c>
      <c r="C184" s="4">
        <v>3000000001306</v>
      </c>
      <c r="D184" s="5" t="s">
        <v>629</v>
      </c>
      <c r="E184" s="5" t="s">
        <v>31</v>
      </c>
      <c r="F184" s="5" t="s">
        <v>32</v>
      </c>
      <c r="G184" s="10" cm="1">
        <f t="array" ref="G184">IF(OR($A184="",$L184=""),"",_xlfn.LET(_xlpm.cat,UPPER($E184),_xlpm.wt,IFERROR(VALUE(LEFT($L184,FIND(" ",$L184&amp;" ")-1)),$L184),_xlpm.ppk,_xlfn.SWITCH(TRUE,_xlpm.cat="GAMEFOWL",62,_xlpm.cat="POULTRY",45,_xlpm.cat="SWINE",48,_xlpm.cat="HOGS",48,_xlpm.cat="RABBIT",40,45),_xlpm.code,IFERROR(VALUE(LEFT($A184,FIND(" ",$A184&amp;" ")-1)),0),_xlpm.v,1+MOD(_xlpm.code,13)/100,ROUND(_xlpm.ppk*_xlpm.wt*_xlpm.v,0)))</f>
        <v>2400</v>
      </c>
      <c r="H184" s="6" cm="1">
        <f t="array" ref="H184">IF(OR($A184="",$L184=""),"",_xlfn.LET(_xlpm.cat,UPPER($E184),_xlpm.base,_xlfn.SWITCH(TRUE,_xlpm.cat="GAMEFOWL",0.22,_xlpm.cat="POULTRY",0.18,_xlpm.cat="SWINE",0.16,_xlpm.cat="HOGS",0.16,_xlpm.cat="RABBIT",0.15,0.17),_xlpm.code,IFERROR(VALUE(LEFT($A184,FIND(" ",$A184&amp;" ")-1)),0),_xlpm.v,MOD(_xlpm.code,9)/1000,MIN(0.3,MAX(0.1,_xlpm.base+_xlpm.v))))</f>
        <v>0.16600000000000001</v>
      </c>
      <c r="I184" s="5" t="s">
        <v>33</v>
      </c>
      <c r="J184" s="5">
        <v>4</v>
      </c>
      <c r="K184" s="5">
        <v>0.17</v>
      </c>
      <c r="L184" s="5">
        <v>50</v>
      </c>
      <c r="M184" s="5">
        <v>4</v>
      </c>
      <c r="N184" s="5">
        <v>2</v>
      </c>
      <c r="O184" s="5">
        <v>2</v>
      </c>
      <c r="Q184" s="5" t="s">
        <v>626</v>
      </c>
      <c r="R184" s="5" t="s">
        <v>630</v>
      </c>
      <c r="S184" s="5" t="s">
        <v>314</v>
      </c>
      <c r="T184" s="7" t="s">
        <v>34</v>
      </c>
      <c r="U184" s="5" t="s">
        <v>34</v>
      </c>
      <c r="V184" s="7">
        <v>5000000000475</v>
      </c>
      <c r="W184" s="5" t="s">
        <v>375</v>
      </c>
      <c r="X184" s="5" t="s">
        <v>34</v>
      </c>
      <c r="Y184" s="5">
        <v>20.180696143888238</v>
      </c>
      <c r="Z184" s="5" t="s">
        <v>34</v>
      </c>
      <c r="AA184" s="5" t="s">
        <v>34</v>
      </c>
      <c r="AB184" s="5" t="s">
        <v>34</v>
      </c>
      <c r="AC184" s="5" t="s">
        <v>34</v>
      </c>
      <c r="AD184" s="5" t="s">
        <v>34</v>
      </c>
    </row>
    <row r="185" spans="1:30" ht="15.55" x14ac:dyDescent="0.3">
      <c r="A185" s="4">
        <v>1000000001714</v>
      </c>
      <c r="B185" s="5" t="s">
        <v>631</v>
      </c>
      <c r="C185" s="4">
        <v>3000000001308</v>
      </c>
      <c r="D185" s="5" t="s">
        <v>632</v>
      </c>
      <c r="E185" s="5" t="s">
        <v>31</v>
      </c>
      <c r="F185" s="5" t="s">
        <v>32</v>
      </c>
      <c r="G185" s="10" cm="1">
        <f t="array" ref="G185">IF(OR($A185="",$L185=""),"",_xlfn.LET(_xlpm.cat,UPPER($E185),_xlpm.wt,IFERROR(VALUE(LEFT($L185,FIND(" ",$L185&amp;" ")-1)),$L185),_xlpm.ppk,_xlfn.SWITCH(TRUE,_xlpm.cat="GAMEFOWL",62,_xlpm.cat="POULTRY",45,_xlpm.cat="SWINE",48,_xlpm.cat="HOGS",48,_xlpm.cat="RABBIT",40,45),_xlpm.code,IFERROR(VALUE(LEFT($A185,FIND(" ",$A185&amp;" ")-1)),0),_xlpm.v,1+MOD(_xlpm.code,13)/100,ROUND(_xlpm.ppk*_xlpm.wt*_xlpm.v,0)))</f>
        <v>2688</v>
      </c>
      <c r="H185" s="6" cm="1">
        <f t="array" ref="H185">IF(OR($A185="",$L185=""),"",_xlfn.LET(_xlpm.cat,UPPER($E185),_xlpm.base,_xlfn.SWITCH(TRUE,_xlpm.cat="GAMEFOWL",0.22,_xlpm.cat="POULTRY",0.18,_xlpm.cat="SWINE",0.16,_xlpm.cat="HOGS",0.16,_xlpm.cat="RABBIT",0.15,0.17),_xlpm.code,IFERROR(VALUE(LEFT($A185,FIND(" ",$A185&amp;" ")-1)),0),_xlpm.v,MOD(_xlpm.code,9)/1000,MIN(0.3,MAX(0.1,_xlpm.base+_xlpm.v))))</f>
        <v>0.16500000000000001</v>
      </c>
      <c r="I185" s="5" t="s">
        <v>33</v>
      </c>
      <c r="J185" s="5">
        <v>4</v>
      </c>
      <c r="K185" s="5">
        <v>0.17</v>
      </c>
      <c r="L185" s="5">
        <v>50</v>
      </c>
      <c r="M185" s="5">
        <v>4</v>
      </c>
      <c r="N185" s="5">
        <v>2</v>
      </c>
      <c r="O185" s="5">
        <v>2</v>
      </c>
      <c r="Q185" s="5" t="s">
        <v>633</v>
      </c>
      <c r="R185" s="5" t="s">
        <v>34</v>
      </c>
      <c r="S185" s="5" t="s">
        <v>314</v>
      </c>
      <c r="T185" s="7" t="s">
        <v>34</v>
      </c>
      <c r="U185" s="5" t="s">
        <v>34</v>
      </c>
      <c r="V185" s="7" t="s">
        <v>34</v>
      </c>
      <c r="W185" s="5" t="s">
        <v>34</v>
      </c>
      <c r="X185" s="5" t="s">
        <v>34</v>
      </c>
      <c r="Y185" s="5">
        <v>20.071514811383182</v>
      </c>
      <c r="Z185" s="5" t="s">
        <v>34</v>
      </c>
      <c r="AA185" s="5" t="s">
        <v>34</v>
      </c>
      <c r="AB185" s="5" t="s">
        <v>34</v>
      </c>
      <c r="AC185" s="5" t="s">
        <v>34</v>
      </c>
      <c r="AD185" s="5" t="s">
        <v>34</v>
      </c>
    </row>
    <row r="186" spans="1:30" ht="15.55" x14ac:dyDescent="0.3">
      <c r="A186" s="4">
        <v>1000000002338</v>
      </c>
      <c r="B186" s="5" t="s">
        <v>634</v>
      </c>
      <c r="C186" s="4">
        <v>3000000001517</v>
      </c>
      <c r="D186" s="5" t="s">
        <v>635</v>
      </c>
      <c r="E186" s="5" t="s">
        <v>62</v>
      </c>
      <c r="F186" s="5" t="s">
        <v>34</v>
      </c>
      <c r="G186" s="10" cm="1">
        <f t="array" ref="G186">IF(OR($A186="",$L186=""),"",_xlfn.LET(_xlpm.cat,UPPER($E186),_xlpm.wt,IFERROR(VALUE(LEFT($L186,FIND(" ",$L186&amp;" ")-1)),$L186),_xlpm.ppk,_xlfn.SWITCH(TRUE,_xlpm.cat="GAMEFOWL",62,_xlpm.cat="POULTRY",45,_xlpm.cat="SWINE",48,_xlpm.cat="HOGS",48,_xlpm.cat="RABBIT",40,45),_xlpm.code,IFERROR(VALUE(LEFT($A186,FIND(" ",$A186&amp;" ")-1)),0),_xlpm.v,1+MOD(_xlpm.code,13)/100,ROUND(_xlpm.ppk*_xlpm.wt*_xlpm.v,0)))</f>
        <v>2520</v>
      </c>
      <c r="H186" s="6" cm="1">
        <f t="array" ref="H186">IF(OR($A186="",$L186=""),"",_xlfn.LET(_xlpm.cat,UPPER($E186),_xlpm.base,_xlfn.SWITCH(TRUE,_xlpm.cat="GAMEFOWL",0.22,_xlpm.cat="POULTRY",0.18,_xlpm.cat="SWINE",0.16,_xlpm.cat="HOGS",0.16,_xlpm.cat="RABBIT",0.15,0.17),_xlpm.code,IFERROR(VALUE(LEFT($A186,FIND(" ",$A186&amp;" ")-1)),0),_xlpm.v,MOD(_xlpm.code,9)/1000,MIN(0.3,MAX(0.1,_xlpm.base+_xlpm.v))))</f>
        <v>0.188</v>
      </c>
      <c r="I186" s="5" t="s">
        <v>57</v>
      </c>
      <c r="K186" s="5">
        <v>0</v>
      </c>
      <c r="L186" s="5">
        <v>50</v>
      </c>
      <c r="M186" s="5">
        <v>4</v>
      </c>
      <c r="N186" s="5">
        <v>2</v>
      </c>
      <c r="O186" s="5">
        <v>2</v>
      </c>
      <c r="Q186" s="5" t="s">
        <v>636</v>
      </c>
      <c r="R186" s="5" t="s">
        <v>34</v>
      </c>
      <c r="S186" s="5" t="s">
        <v>637</v>
      </c>
      <c r="T186" s="7">
        <v>5000000000564</v>
      </c>
      <c r="U186" s="5" t="s">
        <v>102</v>
      </c>
      <c r="V186" s="7">
        <v>5000000000116</v>
      </c>
      <c r="W186" s="5" t="s">
        <v>103</v>
      </c>
      <c r="X186" s="5" t="s">
        <v>34</v>
      </c>
      <c r="Y186" s="5" t="s">
        <v>34</v>
      </c>
      <c r="Z186" s="5" t="s">
        <v>34</v>
      </c>
      <c r="AA186" s="5" t="s">
        <v>34</v>
      </c>
      <c r="AB186" s="5" t="s">
        <v>34</v>
      </c>
      <c r="AC186" s="5" t="s">
        <v>34</v>
      </c>
      <c r="AD186" s="5" t="s">
        <v>34</v>
      </c>
    </row>
    <row r="187" spans="1:30" ht="15.55" x14ac:dyDescent="0.3">
      <c r="A187" s="4">
        <v>1000000002339</v>
      </c>
      <c r="B187" s="5" t="s">
        <v>638</v>
      </c>
      <c r="C187" s="4">
        <v>3000000001518</v>
      </c>
      <c r="D187" s="5" t="s">
        <v>639</v>
      </c>
      <c r="E187" s="5" t="s">
        <v>62</v>
      </c>
      <c r="F187" s="5" t="s">
        <v>34</v>
      </c>
      <c r="G187" s="10" cm="1">
        <f t="array" ref="G187">IF(OR($A187="",$L187=""),"",_xlfn.LET(_xlpm.cat,UPPER($E187),_xlpm.wt,IFERROR(VALUE(LEFT($L187,FIND(" ",$L187&amp;" ")-1)),$L187),_xlpm.ppk,_xlfn.SWITCH(TRUE,_xlpm.cat="GAMEFOWL",62,_xlpm.cat="POULTRY",45,_xlpm.cat="SWINE",48,_xlpm.cat="HOGS",48,_xlpm.cat="RABBIT",40,45),_xlpm.code,IFERROR(VALUE(LEFT($A187,FIND(" ",$A187&amp;" ")-1)),0),_xlpm.v,1+MOD(_xlpm.code,13)/100,ROUND(_xlpm.ppk*_xlpm.wt*_xlpm.v,0)))</f>
        <v>2250</v>
      </c>
      <c r="H187" s="6" cm="1">
        <f t="array" ref="H187">IF(OR($A187="",$L187=""),"",_xlfn.LET(_xlpm.cat,UPPER($E187),_xlpm.base,_xlfn.SWITCH(TRUE,_xlpm.cat="GAMEFOWL",0.22,_xlpm.cat="POULTRY",0.18,_xlpm.cat="SWINE",0.16,_xlpm.cat="HOGS",0.16,_xlpm.cat="RABBIT",0.15,0.17),_xlpm.code,IFERROR(VALUE(LEFT($A187,FIND(" ",$A187&amp;" ")-1)),0),_xlpm.v,MOD(_xlpm.code,9)/1000,MIN(0.3,MAX(0.1,_xlpm.base+_xlpm.v))))</f>
        <v>0.18</v>
      </c>
      <c r="I187" s="5" t="s">
        <v>57</v>
      </c>
      <c r="K187" s="5">
        <v>0</v>
      </c>
      <c r="L187" s="5">
        <v>50</v>
      </c>
      <c r="M187" s="5">
        <v>4</v>
      </c>
      <c r="N187" s="5">
        <v>2</v>
      </c>
      <c r="O187" s="5">
        <v>2</v>
      </c>
      <c r="Q187" s="5" t="s">
        <v>640</v>
      </c>
      <c r="R187" s="5" t="s">
        <v>34</v>
      </c>
      <c r="S187" s="5" t="s">
        <v>637</v>
      </c>
      <c r="T187" s="7">
        <v>5000000000565</v>
      </c>
      <c r="U187" s="5" t="s">
        <v>223</v>
      </c>
      <c r="V187" s="7">
        <v>5000000000117</v>
      </c>
      <c r="W187" s="5" t="s">
        <v>224</v>
      </c>
      <c r="X187" s="5" t="s">
        <v>34</v>
      </c>
      <c r="Y187" s="5" t="s">
        <v>34</v>
      </c>
      <c r="Z187" s="5" t="s">
        <v>34</v>
      </c>
      <c r="AA187" s="5" t="s">
        <v>34</v>
      </c>
      <c r="AB187" s="5" t="s">
        <v>34</v>
      </c>
      <c r="AC187" s="5" t="s">
        <v>34</v>
      </c>
      <c r="AD187" s="5" t="s">
        <v>34</v>
      </c>
    </row>
    <row r="188" spans="1:30" ht="15.55" x14ac:dyDescent="0.3">
      <c r="A188" s="4">
        <v>1000000002340</v>
      </c>
      <c r="B188" s="5" t="s">
        <v>641</v>
      </c>
      <c r="C188" s="4">
        <v>3000000001519</v>
      </c>
      <c r="D188" s="5" t="s">
        <v>642</v>
      </c>
      <c r="E188" s="5" t="s">
        <v>62</v>
      </c>
      <c r="F188" s="5" t="s">
        <v>34</v>
      </c>
      <c r="G188" s="10" cm="1">
        <f t="array" ref="G188">IF(OR($A188="",$L188=""),"",_xlfn.LET(_xlpm.cat,UPPER($E188),_xlpm.wt,IFERROR(VALUE(LEFT($L188,FIND(" ",$L188&amp;" ")-1)),$L188),_xlpm.ppk,_xlfn.SWITCH(TRUE,_xlpm.cat="GAMEFOWL",62,_xlpm.cat="POULTRY",45,_xlpm.cat="SWINE",48,_xlpm.cat="HOGS",48,_xlpm.cat="RABBIT",40,45),_xlpm.code,IFERROR(VALUE(LEFT($A188,FIND(" ",$A188&amp;" ")-1)),0),_xlpm.v,1+MOD(_xlpm.code,13)/100,ROUND(_xlpm.ppk*_xlpm.wt*_xlpm.v,0)))</f>
        <v>2273</v>
      </c>
      <c r="H188" s="6" cm="1">
        <f t="array" ref="H188">IF(OR($A188="",$L188=""),"",_xlfn.LET(_xlpm.cat,UPPER($E188),_xlpm.base,_xlfn.SWITCH(TRUE,_xlpm.cat="GAMEFOWL",0.22,_xlpm.cat="POULTRY",0.18,_xlpm.cat="SWINE",0.16,_xlpm.cat="HOGS",0.16,_xlpm.cat="RABBIT",0.15,0.17),_xlpm.code,IFERROR(VALUE(LEFT($A188,FIND(" ",$A188&amp;" ")-1)),0),_xlpm.v,MOD(_xlpm.code,9)/1000,MIN(0.3,MAX(0.1,_xlpm.base+_xlpm.v))))</f>
        <v>0.18099999999999999</v>
      </c>
      <c r="I188" s="5" t="s">
        <v>57</v>
      </c>
      <c r="K188" s="5">
        <v>0</v>
      </c>
      <c r="L188" s="5">
        <v>50</v>
      </c>
      <c r="M188" s="5">
        <v>4</v>
      </c>
      <c r="N188" s="5">
        <v>2</v>
      </c>
      <c r="O188" s="5">
        <v>2</v>
      </c>
      <c r="Q188" s="5" t="s">
        <v>643</v>
      </c>
      <c r="R188" s="5" t="s">
        <v>34</v>
      </c>
      <c r="S188" s="5" t="s">
        <v>637</v>
      </c>
      <c r="T188" s="7">
        <v>5000000000610</v>
      </c>
      <c r="U188" s="5" t="s">
        <v>527</v>
      </c>
      <c r="V188" s="7">
        <v>5000000000116</v>
      </c>
      <c r="W188" s="5" t="s">
        <v>103</v>
      </c>
      <c r="X188" s="5" t="s">
        <v>34</v>
      </c>
      <c r="Y188" s="5" t="s">
        <v>34</v>
      </c>
      <c r="Z188" s="5" t="s">
        <v>34</v>
      </c>
      <c r="AA188" s="5" t="s">
        <v>34</v>
      </c>
      <c r="AB188" s="5" t="s">
        <v>34</v>
      </c>
      <c r="AC188" s="5" t="s">
        <v>34</v>
      </c>
      <c r="AD188" s="5" t="s">
        <v>34</v>
      </c>
    </row>
    <row r="189" spans="1:30" ht="15.55" x14ac:dyDescent="0.3">
      <c r="A189" s="4">
        <v>1000000002335</v>
      </c>
      <c r="B189" s="5" t="s">
        <v>644</v>
      </c>
      <c r="C189" s="4">
        <v>3000000001516</v>
      </c>
      <c r="D189" s="5" t="s">
        <v>645</v>
      </c>
      <c r="E189" s="5" t="s">
        <v>62</v>
      </c>
      <c r="F189" s="5" t="s">
        <v>63</v>
      </c>
      <c r="G189" s="10" cm="1">
        <f t="array" ref="G189">IF(OR($A189="",$L189=""),"",_xlfn.LET(_xlpm.cat,UPPER($E189),_xlpm.wt,IFERROR(VALUE(LEFT($L189,FIND(" ",$L189&amp;" ")-1)),$L189),_xlpm.ppk,_xlfn.SWITCH(TRUE,_xlpm.cat="GAMEFOWL",62,_xlpm.cat="POULTRY",45,_xlpm.cat="SWINE",48,_xlpm.cat="HOGS",48,_xlpm.cat="RABBIT",40,45),_xlpm.code,IFERROR(VALUE(LEFT($A189,FIND(" ",$A189&amp;" ")-1)),0),_xlpm.v,1+MOD(_xlpm.code,13)/100,ROUND(_xlpm.ppk*_xlpm.wt*_xlpm.v,0)))</f>
        <v>2453</v>
      </c>
      <c r="H189" s="6" cm="1">
        <f t="array" ref="H189">IF(OR($A189="",$L189=""),"",_xlfn.LET(_xlpm.cat,UPPER($E189),_xlpm.base,_xlfn.SWITCH(TRUE,_xlpm.cat="GAMEFOWL",0.22,_xlpm.cat="POULTRY",0.18,_xlpm.cat="SWINE",0.16,_xlpm.cat="HOGS",0.16,_xlpm.cat="RABBIT",0.15,0.17),_xlpm.code,IFERROR(VALUE(LEFT($A189,FIND(" ",$A189&amp;" ")-1)),0),_xlpm.v,MOD(_xlpm.code,9)/1000,MIN(0.3,MAX(0.1,_xlpm.base+_xlpm.v))))</f>
        <v>0.185</v>
      </c>
      <c r="I189" s="5" t="s">
        <v>64</v>
      </c>
      <c r="J189" s="5">
        <v>4</v>
      </c>
      <c r="K189" s="5">
        <v>0.33</v>
      </c>
      <c r="L189" s="5">
        <v>50</v>
      </c>
      <c r="M189" s="5">
        <v>4</v>
      </c>
      <c r="N189" s="5">
        <v>2</v>
      </c>
      <c r="O189" s="5">
        <v>2</v>
      </c>
      <c r="Q189" s="5" t="s">
        <v>646</v>
      </c>
      <c r="R189" s="5" t="s">
        <v>34</v>
      </c>
      <c r="S189" s="5" t="s">
        <v>113</v>
      </c>
      <c r="T189" s="7">
        <v>5000000000557</v>
      </c>
      <c r="U189" s="5" t="s">
        <v>285</v>
      </c>
      <c r="V189" s="7">
        <v>5000000000154</v>
      </c>
      <c r="W189" s="5" t="s">
        <v>286</v>
      </c>
      <c r="X189" s="5" t="s">
        <v>34</v>
      </c>
      <c r="Y189" s="5" t="s">
        <v>34</v>
      </c>
      <c r="Z189" s="5" t="s">
        <v>34</v>
      </c>
      <c r="AA189" s="5" t="s">
        <v>34</v>
      </c>
      <c r="AB189" s="5" t="s">
        <v>34</v>
      </c>
      <c r="AC189" s="5" t="s">
        <v>34</v>
      </c>
      <c r="AD189" s="5" t="s">
        <v>34</v>
      </c>
    </row>
    <row r="190" spans="1:30" ht="15.55" x14ac:dyDescent="0.3">
      <c r="A190" s="4">
        <v>1000000002336</v>
      </c>
      <c r="B190" s="5" t="s">
        <v>647</v>
      </c>
      <c r="C190" s="4">
        <v>3000000001515</v>
      </c>
      <c r="D190" s="5" t="s">
        <v>648</v>
      </c>
      <c r="E190" s="5" t="s">
        <v>62</v>
      </c>
      <c r="F190" s="5" t="s">
        <v>63</v>
      </c>
      <c r="G190" s="10" cm="1">
        <f t="array" ref="G190">IF(OR($A190="",$L190=""),"",_xlfn.LET(_xlpm.cat,UPPER($E190),_xlpm.wt,IFERROR(VALUE(LEFT($L190,FIND(" ",$L190&amp;" ")-1)),$L190),_xlpm.ppk,_xlfn.SWITCH(TRUE,_xlpm.cat="GAMEFOWL",62,_xlpm.cat="POULTRY",45,_xlpm.cat="SWINE",48,_xlpm.cat="HOGS",48,_xlpm.cat="RABBIT",40,45),_xlpm.code,IFERROR(VALUE(LEFT($A190,FIND(" ",$A190&amp;" ")-1)),0),_xlpm.v,1+MOD(_xlpm.code,13)/100,ROUND(_xlpm.ppk*_xlpm.wt*_xlpm.v,0)))</f>
        <v>2475</v>
      </c>
      <c r="H190" s="6" cm="1">
        <f t="array" ref="H190">IF(OR($A190="",$L190=""),"",_xlfn.LET(_xlpm.cat,UPPER($E190),_xlpm.base,_xlfn.SWITCH(TRUE,_xlpm.cat="GAMEFOWL",0.22,_xlpm.cat="POULTRY",0.18,_xlpm.cat="SWINE",0.16,_xlpm.cat="HOGS",0.16,_xlpm.cat="RABBIT",0.15,0.17),_xlpm.code,IFERROR(VALUE(LEFT($A190,FIND(" ",$A190&amp;" ")-1)),0),_xlpm.v,MOD(_xlpm.code,9)/1000,MIN(0.3,MAX(0.1,_xlpm.base+_xlpm.v))))</f>
        <v>0.186</v>
      </c>
      <c r="I190" s="5" t="s">
        <v>106</v>
      </c>
      <c r="J190" s="5">
        <v>3</v>
      </c>
      <c r="K190" s="5">
        <v>0.33</v>
      </c>
      <c r="L190" s="5">
        <v>50</v>
      </c>
      <c r="M190" s="5">
        <v>4</v>
      </c>
      <c r="N190" s="5">
        <v>2</v>
      </c>
      <c r="O190" s="5">
        <v>2</v>
      </c>
      <c r="Q190" s="5" t="s">
        <v>649</v>
      </c>
      <c r="R190" s="5" t="s">
        <v>34</v>
      </c>
      <c r="S190" s="5" t="s">
        <v>113</v>
      </c>
      <c r="T190" s="7">
        <v>5000000000558</v>
      </c>
      <c r="U190" s="5" t="s">
        <v>229</v>
      </c>
      <c r="V190" s="7">
        <v>5000000000113</v>
      </c>
      <c r="W190" s="5" t="s">
        <v>230</v>
      </c>
      <c r="X190" s="5" t="s">
        <v>34</v>
      </c>
      <c r="Y190" s="5" t="s">
        <v>34</v>
      </c>
      <c r="Z190" s="5" t="s">
        <v>34</v>
      </c>
      <c r="AA190" s="5" t="s">
        <v>34</v>
      </c>
      <c r="AB190" s="5" t="s">
        <v>34</v>
      </c>
      <c r="AC190" s="5" t="s">
        <v>34</v>
      </c>
      <c r="AD190" s="5" t="s">
        <v>34</v>
      </c>
    </row>
    <row r="191" spans="1:30" ht="15.55" x14ac:dyDescent="0.3">
      <c r="A191" s="4">
        <v>1000000002337</v>
      </c>
      <c r="B191" s="5" t="s">
        <v>650</v>
      </c>
      <c r="C191" s="4">
        <v>3000000001514</v>
      </c>
      <c r="D191" s="5" t="s">
        <v>651</v>
      </c>
      <c r="E191" s="5" t="s">
        <v>62</v>
      </c>
      <c r="F191" s="5" t="s">
        <v>63</v>
      </c>
      <c r="G191" s="10" cm="1">
        <f t="array" ref="G191">IF(OR($A191="",$L191=""),"",_xlfn.LET(_xlpm.cat,UPPER($E191),_xlpm.wt,IFERROR(VALUE(LEFT($L191,FIND(" ",$L191&amp;" ")-1)),$L191),_xlpm.ppk,_xlfn.SWITCH(TRUE,_xlpm.cat="GAMEFOWL",62,_xlpm.cat="POULTRY",45,_xlpm.cat="SWINE",48,_xlpm.cat="HOGS",48,_xlpm.cat="RABBIT",40,45),_xlpm.code,IFERROR(VALUE(LEFT($A191,FIND(" ",$A191&amp;" ")-1)),0),_xlpm.v,1+MOD(_xlpm.code,13)/100,ROUND(_xlpm.ppk*_xlpm.wt*_xlpm.v,0)))</f>
        <v>2498</v>
      </c>
      <c r="H191" s="6" cm="1">
        <f t="array" ref="H191">IF(OR($A191="",$L191=""),"",_xlfn.LET(_xlpm.cat,UPPER($E191),_xlpm.base,_xlfn.SWITCH(TRUE,_xlpm.cat="GAMEFOWL",0.22,_xlpm.cat="POULTRY",0.18,_xlpm.cat="SWINE",0.16,_xlpm.cat="HOGS",0.16,_xlpm.cat="RABBIT",0.15,0.17),_xlpm.code,IFERROR(VALUE(LEFT($A191,FIND(" ",$A191&amp;" ")-1)),0),_xlpm.v,MOD(_xlpm.code,9)/1000,MIN(0.3,MAX(0.1,_xlpm.base+_xlpm.v))))</f>
        <v>0.187</v>
      </c>
      <c r="I191" s="5" t="s">
        <v>139</v>
      </c>
      <c r="J191" s="5">
        <v>3</v>
      </c>
      <c r="K191" s="5">
        <v>0.17</v>
      </c>
      <c r="L191" s="5">
        <v>50</v>
      </c>
      <c r="M191" s="5">
        <v>4</v>
      </c>
      <c r="N191" s="5">
        <v>2</v>
      </c>
      <c r="O191" s="5">
        <v>2</v>
      </c>
      <c r="Q191" s="5" t="s">
        <v>652</v>
      </c>
      <c r="R191" s="5" t="s">
        <v>34</v>
      </c>
      <c r="S191" s="5" t="s">
        <v>113</v>
      </c>
      <c r="T191" s="7">
        <v>5000000000559</v>
      </c>
      <c r="U191" s="5" t="s">
        <v>264</v>
      </c>
      <c r="V191" s="7">
        <v>5000000000115</v>
      </c>
      <c r="W191" s="5" t="s">
        <v>265</v>
      </c>
      <c r="X191" s="5" t="s">
        <v>34</v>
      </c>
      <c r="Y191" s="5" t="s">
        <v>34</v>
      </c>
      <c r="Z191" s="5" t="s">
        <v>34</v>
      </c>
      <c r="AA191" s="5" t="s">
        <v>34</v>
      </c>
      <c r="AB191" s="5" t="s">
        <v>34</v>
      </c>
      <c r="AC191" s="5" t="s">
        <v>34</v>
      </c>
      <c r="AD191" s="5" t="s">
        <v>34</v>
      </c>
    </row>
    <row r="192" spans="1:30" ht="15.55" x14ac:dyDescent="0.3">
      <c r="A192" s="4">
        <v>1000000002476</v>
      </c>
      <c r="B192" s="5" t="s">
        <v>653</v>
      </c>
      <c r="C192" s="4">
        <v>3000000001643</v>
      </c>
      <c r="D192" s="5" t="s">
        <v>654</v>
      </c>
      <c r="E192" s="5" t="s">
        <v>62</v>
      </c>
      <c r="F192" s="5" t="s">
        <v>63</v>
      </c>
      <c r="G192" s="10" cm="1">
        <f t="array" ref="G192">IF(OR($A192="",$L192=""),"",_xlfn.LET(_xlpm.cat,UPPER($E192),_xlpm.wt,IFERROR(VALUE(LEFT($L192,FIND(" ",$L192&amp;" ")-1)),$L192),_xlpm.ppk,_xlfn.SWITCH(TRUE,_xlpm.cat="GAMEFOWL",62,_xlpm.cat="POULTRY",45,_xlpm.cat="SWINE",48,_xlpm.cat="HOGS",48,_xlpm.cat="RABBIT",40,45),_xlpm.code,IFERROR(VALUE(LEFT($A192,FIND(" ",$A192&amp;" ")-1)),0),_xlpm.v,1+MOD(_xlpm.code,13)/100,ROUND(_xlpm.ppk*_xlpm.wt*_xlpm.v,0)))</f>
        <v>2408</v>
      </c>
      <c r="H192" s="6" cm="1">
        <f t="array" ref="H192">IF(OR($A192="",$L192=""),"",_xlfn.LET(_xlpm.cat,UPPER($E192),_xlpm.base,_xlfn.SWITCH(TRUE,_xlpm.cat="GAMEFOWL",0.22,_xlpm.cat="POULTRY",0.18,_xlpm.cat="SWINE",0.16,_xlpm.cat="HOGS",0.16,_xlpm.cat="RABBIT",0.15,0.17),_xlpm.code,IFERROR(VALUE(LEFT($A192,FIND(" ",$A192&amp;" ")-1)),0),_xlpm.v,MOD(_xlpm.code,9)/1000,MIN(0.3,MAX(0.1,_xlpm.base+_xlpm.v))))</f>
        <v>0.182</v>
      </c>
      <c r="I192" s="5" t="s">
        <v>64</v>
      </c>
      <c r="J192" s="5">
        <v>4</v>
      </c>
      <c r="K192" s="5">
        <v>0.33</v>
      </c>
      <c r="L192" s="5">
        <v>50</v>
      </c>
      <c r="M192" s="5">
        <v>4</v>
      </c>
      <c r="N192" s="5">
        <v>2</v>
      </c>
      <c r="O192" s="5">
        <v>2</v>
      </c>
      <c r="Q192" s="5" t="s">
        <v>655</v>
      </c>
      <c r="R192" s="5" t="s">
        <v>34</v>
      </c>
      <c r="S192" s="5" t="s">
        <v>39</v>
      </c>
      <c r="T192" s="7">
        <v>5000000000055</v>
      </c>
      <c r="U192" s="5" t="s">
        <v>299</v>
      </c>
      <c r="V192" s="7">
        <v>5000000000108</v>
      </c>
      <c r="W192" s="5" t="s">
        <v>656</v>
      </c>
      <c r="X192" s="5" t="s">
        <v>34</v>
      </c>
      <c r="Y192" s="5" t="s">
        <v>34</v>
      </c>
      <c r="Z192" s="5" t="s">
        <v>34</v>
      </c>
      <c r="AA192" s="5" t="s">
        <v>34</v>
      </c>
      <c r="AB192" s="5" t="s">
        <v>34</v>
      </c>
      <c r="AC192" s="5" t="s">
        <v>34</v>
      </c>
      <c r="AD192" s="5" t="s">
        <v>34</v>
      </c>
    </row>
    <row r="193" spans="1:30" ht="15.55" x14ac:dyDescent="0.3">
      <c r="A193" s="4">
        <v>1000000002459</v>
      </c>
      <c r="B193" s="5" t="s">
        <v>657</v>
      </c>
      <c r="C193" s="4">
        <v>3000000001644</v>
      </c>
      <c r="D193" s="5" t="s">
        <v>658</v>
      </c>
      <c r="E193" s="5" t="s">
        <v>62</v>
      </c>
      <c r="F193" s="5" t="s">
        <v>63</v>
      </c>
      <c r="G193" s="10" cm="1">
        <f t="array" ref="G193">IF(OR($A193="",$L193=""),"",_xlfn.LET(_xlpm.cat,UPPER($E193),_xlpm.wt,IFERROR(VALUE(LEFT($L193,FIND(" ",$L193&amp;" ")-1)),$L193),_xlpm.ppk,_xlfn.SWITCH(TRUE,_xlpm.cat="GAMEFOWL",62,_xlpm.cat="POULTRY",45,_xlpm.cat="SWINE",48,_xlpm.cat="HOGS",48,_xlpm.cat="RABBIT",40,45),_xlpm.code,IFERROR(VALUE(LEFT($A193,FIND(" ",$A193&amp;" ")-1)),0),_xlpm.v,1+MOD(_xlpm.code,13)/100,ROUND(_xlpm.ppk*_xlpm.wt*_xlpm.v,0)))</f>
        <v>2318</v>
      </c>
      <c r="H193" s="6" cm="1">
        <f t="array" ref="H193">IF(OR($A193="",$L193=""),"",_xlfn.LET(_xlpm.cat,UPPER($E193),_xlpm.base,_xlfn.SWITCH(TRUE,_xlpm.cat="GAMEFOWL",0.22,_xlpm.cat="POULTRY",0.18,_xlpm.cat="SWINE",0.16,_xlpm.cat="HOGS",0.16,_xlpm.cat="RABBIT",0.15,0.17),_xlpm.code,IFERROR(VALUE(LEFT($A193,FIND(" ",$A193&amp;" ")-1)),0),_xlpm.v,MOD(_xlpm.code,9)/1000,MIN(0.3,MAX(0.1,_xlpm.base+_xlpm.v))))</f>
        <v>0.183</v>
      </c>
      <c r="I193" s="5" t="s">
        <v>106</v>
      </c>
      <c r="J193" s="5">
        <v>3</v>
      </c>
      <c r="K193" s="5">
        <v>0.33</v>
      </c>
      <c r="L193" s="5">
        <v>50</v>
      </c>
      <c r="M193" s="5">
        <v>4</v>
      </c>
      <c r="N193" s="5">
        <v>2</v>
      </c>
      <c r="O193" s="5">
        <v>2</v>
      </c>
      <c r="Q193" s="5" t="s">
        <v>659</v>
      </c>
      <c r="R193" s="5" t="s">
        <v>34</v>
      </c>
      <c r="S193" s="5" t="s">
        <v>660</v>
      </c>
      <c r="T193" s="7">
        <v>5000000000561</v>
      </c>
      <c r="U193" s="5" t="s">
        <v>98</v>
      </c>
      <c r="V193" s="7">
        <v>5000000000125</v>
      </c>
      <c r="W193" s="5" t="s">
        <v>99</v>
      </c>
      <c r="X193" s="5" t="s">
        <v>34</v>
      </c>
      <c r="Y193" s="5" t="s">
        <v>34</v>
      </c>
      <c r="Z193" s="5" t="s">
        <v>34</v>
      </c>
      <c r="AA193" s="5" t="s">
        <v>34</v>
      </c>
      <c r="AB193" s="5" t="s">
        <v>34</v>
      </c>
      <c r="AC193" s="5" t="s">
        <v>34</v>
      </c>
      <c r="AD193" s="5" t="s">
        <v>34</v>
      </c>
    </row>
    <row r="194" spans="1:30" ht="15.55" x14ac:dyDescent="0.3">
      <c r="A194" s="4">
        <v>1000000002460</v>
      </c>
      <c r="B194" s="5" t="s">
        <v>661</v>
      </c>
      <c r="C194" s="4">
        <v>3000000001645</v>
      </c>
      <c r="D194" s="5" t="s">
        <v>662</v>
      </c>
      <c r="E194" s="5" t="s">
        <v>62</v>
      </c>
      <c r="F194" s="5" t="s">
        <v>63</v>
      </c>
      <c r="G194" s="10" cm="1">
        <f t="array" ref="G194">IF(OR($A194="",$L194=""),"",_xlfn.LET(_xlpm.cat,UPPER($E194),_xlpm.wt,IFERROR(VALUE(LEFT($L194,FIND(" ",$L194&amp;" ")-1)),$L194),_xlpm.ppk,_xlfn.SWITCH(TRUE,_xlpm.cat="GAMEFOWL",62,_xlpm.cat="POULTRY",45,_xlpm.cat="SWINE",48,_xlpm.cat="HOGS",48,_xlpm.cat="RABBIT",40,45),_xlpm.code,IFERROR(VALUE(LEFT($A194,FIND(" ",$A194&amp;" ")-1)),0),_xlpm.v,1+MOD(_xlpm.code,13)/100,ROUND(_xlpm.ppk*_xlpm.wt*_xlpm.v,0)))</f>
        <v>2340</v>
      </c>
      <c r="H194" s="6" cm="1">
        <f t="array" ref="H194">IF(OR($A194="",$L194=""),"",_xlfn.LET(_xlpm.cat,UPPER($E194),_xlpm.base,_xlfn.SWITCH(TRUE,_xlpm.cat="GAMEFOWL",0.22,_xlpm.cat="POULTRY",0.18,_xlpm.cat="SWINE",0.16,_xlpm.cat="HOGS",0.16,_xlpm.cat="RABBIT",0.15,0.17),_xlpm.code,IFERROR(VALUE(LEFT($A194,FIND(" ",$A194&amp;" ")-1)),0),_xlpm.v,MOD(_xlpm.code,9)/1000,MIN(0.3,MAX(0.1,_xlpm.base+_xlpm.v))))</f>
        <v>0.184</v>
      </c>
      <c r="I194" s="5" t="s">
        <v>106</v>
      </c>
      <c r="J194" s="5">
        <v>3</v>
      </c>
      <c r="K194" s="5">
        <v>0.33</v>
      </c>
      <c r="L194" s="5">
        <v>50</v>
      </c>
      <c r="M194" s="5">
        <v>4</v>
      </c>
      <c r="N194" s="5">
        <v>2</v>
      </c>
      <c r="O194" s="5">
        <v>2</v>
      </c>
      <c r="Q194" s="5" t="s">
        <v>663</v>
      </c>
      <c r="R194" s="5" t="s">
        <v>34</v>
      </c>
      <c r="S194" s="5" t="s">
        <v>660</v>
      </c>
      <c r="T194" s="7">
        <v>5000000000561</v>
      </c>
      <c r="U194" s="5" t="s">
        <v>98</v>
      </c>
      <c r="V194" s="7">
        <v>5000000000125</v>
      </c>
      <c r="W194" s="5" t="s">
        <v>99</v>
      </c>
      <c r="X194" s="5" t="s">
        <v>34</v>
      </c>
      <c r="Y194" s="5" t="s">
        <v>34</v>
      </c>
      <c r="Z194" s="5" t="s">
        <v>34</v>
      </c>
      <c r="AA194" s="5" t="s">
        <v>34</v>
      </c>
      <c r="AB194" s="5" t="s">
        <v>34</v>
      </c>
      <c r="AC194" s="5" t="s">
        <v>34</v>
      </c>
      <c r="AD194" s="5" t="s">
        <v>34</v>
      </c>
    </row>
    <row r="195" spans="1:30" ht="15.55" x14ac:dyDescent="0.3">
      <c r="A195" s="4">
        <v>1000000002471</v>
      </c>
      <c r="B195" s="5" t="s">
        <v>664</v>
      </c>
      <c r="C195" s="4">
        <v>3000000001646</v>
      </c>
      <c r="D195" s="5" t="s">
        <v>665</v>
      </c>
      <c r="E195" s="5" t="s">
        <v>62</v>
      </c>
      <c r="F195" s="5" t="s">
        <v>63</v>
      </c>
      <c r="G195" s="10" cm="1">
        <f t="array" ref="G195">IF(OR($A195="",$L195=""),"",_xlfn.LET(_xlpm.cat,UPPER($E195),_xlpm.wt,IFERROR(VALUE(LEFT($L195,FIND(" ",$L195&amp;" ")-1)),$L195),_xlpm.ppk,_xlfn.SWITCH(TRUE,_xlpm.cat="GAMEFOWL",62,_xlpm.cat="POULTRY",45,_xlpm.cat="SWINE",48,_xlpm.cat="HOGS",48,_xlpm.cat="RABBIT",40,45),_xlpm.code,IFERROR(VALUE(LEFT($A195,FIND(" ",$A195&amp;" ")-1)),0),_xlpm.v,1+MOD(_xlpm.code,13)/100,ROUND(_xlpm.ppk*_xlpm.wt*_xlpm.v,0)))</f>
        <v>2295</v>
      </c>
      <c r="H195" s="6" cm="1">
        <f t="array" ref="H195">IF(OR($A195="",$L195=""),"",_xlfn.LET(_xlpm.cat,UPPER($E195),_xlpm.base,_xlfn.SWITCH(TRUE,_xlpm.cat="GAMEFOWL",0.22,_xlpm.cat="POULTRY",0.18,_xlpm.cat="SWINE",0.16,_xlpm.cat="HOGS",0.16,_xlpm.cat="RABBIT",0.15,0.17),_xlpm.code,IFERROR(VALUE(LEFT($A195,FIND(" ",$A195&amp;" ")-1)),0),_xlpm.v,MOD(_xlpm.code,9)/1000,MIN(0.3,MAX(0.1,_xlpm.base+_xlpm.v))))</f>
        <v>0.186</v>
      </c>
      <c r="I195" s="5" t="s">
        <v>106</v>
      </c>
      <c r="J195" s="5">
        <v>3</v>
      </c>
      <c r="K195" s="5">
        <v>0.33</v>
      </c>
      <c r="L195" s="5">
        <v>50</v>
      </c>
      <c r="M195" s="5">
        <v>4</v>
      </c>
      <c r="N195" s="5">
        <v>2</v>
      </c>
      <c r="O195" s="5">
        <v>2</v>
      </c>
      <c r="Q195" s="5" t="s">
        <v>666</v>
      </c>
      <c r="R195" s="5" t="s">
        <v>34</v>
      </c>
      <c r="S195" s="5" t="s">
        <v>660</v>
      </c>
      <c r="T195" s="7">
        <v>5000000000561</v>
      </c>
      <c r="U195" s="5" t="s">
        <v>98</v>
      </c>
      <c r="V195" s="7">
        <v>5000000000125</v>
      </c>
      <c r="W195" s="5" t="s">
        <v>99</v>
      </c>
      <c r="X195" s="5" t="s">
        <v>34</v>
      </c>
      <c r="Y195" s="5" t="s">
        <v>34</v>
      </c>
      <c r="Z195" s="5" t="s">
        <v>34</v>
      </c>
      <c r="AA195" s="5" t="s">
        <v>34</v>
      </c>
      <c r="AB195" s="5" t="s">
        <v>34</v>
      </c>
      <c r="AC195" s="5" t="s">
        <v>34</v>
      </c>
      <c r="AD195" s="5" t="s">
        <v>34</v>
      </c>
    </row>
    <row r="196" spans="1:30" ht="15.55" x14ac:dyDescent="0.3">
      <c r="A196" s="4">
        <v>1000000002472</v>
      </c>
      <c r="B196" s="5" t="s">
        <v>667</v>
      </c>
      <c r="C196" s="4">
        <v>3000000001647</v>
      </c>
      <c r="D196" s="5" t="s">
        <v>668</v>
      </c>
      <c r="E196" s="5" t="s">
        <v>62</v>
      </c>
      <c r="F196" s="5" t="s">
        <v>63</v>
      </c>
      <c r="G196" s="10" cm="1">
        <f t="array" ref="G196">IF(OR($A196="",$L196=""),"",_xlfn.LET(_xlpm.cat,UPPER($E196),_xlpm.wt,IFERROR(VALUE(LEFT($L196,FIND(" ",$L196&amp;" ")-1)),$L196),_xlpm.ppk,_xlfn.SWITCH(TRUE,_xlpm.cat="GAMEFOWL",62,_xlpm.cat="POULTRY",45,_xlpm.cat="SWINE",48,_xlpm.cat="HOGS",48,_xlpm.cat="RABBIT",40,45),_xlpm.code,IFERROR(VALUE(LEFT($A196,FIND(" ",$A196&amp;" ")-1)),0),_xlpm.v,1+MOD(_xlpm.code,13)/100,ROUND(_xlpm.ppk*_xlpm.wt*_xlpm.v,0)))</f>
        <v>2318</v>
      </c>
      <c r="H196" s="6" cm="1">
        <f t="array" ref="H196">IF(OR($A196="",$L196=""),"",_xlfn.LET(_xlpm.cat,UPPER($E196),_xlpm.base,_xlfn.SWITCH(TRUE,_xlpm.cat="GAMEFOWL",0.22,_xlpm.cat="POULTRY",0.18,_xlpm.cat="SWINE",0.16,_xlpm.cat="HOGS",0.16,_xlpm.cat="RABBIT",0.15,0.17),_xlpm.code,IFERROR(VALUE(LEFT($A196,FIND(" ",$A196&amp;" ")-1)),0),_xlpm.v,MOD(_xlpm.code,9)/1000,MIN(0.3,MAX(0.1,_xlpm.base+_xlpm.v))))</f>
        <v>0.187</v>
      </c>
      <c r="I196" s="5" t="s">
        <v>106</v>
      </c>
      <c r="J196" s="5">
        <v>3</v>
      </c>
      <c r="K196" s="5">
        <v>0.33</v>
      </c>
      <c r="L196" s="5">
        <v>50</v>
      </c>
      <c r="M196" s="5">
        <v>4</v>
      </c>
      <c r="N196" s="5">
        <v>2</v>
      </c>
      <c r="O196" s="5">
        <v>2</v>
      </c>
      <c r="Q196" s="5" t="s">
        <v>669</v>
      </c>
      <c r="R196" s="5" t="s">
        <v>34</v>
      </c>
      <c r="S196" s="5" t="s">
        <v>670</v>
      </c>
      <c r="T196" s="7">
        <v>5000000000561</v>
      </c>
      <c r="U196" s="5" t="s">
        <v>98</v>
      </c>
      <c r="V196" s="7">
        <v>5000000000125</v>
      </c>
      <c r="W196" s="5" t="s">
        <v>99</v>
      </c>
      <c r="X196" s="5" t="s">
        <v>34</v>
      </c>
      <c r="Y196" s="5" t="s">
        <v>34</v>
      </c>
      <c r="Z196" s="5" t="s">
        <v>34</v>
      </c>
      <c r="AA196" s="5" t="s">
        <v>34</v>
      </c>
      <c r="AB196" s="5" t="s">
        <v>34</v>
      </c>
      <c r="AC196" s="5" t="s">
        <v>34</v>
      </c>
      <c r="AD196" s="5" t="s">
        <v>34</v>
      </c>
    </row>
    <row r="197" spans="1:30" ht="15.55" x14ac:dyDescent="0.3">
      <c r="A197" s="4">
        <v>1000000002474</v>
      </c>
      <c r="B197" s="5" t="s">
        <v>671</v>
      </c>
      <c r="C197" s="4">
        <v>3000000001648</v>
      </c>
      <c r="D197" s="5" t="s">
        <v>672</v>
      </c>
      <c r="E197" s="5" t="s">
        <v>62</v>
      </c>
      <c r="F197" s="5" t="s">
        <v>63</v>
      </c>
      <c r="G197" s="10" cm="1">
        <f t="array" ref="G197">IF(OR($A197="",$L197=""),"",_xlfn.LET(_xlpm.cat,UPPER($E197),_xlpm.wt,IFERROR(VALUE(LEFT($L197,FIND(" ",$L197&amp;" ")-1)),$L197),_xlpm.ppk,_xlfn.SWITCH(TRUE,_xlpm.cat="GAMEFOWL",62,_xlpm.cat="POULTRY",45,_xlpm.cat="SWINE",48,_xlpm.cat="HOGS",48,_xlpm.cat="RABBIT",40,45),_xlpm.code,IFERROR(VALUE(LEFT($A197,FIND(" ",$A197&amp;" ")-1)),0),_xlpm.v,1+MOD(_xlpm.code,13)/100,ROUND(_xlpm.ppk*_xlpm.wt*_xlpm.v,0)))</f>
        <v>2363</v>
      </c>
      <c r="H197" s="6" cm="1">
        <f t="array" ref="H197">IF(OR($A197="",$L197=""),"",_xlfn.LET(_xlpm.cat,UPPER($E197),_xlpm.base,_xlfn.SWITCH(TRUE,_xlpm.cat="GAMEFOWL",0.22,_xlpm.cat="POULTRY",0.18,_xlpm.cat="SWINE",0.16,_xlpm.cat="HOGS",0.16,_xlpm.cat="RABBIT",0.15,0.17),_xlpm.code,IFERROR(VALUE(LEFT($A197,FIND(" ",$A197&amp;" ")-1)),0),_xlpm.v,MOD(_xlpm.code,9)/1000,MIN(0.3,MAX(0.1,_xlpm.base+_xlpm.v))))</f>
        <v>0.18</v>
      </c>
      <c r="I197" s="5" t="s">
        <v>106</v>
      </c>
      <c r="J197" s="5">
        <v>4</v>
      </c>
      <c r="K197" s="5">
        <v>0.33</v>
      </c>
      <c r="L197" s="5">
        <v>50</v>
      </c>
      <c r="M197" s="5">
        <v>4</v>
      </c>
      <c r="N197" s="5">
        <v>2</v>
      </c>
      <c r="O197" s="5">
        <v>2</v>
      </c>
      <c r="Q197" s="5" t="s">
        <v>673</v>
      </c>
      <c r="R197" s="5" t="s">
        <v>34</v>
      </c>
      <c r="S197" s="5" t="s">
        <v>456</v>
      </c>
      <c r="T197" s="7">
        <v>5000000000562</v>
      </c>
      <c r="U197" s="5" t="s">
        <v>108</v>
      </c>
      <c r="V197" s="7">
        <v>5000000000122</v>
      </c>
      <c r="W197" s="5" t="s">
        <v>109</v>
      </c>
      <c r="X197" s="5" t="s">
        <v>34</v>
      </c>
      <c r="Y197" s="5" t="s">
        <v>34</v>
      </c>
      <c r="Z197" s="5" t="s">
        <v>34</v>
      </c>
      <c r="AA197" s="5" t="s">
        <v>34</v>
      </c>
      <c r="AB197" s="5" t="s">
        <v>34</v>
      </c>
      <c r="AC197" s="5" t="s">
        <v>34</v>
      </c>
      <c r="AD197" s="5" t="s">
        <v>34</v>
      </c>
    </row>
    <row r="198" spans="1:30" ht="15.55" x14ac:dyDescent="0.3">
      <c r="A198" s="4">
        <v>1000000002475</v>
      </c>
      <c r="B198" s="5" t="s">
        <v>674</v>
      </c>
      <c r="C198" s="4">
        <v>3000000001649</v>
      </c>
      <c r="D198" s="5" t="s">
        <v>675</v>
      </c>
      <c r="E198" s="5" t="s">
        <v>62</v>
      </c>
      <c r="F198" s="5" t="s">
        <v>63</v>
      </c>
      <c r="G198" s="10" cm="1">
        <f t="array" ref="G198">IF(OR($A198="",$L198=""),"",_xlfn.LET(_xlpm.cat,UPPER($E198),_xlpm.wt,IFERROR(VALUE(LEFT($L198,FIND(" ",$L198&amp;" ")-1)),$L198),_xlpm.ppk,_xlfn.SWITCH(TRUE,_xlpm.cat="GAMEFOWL",62,_xlpm.cat="POULTRY",45,_xlpm.cat="SWINE",48,_xlpm.cat="HOGS",48,_xlpm.cat="RABBIT",40,45),_xlpm.code,IFERROR(VALUE(LEFT($A198,FIND(" ",$A198&amp;" ")-1)),0),_xlpm.v,1+MOD(_xlpm.code,13)/100,ROUND(_xlpm.ppk*_xlpm.wt*_xlpm.v,0)))</f>
        <v>2385</v>
      </c>
      <c r="H198" s="6" cm="1">
        <f t="array" ref="H198">IF(OR($A198="",$L198=""),"",_xlfn.LET(_xlpm.cat,UPPER($E198),_xlpm.base,_xlfn.SWITCH(TRUE,_xlpm.cat="GAMEFOWL",0.22,_xlpm.cat="POULTRY",0.18,_xlpm.cat="SWINE",0.16,_xlpm.cat="HOGS",0.16,_xlpm.cat="RABBIT",0.15,0.17),_xlpm.code,IFERROR(VALUE(LEFT($A198,FIND(" ",$A198&amp;" ")-1)),0),_xlpm.v,MOD(_xlpm.code,9)/1000,MIN(0.3,MAX(0.1,_xlpm.base+_xlpm.v))))</f>
        <v>0.18099999999999999</v>
      </c>
      <c r="I198" s="5" t="s">
        <v>106</v>
      </c>
      <c r="J198" s="5">
        <v>4</v>
      </c>
      <c r="K198" s="5">
        <v>0.33</v>
      </c>
      <c r="L198" s="5">
        <v>50</v>
      </c>
      <c r="M198" s="5">
        <v>4</v>
      </c>
      <c r="N198" s="5">
        <v>2</v>
      </c>
      <c r="O198" s="5">
        <v>2</v>
      </c>
      <c r="Q198" s="5" t="s">
        <v>676</v>
      </c>
      <c r="R198" s="5" t="s">
        <v>34</v>
      </c>
      <c r="S198" s="5" t="s">
        <v>660</v>
      </c>
      <c r="T198" s="7">
        <v>5000000000562</v>
      </c>
      <c r="U198" s="5" t="s">
        <v>108</v>
      </c>
      <c r="V198" s="7">
        <v>5000000000123</v>
      </c>
      <c r="W198" s="5" t="s">
        <v>114</v>
      </c>
      <c r="X198" s="5" t="s">
        <v>34</v>
      </c>
      <c r="Y198" s="5" t="s">
        <v>34</v>
      </c>
      <c r="Z198" s="5" t="s">
        <v>34</v>
      </c>
      <c r="AA198" s="5" t="s">
        <v>34</v>
      </c>
      <c r="AB198" s="5" t="s">
        <v>34</v>
      </c>
      <c r="AC198" s="5" t="s">
        <v>34</v>
      </c>
      <c r="AD198" s="5" t="s">
        <v>34</v>
      </c>
    </row>
    <row r="199" spans="1:30" ht="15.55" x14ac:dyDescent="0.3">
      <c r="A199" s="4">
        <v>1000000002504</v>
      </c>
      <c r="B199" s="5" t="s">
        <v>677</v>
      </c>
      <c r="C199" s="4">
        <v>3000000001653</v>
      </c>
      <c r="D199" s="5" t="s">
        <v>678</v>
      </c>
      <c r="E199" s="5" t="s">
        <v>62</v>
      </c>
      <c r="F199" s="5" t="s">
        <v>63</v>
      </c>
      <c r="G199" s="10" cm="1">
        <f t="array" ref="G199">IF(OR($A199="",$L199=""),"",_xlfn.LET(_xlpm.cat,UPPER($E199),_xlpm.wt,IFERROR(VALUE(LEFT($L199,FIND(" ",$L199&amp;" ")-1)),$L199),_xlpm.ppk,_xlfn.SWITCH(TRUE,_xlpm.cat="GAMEFOWL",62,_xlpm.cat="POULTRY",45,_xlpm.cat="SWINE",48,_xlpm.cat="HOGS",48,_xlpm.cat="RABBIT",40,45),_xlpm.code,IFERROR(VALUE(LEFT($A199,FIND(" ",$A199&amp;" ")-1)),0),_xlpm.v,1+MOD(_xlpm.code,13)/100,ROUND(_xlpm.ppk*_xlpm.wt*_xlpm.v,0)))</f>
        <v>2453</v>
      </c>
      <c r="H199" s="6" cm="1">
        <f t="array" ref="H199">IF(OR($A199="",$L199=""),"",_xlfn.LET(_xlpm.cat,UPPER($E199),_xlpm.base,_xlfn.SWITCH(TRUE,_xlpm.cat="GAMEFOWL",0.22,_xlpm.cat="POULTRY",0.18,_xlpm.cat="SWINE",0.16,_xlpm.cat="HOGS",0.16,_xlpm.cat="RABBIT",0.15,0.17),_xlpm.code,IFERROR(VALUE(LEFT($A199,FIND(" ",$A199&amp;" ")-1)),0),_xlpm.v,MOD(_xlpm.code,9)/1000,MIN(0.3,MAX(0.1,_xlpm.base+_xlpm.v))))</f>
        <v>0.183</v>
      </c>
      <c r="I199" s="5" t="s">
        <v>139</v>
      </c>
      <c r="J199" s="5">
        <v>3</v>
      </c>
      <c r="K199" s="5">
        <v>0.17</v>
      </c>
      <c r="L199" s="5">
        <v>50</v>
      </c>
      <c r="M199" s="5">
        <v>4</v>
      </c>
      <c r="N199" s="5">
        <v>2</v>
      </c>
      <c r="O199" s="5">
        <v>2</v>
      </c>
      <c r="Q199" s="5" t="s">
        <v>679</v>
      </c>
      <c r="R199" s="5" t="s">
        <v>34</v>
      </c>
      <c r="S199" s="5" t="s">
        <v>314</v>
      </c>
      <c r="T199" s="7">
        <v>5000000000559</v>
      </c>
      <c r="U199" s="5" t="s">
        <v>264</v>
      </c>
      <c r="V199" s="7">
        <v>5000000000115</v>
      </c>
      <c r="W199" s="5" t="s">
        <v>265</v>
      </c>
      <c r="X199" s="5" t="s">
        <v>34</v>
      </c>
      <c r="Y199" s="5" t="s">
        <v>34</v>
      </c>
      <c r="Z199" s="5">
        <v>8.3935667339022491</v>
      </c>
      <c r="AA199" s="5" t="s">
        <v>34</v>
      </c>
      <c r="AB199" s="5" t="s">
        <v>34</v>
      </c>
      <c r="AC199" s="5">
        <v>7.9996415999999995</v>
      </c>
      <c r="AD199" s="5">
        <v>7.744185191489362</v>
      </c>
    </row>
    <row r="200" spans="1:30" ht="15.55" x14ac:dyDescent="0.3">
      <c r="A200" s="4">
        <v>1000000002505</v>
      </c>
      <c r="B200" s="5" t="s">
        <v>680</v>
      </c>
      <c r="C200" s="4">
        <v>3000000001654</v>
      </c>
      <c r="D200" s="5" t="s">
        <v>681</v>
      </c>
      <c r="E200" s="5" t="s">
        <v>62</v>
      </c>
      <c r="F200" s="5" t="s">
        <v>63</v>
      </c>
      <c r="G200" s="10" cm="1">
        <f t="array" ref="G200">IF(OR($A200="",$L200=""),"",_xlfn.LET(_xlpm.cat,UPPER($E200),_xlpm.wt,IFERROR(VALUE(LEFT($L200,FIND(" ",$L200&amp;" ")-1)),$L200),_xlpm.ppk,_xlfn.SWITCH(TRUE,_xlpm.cat="GAMEFOWL",62,_xlpm.cat="POULTRY",45,_xlpm.cat="SWINE",48,_xlpm.cat="HOGS",48,_xlpm.cat="RABBIT",40,45),_xlpm.code,IFERROR(VALUE(LEFT($A200,FIND(" ",$A200&amp;" ")-1)),0),_xlpm.v,1+MOD(_xlpm.code,13)/100,ROUND(_xlpm.ppk*_xlpm.wt*_xlpm.v,0)))</f>
        <v>2475</v>
      </c>
      <c r="H200" s="6" cm="1">
        <f t="array" ref="H200">IF(OR($A200="",$L200=""),"",_xlfn.LET(_xlpm.cat,UPPER($E200),_xlpm.base,_xlfn.SWITCH(TRUE,_xlpm.cat="GAMEFOWL",0.22,_xlpm.cat="POULTRY",0.18,_xlpm.cat="SWINE",0.16,_xlpm.cat="HOGS",0.16,_xlpm.cat="RABBIT",0.15,0.17),_xlpm.code,IFERROR(VALUE(LEFT($A200,FIND(" ",$A200&amp;" ")-1)),0),_xlpm.v,MOD(_xlpm.code,9)/1000,MIN(0.3,MAX(0.1,_xlpm.base+_xlpm.v))))</f>
        <v>0.184</v>
      </c>
      <c r="I200" s="5" t="s">
        <v>77</v>
      </c>
      <c r="J200" s="5">
        <v>4</v>
      </c>
      <c r="K200" s="5">
        <v>0.33</v>
      </c>
      <c r="L200" s="5">
        <v>50</v>
      </c>
      <c r="M200" s="5">
        <v>4</v>
      </c>
      <c r="N200" s="5">
        <v>2</v>
      </c>
      <c r="O200" s="5">
        <v>2</v>
      </c>
      <c r="Q200" s="5" t="s">
        <v>682</v>
      </c>
      <c r="R200" s="5" t="s">
        <v>34</v>
      </c>
      <c r="S200" s="5" t="s">
        <v>314</v>
      </c>
      <c r="T200" s="7">
        <v>5000000000565</v>
      </c>
      <c r="U200" s="5" t="s">
        <v>223</v>
      </c>
      <c r="V200" s="7">
        <v>5000000000117</v>
      </c>
      <c r="W200" s="5" t="s">
        <v>224</v>
      </c>
      <c r="X200" s="5" t="s">
        <v>34</v>
      </c>
      <c r="Y200" s="5" t="s">
        <v>34</v>
      </c>
      <c r="Z200" s="5" t="s">
        <v>34</v>
      </c>
      <c r="AA200" s="5" t="s">
        <v>34</v>
      </c>
      <c r="AB200" s="5" t="s">
        <v>34</v>
      </c>
      <c r="AC200" s="5" t="s">
        <v>34</v>
      </c>
      <c r="AD200" s="5" t="s">
        <v>34</v>
      </c>
    </row>
    <row r="201" spans="1:30" ht="15.55" x14ac:dyDescent="0.3">
      <c r="A201" s="4">
        <v>1000000002547</v>
      </c>
      <c r="B201" s="5" t="s">
        <v>683</v>
      </c>
      <c r="C201" s="4">
        <v>3000000001681</v>
      </c>
      <c r="D201" s="5" t="s">
        <v>683</v>
      </c>
      <c r="E201" s="5" t="s">
        <v>31</v>
      </c>
      <c r="F201" s="5" t="s">
        <v>32</v>
      </c>
      <c r="G201" s="10" cm="1">
        <f t="array" ref="G201">IF(OR($A201="",$L201=""),"",_xlfn.LET(_xlpm.cat,UPPER($E201),_xlpm.wt,IFERROR(VALUE(LEFT($L201,FIND(" ",$L201&amp;" ")-1)),$L201),_xlpm.ppk,_xlfn.SWITCH(TRUE,_xlpm.cat="GAMEFOWL",62,_xlpm.cat="POULTRY",45,_xlpm.cat="SWINE",48,_xlpm.cat="HOGS",48,_xlpm.cat="RABBIT",40,45),_xlpm.code,IFERROR(VALUE(LEFT($A201,FIND(" ",$A201&amp;" ")-1)),0),_xlpm.v,1+MOD(_xlpm.code,13)/100,ROUND(_xlpm.ppk*_xlpm.wt*_xlpm.v,0)))</f>
        <v>2400</v>
      </c>
      <c r="H201" s="6" cm="1">
        <f t="array" ref="H201">IF(OR($A201="",$L201=""),"",_xlfn.LET(_xlpm.cat,UPPER($E201),_xlpm.base,_xlfn.SWITCH(TRUE,_xlpm.cat="GAMEFOWL",0.22,_xlpm.cat="POULTRY",0.18,_xlpm.cat="SWINE",0.16,_xlpm.cat="HOGS",0.16,_xlpm.cat="RABBIT",0.15,0.17),_xlpm.code,IFERROR(VALUE(LEFT($A201,FIND(" ",$A201&amp;" ")-1)),0),_xlpm.v,MOD(_xlpm.code,9)/1000,MIN(0.3,MAX(0.1,_xlpm.base+_xlpm.v))))</f>
        <v>0.161</v>
      </c>
      <c r="I201" s="5" t="s">
        <v>139</v>
      </c>
      <c r="J201" s="5">
        <v>3</v>
      </c>
      <c r="K201" s="5">
        <v>0.17</v>
      </c>
      <c r="L201" s="5">
        <v>50</v>
      </c>
      <c r="M201" s="5">
        <v>4</v>
      </c>
      <c r="N201" s="5">
        <v>2</v>
      </c>
      <c r="O201" s="5">
        <v>2</v>
      </c>
      <c r="Q201" s="5" t="s">
        <v>684</v>
      </c>
      <c r="R201" s="5" t="s">
        <v>34</v>
      </c>
      <c r="S201" s="5" t="s">
        <v>92</v>
      </c>
      <c r="T201" s="7">
        <v>5000000000057</v>
      </c>
      <c r="U201" s="5" t="s">
        <v>685</v>
      </c>
      <c r="V201" s="7">
        <v>5000000000102</v>
      </c>
      <c r="W201" s="5" t="s">
        <v>333</v>
      </c>
      <c r="X201" s="5" t="s">
        <v>34</v>
      </c>
      <c r="Y201" s="5" t="s">
        <v>34</v>
      </c>
      <c r="Z201" s="5" t="s">
        <v>34</v>
      </c>
      <c r="AA201" s="5" t="s">
        <v>34</v>
      </c>
      <c r="AB201" s="5" t="s">
        <v>34</v>
      </c>
      <c r="AC201" s="5" t="s">
        <v>34</v>
      </c>
      <c r="AD201" s="5" t="s">
        <v>34</v>
      </c>
    </row>
    <row r="202" spans="1:30" ht="15.55" x14ac:dyDescent="0.3">
      <c r="A202" s="4">
        <v>1000000000971</v>
      </c>
      <c r="B202" s="5" t="s">
        <v>686</v>
      </c>
      <c r="C202" s="4">
        <v>3000000000196</v>
      </c>
      <c r="D202" s="5" t="s">
        <v>687</v>
      </c>
      <c r="E202" s="5" t="s">
        <v>62</v>
      </c>
      <c r="F202" s="5" t="s">
        <v>63</v>
      </c>
      <c r="G202" s="10" cm="1">
        <f t="array" ref="G202">IF(OR($A202="",$L202=""),"",_xlfn.LET(_xlpm.cat,UPPER($E202),_xlpm.wt,IFERROR(VALUE(LEFT($L202,FIND(" ",$L202&amp;" ")-1)),$L202),_xlpm.ppk,_xlfn.SWITCH(TRUE,_xlpm.cat="GAMEFOWL",62,_xlpm.cat="POULTRY",45,_xlpm.cat="SWINE",48,_xlpm.cat="HOGS",48,_xlpm.cat="RABBIT",40,45),_xlpm.code,IFERROR(VALUE(LEFT($A202,FIND(" ",$A202&amp;" ")-1)),0),_xlpm.v,1+MOD(_xlpm.code,13)/100,ROUND(_xlpm.ppk*_xlpm.wt*_xlpm.v,0)))</f>
        <v>2475</v>
      </c>
      <c r="H202" s="6" cm="1">
        <f t="array" ref="H202">IF(OR($A202="",$L202=""),"",_xlfn.LET(_xlpm.cat,UPPER($E202),_xlpm.base,_xlfn.SWITCH(TRUE,_xlpm.cat="GAMEFOWL",0.22,_xlpm.cat="POULTRY",0.18,_xlpm.cat="SWINE",0.16,_xlpm.cat="HOGS",0.16,_xlpm.cat="RABBIT",0.15,0.17),_xlpm.code,IFERROR(VALUE(LEFT($A202,FIND(" ",$A202&amp;" ")-1)),0),_xlpm.v,MOD(_xlpm.code,9)/1000,MIN(0.3,MAX(0.1,_xlpm.base+_xlpm.v))))</f>
        <v>0.18</v>
      </c>
      <c r="I202" s="5" t="s">
        <v>139</v>
      </c>
      <c r="J202" s="5">
        <v>3</v>
      </c>
      <c r="K202" s="5">
        <v>0.17</v>
      </c>
      <c r="L202" s="5">
        <v>50</v>
      </c>
      <c r="M202" s="5">
        <v>4</v>
      </c>
      <c r="N202" s="5">
        <v>2</v>
      </c>
      <c r="O202" s="5">
        <v>2</v>
      </c>
      <c r="Q202" s="5" t="s">
        <v>688</v>
      </c>
      <c r="R202" s="5" t="s">
        <v>34</v>
      </c>
      <c r="S202" s="5" t="s">
        <v>456</v>
      </c>
      <c r="T202" s="7">
        <v>5000000000559</v>
      </c>
      <c r="U202" s="5" t="s">
        <v>264</v>
      </c>
      <c r="V202" s="7">
        <v>5000000000115</v>
      </c>
      <c r="W202" s="5" t="s">
        <v>265</v>
      </c>
      <c r="X202" s="5" t="s">
        <v>34</v>
      </c>
      <c r="Y202" s="5" t="s">
        <v>34</v>
      </c>
      <c r="Z202" s="5" t="s">
        <v>34</v>
      </c>
      <c r="AA202" s="5" t="s">
        <v>34</v>
      </c>
      <c r="AB202" s="5" t="s">
        <v>34</v>
      </c>
      <c r="AC202" s="5">
        <v>7.9994880000000004</v>
      </c>
      <c r="AD202" s="5">
        <v>8.9697482727787587</v>
      </c>
    </row>
    <row r="203" spans="1:30" ht="15.55" x14ac:dyDescent="0.3">
      <c r="A203" s="4">
        <v>1000000002559</v>
      </c>
      <c r="B203" s="5" t="s">
        <v>689</v>
      </c>
      <c r="C203" s="4">
        <v>3000000001659</v>
      </c>
      <c r="D203" s="5" t="s">
        <v>690</v>
      </c>
      <c r="E203" s="5" t="s">
        <v>62</v>
      </c>
      <c r="F203" s="5" t="s">
        <v>63</v>
      </c>
      <c r="G203" s="10" cm="1">
        <f t="array" ref="G203">IF(OR($A203="",$L203=""),"",_xlfn.LET(_xlpm.cat,UPPER($E203),_xlpm.wt,IFERROR(VALUE(LEFT($L203,FIND(" ",$L203&amp;" ")-1)),$L203),_xlpm.ppk,_xlfn.SWITCH(TRUE,_xlpm.cat="GAMEFOWL",62,_xlpm.cat="POULTRY",45,_xlpm.cat="SWINE",48,_xlpm.cat="HOGS",48,_xlpm.cat="RABBIT",40,45),_xlpm.code,IFERROR(VALUE(LEFT($A203,FIND(" ",$A203&amp;" ")-1)),0),_xlpm.v,1+MOD(_xlpm.code,13)/100,ROUND(_xlpm.ppk*_xlpm.wt*_xlpm.v,0)))</f>
        <v>2520</v>
      </c>
      <c r="H203" s="6" cm="1">
        <f t="array" ref="H203">IF(OR($A203="",$L203=""),"",_xlfn.LET(_xlpm.cat,UPPER($E203),_xlpm.base,_xlfn.SWITCH(TRUE,_xlpm.cat="GAMEFOWL",0.22,_xlpm.cat="POULTRY",0.18,_xlpm.cat="SWINE",0.16,_xlpm.cat="HOGS",0.16,_xlpm.cat="RABBIT",0.15,0.17),_xlpm.code,IFERROR(VALUE(LEFT($A203,FIND(" ",$A203&amp;" ")-1)),0),_xlpm.v,MOD(_xlpm.code,9)/1000,MIN(0.3,MAX(0.1,_xlpm.base+_xlpm.v))))</f>
        <v>0.184</v>
      </c>
      <c r="I203" s="5" t="s">
        <v>77</v>
      </c>
      <c r="J203" s="5">
        <v>4</v>
      </c>
      <c r="K203" s="5">
        <v>0.33</v>
      </c>
      <c r="L203" s="5">
        <v>50</v>
      </c>
      <c r="M203" s="5">
        <v>4</v>
      </c>
      <c r="N203" s="5">
        <v>2</v>
      </c>
      <c r="O203" s="5">
        <v>2</v>
      </c>
      <c r="Q203" s="5" t="s">
        <v>691</v>
      </c>
      <c r="R203" s="5" t="s">
        <v>34</v>
      </c>
      <c r="S203" s="5" t="s">
        <v>692</v>
      </c>
      <c r="T203" s="7">
        <v>5000000000564</v>
      </c>
      <c r="U203" s="5" t="s">
        <v>102</v>
      </c>
      <c r="V203" s="7">
        <v>5000000000116</v>
      </c>
      <c r="W203" s="5" t="s">
        <v>103</v>
      </c>
      <c r="X203" s="5" t="s">
        <v>34</v>
      </c>
      <c r="Y203" s="5" t="s">
        <v>34</v>
      </c>
      <c r="Z203" s="5" t="s">
        <v>34</v>
      </c>
      <c r="AA203" s="5" t="s">
        <v>34</v>
      </c>
      <c r="AB203" s="5" t="s">
        <v>34</v>
      </c>
      <c r="AC203" s="5" t="s">
        <v>34</v>
      </c>
      <c r="AD203" s="5" t="s">
        <v>34</v>
      </c>
    </row>
    <row r="204" spans="1:30" ht="15.55" x14ac:dyDescent="0.3">
      <c r="A204" s="4">
        <v>1000000002560</v>
      </c>
      <c r="B204" s="5" t="s">
        <v>693</v>
      </c>
      <c r="C204" s="4">
        <v>3000000001658</v>
      </c>
      <c r="D204" s="5" t="s">
        <v>694</v>
      </c>
      <c r="E204" s="5" t="s">
        <v>62</v>
      </c>
      <c r="F204" s="5" t="s">
        <v>63</v>
      </c>
      <c r="G204" s="10" cm="1">
        <f t="array" ref="G204">IF(OR($A204="",$L204=""),"",_xlfn.LET(_xlpm.cat,UPPER($E204),_xlpm.wt,IFERROR(VALUE(LEFT($L204,FIND(" ",$L204&amp;" ")-1)),$L204),_xlpm.ppk,_xlfn.SWITCH(TRUE,_xlpm.cat="GAMEFOWL",62,_xlpm.cat="POULTRY",45,_xlpm.cat="SWINE",48,_xlpm.cat="HOGS",48,_xlpm.cat="RABBIT",40,45),_xlpm.code,IFERROR(VALUE(LEFT($A204,FIND(" ",$A204&amp;" ")-1)),0),_xlpm.v,1+MOD(_xlpm.code,13)/100,ROUND(_xlpm.ppk*_xlpm.wt*_xlpm.v,0)))</f>
        <v>2250</v>
      </c>
      <c r="H204" s="6" cm="1">
        <f t="array" ref="H204">IF(OR($A204="",$L204=""),"",_xlfn.LET(_xlpm.cat,UPPER($E204),_xlpm.base,_xlfn.SWITCH(TRUE,_xlpm.cat="GAMEFOWL",0.22,_xlpm.cat="POULTRY",0.18,_xlpm.cat="SWINE",0.16,_xlpm.cat="HOGS",0.16,_xlpm.cat="RABBIT",0.15,0.17),_xlpm.code,IFERROR(VALUE(LEFT($A204,FIND(" ",$A204&amp;" ")-1)),0),_xlpm.v,MOD(_xlpm.code,9)/1000,MIN(0.3,MAX(0.1,_xlpm.base+_xlpm.v))))</f>
        <v>0.185</v>
      </c>
      <c r="I204" s="5" t="s">
        <v>77</v>
      </c>
      <c r="J204" s="5">
        <v>4</v>
      </c>
      <c r="K204" s="5">
        <v>0.33</v>
      </c>
      <c r="L204" s="5">
        <v>50</v>
      </c>
      <c r="M204" s="5">
        <v>4</v>
      </c>
      <c r="N204" s="5">
        <v>2</v>
      </c>
      <c r="O204" s="5">
        <v>2</v>
      </c>
      <c r="Q204" s="5" t="s">
        <v>695</v>
      </c>
      <c r="R204" s="5" t="s">
        <v>34</v>
      </c>
      <c r="S204" s="5" t="s">
        <v>692</v>
      </c>
      <c r="T204" s="7">
        <v>5000000000565</v>
      </c>
      <c r="U204" s="5" t="s">
        <v>223</v>
      </c>
      <c r="V204" s="7">
        <v>5000000000117</v>
      </c>
      <c r="W204" s="5" t="s">
        <v>613</v>
      </c>
      <c r="X204" s="5" t="s">
        <v>34</v>
      </c>
      <c r="Y204" s="5" t="s">
        <v>34</v>
      </c>
      <c r="Z204" s="5" t="s">
        <v>34</v>
      </c>
      <c r="AA204" s="5">
        <v>8.8504973617021285</v>
      </c>
      <c r="AB204" s="5" t="s">
        <v>34</v>
      </c>
      <c r="AC204" s="5" t="s">
        <v>34</v>
      </c>
      <c r="AD204" s="5" t="s">
        <v>34</v>
      </c>
    </row>
    <row r="205" spans="1:30" ht="15.55" x14ac:dyDescent="0.3">
      <c r="A205" s="4">
        <v>1000000002561</v>
      </c>
      <c r="B205" s="5" t="s">
        <v>696</v>
      </c>
      <c r="C205" s="4">
        <v>3000000001657</v>
      </c>
      <c r="D205" s="5" t="s">
        <v>697</v>
      </c>
      <c r="E205" s="5" t="s">
        <v>62</v>
      </c>
      <c r="F205" s="5" t="s">
        <v>63</v>
      </c>
      <c r="G205" s="10" cm="1">
        <f t="array" ref="G205">IF(OR($A205="",$L205=""),"",_xlfn.LET(_xlpm.cat,UPPER($E205),_xlpm.wt,IFERROR(VALUE(LEFT($L205,FIND(" ",$L205&amp;" ")-1)),$L205),_xlpm.ppk,_xlfn.SWITCH(TRUE,_xlpm.cat="GAMEFOWL",62,_xlpm.cat="POULTRY",45,_xlpm.cat="SWINE",48,_xlpm.cat="HOGS",48,_xlpm.cat="RABBIT",40,45),_xlpm.code,IFERROR(VALUE(LEFT($A205,FIND(" ",$A205&amp;" ")-1)),0),_xlpm.v,1+MOD(_xlpm.code,13)/100,ROUND(_xlpm.ppk*_xlpm.wt*_xlpm.v,0)))</f>
        <v>2273</v>
      </c>
      <c r="H205" s="6" cm="1">
        <f t="array" ref="H205">IF(OR($A205="",$L205=""),"",_xlfn.LET(_xlpm.cat,UPPER($E205),_xlpm.base,_xlfn.SWITCH(TRUE,_xlpm.cat="GAMEFOWL",0.22,_xlpm.cat="POULTRY",0.18,_xlpm.cat="SWINE",0.16,_xlpm.cat="HOGS",0.16,_xlpm.cat="RABBIT",0.15,0.17),_xlpm.code,IFERROR(VALUE(LEFT($A205,FIND(" ",$A205&amp;" ")-1)),0),_xlpm.v,MOD(_xlpm.code,9)/1000,MIN(0.3,MAX(0.1,_xlpm.base+_xlpm.v))))</f>
        <v>0.186</v>
      </c>
      <c r="I205" s="5" t="s">
        <v>77</v>
      </c>
      <c r="J205" s="5">
        <v>4</v>
      </c>
      <c r="K205" s="5">
        <v>0.33</v>
      </c>
      <c r="L205" s="5">
        <v>50</v>
      </c>
      <c r="M205" s="5">
        <v>4</v>
      </c>
      <c r="N205" s="5">
        <v>2</v>
      </c>
      <c r="O205" s="5">
        <v>2</v>
      </c>
      <c r="Q205" s="5" t="s">
        <v>698</v>
      </c>
      <c r="R205" s="5" t="s">
        <v>34</v>
      </c>
      <c r="S205" s="5" t="s">
        <v>699</v>
      </c>
      <c r="T205" s="7">
        <v>5000000000038</v>
      </c>
      <c r="U205" s="5" t="s">
        <v>700</v>
      </c>
      <c r="V205" s="7" t="s">
        <v>34</v>
      </c>
      <c r="W205" s="5" t="s">
        <v>34</v>
      </c>
      <c r="X205" s="5" t="s">
        <v>34</v>
      </c>
      <c r="Y205" s="5" t="s">
        <v>34</v>
      </c>
      <c r="Z205" s="5" t="s">
        <v>34</v>
      </c>
      <c r="AA205" s="5" t="s">
        <v>34</v>
      </c>
      <c r="AB205" s="5" t="s">
        <v>34</v>
      </c>
      <c r="AC205" s="5" t="s">
        <v>34</v>
      </c>
      <c r="AD205" s="5" t="s">
        <v>34</v>
      </c>
    </row>
    <row r="206" spans="1:30" ht="15.55" x14ac:dyDescent="0.3">
      <c r="A206" s="4">
        <v>1000000002508</v>
      </c>
      <c r="B206" s="5" t="s">
        <v>701</v>
      </c>
      <c r="C206" s="4">
        <v>3000000001662</v>
      </c>
      <c r="D206" s="5" t="s">
        <v>702</v>
      </c>
      <c r="E206" s="5" t="s">
        <v>62</v>
      </c>
      <c r="F206" s="5" t="s">
        <v>34</v>
      </c>
      <c r="G206" s="10" cm="1">
        <f t="array" ref="G206">IF(OR($A206="",$L206=""),"",_xlfn.LET(_xlpm.cat,UPPER($E206),_xlpm.wt,IFERROR(VALUE(LEFT($L206,FIND(" ",$L206&amp;" ")-1)),$L206),_xlpm.ppk,_xlfn.SWITCH(TRUE,_xlpm.cat="GAMEFOWL",62,_xlpm.cat="POULTRY",45,_xlpm.cat="SWINE",48,_xlpm.cat="HOGS",48,_xlpm.cat="RABBIT",40,45),_xlpm.code,IFERROR(VALUE(LEFT($A206,FIND(" ",$A206&amp;" ")-1)),0),_xlpm.v,1+MOD(_xlpm.code,13)/100,ROUND(_xlpm.ppk*_xlpm.wt*_xlpm.v,0)))</f>
        <v>2250</v>
      </c>
      <c r="H206" s="6" cm="1">
        <f t="array" ref="H206">IF(OR($A206="",$L206=""),"",_xlfn.LET(_xlpm.cat,UPPER($E206),_xlpm.base,_xlfn.SWITCH(TRUE,_xlpm.cat="GAMEFOWL",0.22,_xlpm.cat="POULTRY",0.18,_xlpm.cat="SWINE",0.16,_xlpm.cat="HOGS",0.16,_xlpm.cat="RABBIT",0.15,0.17),_xlpm.code,IFERROR(VALUE(LEFT($A206,FIND(" ",$A206&amp;" ")-1)),0),_xlpm.v,MOD(_xlpm.code,9)/1000,MIN(0.3,MAX(0.1,_xlpm.base+_xlpm.v))))</f>
        <v>0.187</v>
      </c>
      <c r="I206" s="5" t="s">
        <v>77</v>
      </c>
      <c r="J206" s="5">
        <v>4</v>
      </c>
      <c r="K206" s="5">
        <v>0.33</v>
      </c>
      <c r="L206" s="5">
        <v>50</v>
      </c>
      <c r="M206" s="5">
        <v>4</v>
      </c>
      <c r="N206" s="5">
        <v>2</v>
      </c>
      <c r="O206" s="5">
        <v>2</v>
      </c>
      <c r="Q206" s="5" t="s">
        <v>703</v>
      </c>
      <c r="R206" s="5" t="s">
        <v>34</v>
      </c>
      <c r="S206" s="5" t="s">
        <v>699</v>
      </c>
      <c r="T206" s="7">
        <v>5000000000564</v>
      </c>
      <c r="U206" s="5" t="s">
        <v>102</v>
      </c>
      <c r="V206" s="7">
        <v>5000000000116</v>
      </c>
      <c r="W206" s="5" t="s">
        <v>103</v>
      </c>
      <c r="X206" s="5" t="s">
        <v>34</v>
      </c>
      <c r="Y206" s="5" t="s">
        <v>34</v>
      </c>
      <c r="Z206" s="5" t="s">
        <v>34</v>
      </c>
      <c r="AA206" s="5" t="s">
        <v>34</v>
      </c>
      <c r="AB206" s="5" t="s">
        <v>34</v>
      </c>
      <c r="AC206" s="5" t="s">
        <v>34</v>
      </c>
      <c r="AD206" s="5" t="s">
        <v>34</v>
      </c>
    </row>
    <row r="207" spans="1:30" ht="15.55" x14ac:dyDescent="0.3">
      <c r="A207" s="4">
        <v>1000000002509</v>
      </c>
      <c r="B207" s="5" t="s">
        <v>704</v>
      </c>
      <c r="C207" s="4">
        <v>3000000001661</v>
      </c>
      <c r="D207" s="5" t="s">
        <v>705</v>
      </c>
      <c r="E207" s="5" t="s">
        <v>62</v>
      </c>
      <c r="F207" s="5" t="s">
        <v>34</v>
      </c>
      <c r="G207" s="10" cm="1">
        <f t="array" ref="G207">IF(OR($A207="",$L207=""),"",_xlfn.LET(_xlpm.cat,UPPER($E207),_xlpm.wt,IFERROR(VALUE(LEFT($L207,FIND(" ",$L207&amp;" ")-1)),$L207),_xlpm.ppk,_xlfn.SWITCH(TRUE,_xlpm.cat="GAMEFOWL",62,_xlpm.cat="POULTRY",45,_xlpm.cat="SWINE",48,_xlpm.cat="HOGS",48,_xlpm.cat="RABBIT",40,45),_xlpm.code,IFERROR(VALUE(LEFT($A207,FIND(" ",$A207&amp;" ")-1)),0),_xlpm.v,1+MOD(_xlpm.code,13)/100,ROUND(_xlpm.ppk*_xlpm.wt*_xlpm.v,0)))</f>
        <v>2273</v>
      </c>
      <c r="H207" s="6" cm="1">
        <f t="array" ref="H207">IF(OR($A207="",$L207=""),"",_xlfn.LET(_xlpm.cat,UPPER($E207),_xlpm.base,_xlfn.SWITCH(TRUE,_xlpm.cat="GAMEFOWL",0.22,_xlpm.cat="POULTRY",0.18,_xlpm.cat="SWINE",0.16,_xlpm.cat="HOGS",0.16,_xlpm.cat="RABBIT",0.15,0.17),_xlpm.code,IFERROR(VALUE(LEFT($A207,FIND(" ",$A207&amp;" ")-1)),0),_xlpm.v,MOD(_xlpm.code,9)/1000,MIN(0.3,MAX(0.1,_xlpm.base+_xlpm.v))))</f>
        <v>0.188</v>
      </c>
      <c r="I207" s="5" t="s">
        <v>77</v>
      </c>
      <c r="J207" s="5">
        <v>4</v>
      </c>
      <c r="K207" s="5">
        <v>0.33</v>
      </c>
      <c r="L207" s="5">
        <v>50</v>
      </c>
      <c r="M207" s="5">
        <v>4</v>
      </c>
      <c r="N207" s="5">
        <v>2</v>
      </c>
      <c r="O207" s="5">
        <v>2</v>
      </c>
      <c r="Q207" s="5" t="s">
        <v>706</v>
      </c>
      <c r="R207" s="5" t="s">
        <v>34</v>
      </c>
      <c r="S207" s="5" t="s">
        <v>699</v>
      </c>
      <c r="T207" s="7">
        <v>5000000000565</v>
      </c>
      <c r="U207" s="5" t="s">
        <v>223</v>
      </c>
      <c r="V207" s="7">
        <v>5000000000117</v>
      </c>
      <c r="W207" s="5" t="s">
        <v>613</v>
      </c>
      <c r="X207" s="5" t="s">
        <v>34</v>
      </c>
      <c r="Y207" s="5" t="s">
        <v>34</v>
      </c>
      <c r="Z207" s="5" t="s">
        <v>34</v>
      </c>
      <c r="AA207" s="5" t="s">
        <v>34</v>
      </c>
      <c r="AB207" s="5" t="s">
        <v>34</v>
      </c>
      <c r="AC207" s="5" t="s">
        <v>34</v>
      </c>
      <c r="AD207" s="5" t="s">
        <v>34</v>
      </c>
    </row>
    <row r="208" spans="1:30" ht="15.55" x14ac:dyDescent="0.3">
      <c r="A208" s="4">
        <v>1000000002510</v>
      </c>
      <c r="B208" s="5" t="s">
        <v>707</v>
      </c>
      <c r="C208" s="4">
        <v>3000000001660</v>
      </c>
      <c r="D208" s="5" t="s">
        <v>708</v>
      </c>
      <c r="E208" s="5" t="s">
        <v>62</v>
      </c>
      <c r="F208" s="5" t="s">
        <v>34</v>
      </c>
      <c r="G208" s="10" cm="1">
        <f t="array" ref="G208">IF(OR($A208="",$L208=""),"",_xlfn.LET(_xlpm.cat,UPPER($E208),_xlpm.wt,IFERROR(VALUE(LEFT($L208,FIND(" ",$L208&amp;" ")-1)),$L208),_xlpm.ppk,_xlfn.SWITCH(TRUE,_xlpm.cat="GAMEFOWL",62,_xlpm.cat="POULTRY",45,_xlpm.cat="SWINE",48,_xlpm.cat="HOGS",48,_xlpm.cat="RABBIT",40,45),_xlpm.code,IFERROR(VALUE(LEFT($A208,FIND(" ",$A208&amp;" ")-1)),0),_xlpm.v,1+MOD(_xlpm.code,13)/100,ROUND(_xlpm.ppk*_xlpm.wt*_xlpm.v,0)))</f>
        <v>2295</v>
      </c>
      <c r="H208" s="6" cm="1">
        <f t="array" ref="H208">IF(OR($A208="",$L208=""),"",_xlfn.LET(_xlpm.cat,UPPER($E208),_xlpm.base,_xlfn.SWITCH(TRUE,_xlpm.cat="GAMEFOWL",0.22,_xlpm.cat="POULTRY",0.18,_xlpm.cat="SWINE",0.16,_xlpm.cat="HOGS",0.16,_xlpm.cat="RABBIT",0.15,0.17),_xlpm.code,IFERROR(VALUE(LEFT($A208,FIND(" ",$A208&amp;" ")-1)),0),_xlpm.v,MOD(_xlpm.code,9)/1000,MIN(0.3,MAX(0.1,_xlpm.base+_xlpm.v))))</f>
        <v>0.18</v>
      </c>
      <c r="I208" s="5" t="s">
        <v>77</v>
      </c>
      <c r="J208" s="5">
        <v>4</v>
      </c>
      <c r="K208" s="5">
        <v>0.33</v>
      </c>
      <c r="L208" s="5">
        <v>50</v>
      </c>
      <c r="M208" s="5">
        <v>4</v>
      </c>
      <c r="N208" s="5">
        <v>2</v>
      </c>
      <c r="O208" s="5">
        <v>2</v>
      </c>
      <c r="Q208" s="5" t="s">
        <v>709</v>
      </c>
      <c r="R208" s="5" t="s">
        <v>34</v>
      </c>
      <c r="S208" s="5" t="s">
        <v>692</v>
      </c>
      <c r="T208" s="7">
        <v>5000000000038</v>
      </c>
      <c r="U208" s="5" t="s">
        <v>700</v>
      </c>
      <c r="V208" s="7" t="s">
        <v>34</v>
      </c>
      <c r="W208" s="5" t="s">
        <v>34</v>
      </c>
      <c r="X208" s="5" t="s">
        <v>34</v>
      </c>
      <c r="Y208" s="5" t="s">
        <v>34</v>
      </c>
      <c r="Z208" s="5" t="s">
        <v>34</v>
      </c>
      <c r="AA208" s="5" t="s">
        <v>34</v>
      </c>
      <c r="AB208" s="5" t="s">
        <v>34</v>
      </c>
      <c r="AC208" s="5" t="s">
        <v>34</v>
      </c>
      <c r="AD208" s="5" t="s">
        <v>34</v>
      </c>
    </row>
    <row r="209" spans="1:30" ht="15.55" x14ac:dyDescent="0.3">
      <c r="A209" s="4">
        <v>1000000002622</v>
      </c>
      <c r="B209" s="5" t="s">
        <v>710</v>
      </c>
      <c r="C209" s="4">
        <v>3000000000334</v>
      </c>
      <c r="D209" s="5" t="s">
        <v>262</v>
      </c>
      <c r="E209" s="5" t="s">
        <v>62</v>
      </c>
      <c r="F209" s="5" t="s">
        <v>63</v>
      </c>
      <c r="G209" s="10" cm="1">
        <f t="array" ref="G209">IF(OR($A209="",$L209=""),"",_xlfn.LET(_xlpm.cat,UPPER($E209),_xlpm.wt,IFERROR(VALUE(LEFT($L209,FIND(" ",$L209&amp;" ")-1)),$L209),_xlpm.ppk,_xlfn.SWITCH(TRUE,_xlpm.cat="GAMEFOWL",62,_xlpm.cat="POULTRY",45,_xlpm.cat="SWINE",48,_xlpm.cat="HOGS",48,_xlpm.cat="RABBIT",40,45),_xlpm.code,IFERROR(VALUE(LEFT($A209,FIND(" ",$A209&amp;" ")-1)),0),_xlpm.v,1+MOD(_xlpm.code,13)/100,ROUND(_xlpm.ppk*_xlpm.wt*_xlpm.v,0)))</f>
        <v>24750</v>
      </c>
      <c r="H209" s="6" cm="1">
        <f t="array" ref="H209">IF(OR($A209="",$L209=""),"",_xlfn.LET(_xlpm.cat,UPPER($E209),_xlpm.base,_xlfn.SWITCH(TRUE,_xlpm.cat="GAMEFOWL",0.22,_xlpm.cat="POULTRY",0.18,_xlpm.cat="SWINE",0.16,_xlpm.cat="HOGS",0.16,_xlpm.cat="RABBIT",0.15,0.17),_xlpm.code,IFERROR(VALUE(LEFT($A209,FIND(" ",$A209&amp;" ")-1)),0),_xlpm.v,MOD(_xlpm.code,9)/1000,MIN(0.3,MAX(0.1,_xlpm.base+_xlpm.v))))</f>
        <v>0.184</v>
      </c>
      <c r="I209" s="5" t="s">
        <v>139</v>
      </c>
      <c r="J209" s="5">
        <v>3</v>
      </c>
      <c r="K209" s="5">
        <v>0.17</v>
      </c>
      <c r="L209" s="5">
        <v>500</v>
      </c>
      <c r="M209" s="5">
        <v>4</v>
      </c>
      <c r="N209" s="5">
        <v>2</v>
      </c>
      <c r="O209" s="5">
        <v>2</v>
      </c>
      <c r="Q209" s="5" t="s">
        <v>34</v>
      </c>
      <c r="R209" s="5" t="s">
        <v>34</v>
      </c>
      <c r="S209" s="5" t="s">
        <v>34</v>
      </c>
      <c r="T209" s="7" t="s">
        <v>34</v>
      </c>
      <c r="U209" s="5" t="s">
        <v>34</v>
      </c>
      <c r="V209" s="7" t="s">
        <v>34</v>
      </c>
      <c r="W209" s="5" t="s">
        <v>34</v>
      </c>
      <c r="X209" s="5" t="s">
        <v>34</v>
      </c>
      <c r="Y209" s="5" t="s">
        <v>34</v>
      </c>
      <c r="Z209" s="5" t="s">
        <v>34</v>
      </c>
      <c r="AA209" s="5" t="s">
        <v>34</v>
      </c>
      <c r="AB209" s="5" t="s">
        <v>34</v>
      </c>
      <c r="AC209" s="5">
        <v>8.790730878519879</v>
      </c>
      <c r="AD209" s="5">
        <v>8.8950432357455878</v>
      </c>
    </row>
    <row r="210" spans="1:30" ht="15.55" x14ac:dyDescent="0.3">
      <c r="A210" s="4">
        <v>1000000002623</v>
      </c>
      <c r="B210" s="5" t="s">
        <v>711</v>
      </c>
      <c r="C210" s="4">
        <v>3000000000332</v>
      </c>
      <c r="D210" s="5" t="s">
        <v>226</v>
      </c>
      <c r="E210" s="5" t="s">
        <v>62</v>
      </c>
      <c r="F210" s="5" t="s">
        <v>63</v>
      </c>
      <c r="G210" s="10" cm="1">
        <f t="array" ref="G210">IF(OR($A210="",$L210=""),"",_xlfn.LET(_xlpm.cat,UPPER($E210),_xlpm.wt,IFERROR(VALUE(LEFT($L210,FIND(" ",$L210&amp;" ")-1)),$L210),_xlpm.ppk,_xlfn.SWITCH(TRUE,_xlpm.cat="GAMEFOWL",62,_xlpm.cat="POULTRY",45,_xlpm.cat="SWINE",48,_xlpm.cat="HOGS",48,_xlpm.cat="RABBIT",40,45),_xlpm.code,IFERROR(VALUE(LEFT($A210,FIND(" ",$A210&amp;" ")-1)),0),_xlpm.v,1+MOD(_xlpm.code,13)/100,ROUND(_xlpm.ppk*_xlpm.wt*_xlpm.v,0)))</f>
        <v>24975</v>
      </c>
      <c r="H210" s="6" cm="1">
        <f t="array" ref="H210">IF(OR($A210="",$L210=""),"",_xlfn.LET(_xlpm.cat,UPPER($E210),_xlpm.base,_xlfn.SWITCH(TRUE,_xlpm.cat="GAMEFOWL",0.22,_xlpm.cat="POULTRY",0.18,_xlpm.cat="SWINE",0.16,_xlpm.cat="HOGS",0.16,_xlpm.cat="RABBIT",0.15,0.17),_xlpm.code,IFERROR(VALUE(LEFT($A210,FIND(" ",$A210&amp;" ")-1)),0),_xlpm.v,MOD(_xlpm.code,9)/1000,MIN(0.3,MAX(0.1,_xlpm.base+_xlpm.v))))</f>
        <v>0.185</v>
      </c>
      <c r="I210" s="5" t="s">
        <v>106</v>
      </c>
      <c r="J210" s="5">
        <v>3</v>
      </c>
      <c r="K210" s="5">
        <v>0.33</v>
      </c>
      <c r="L210" s="5">
        <v>500</v>
      </c>
      <c r="M210" s="5">
        <v>4</v>
      </c>
      <c r="N210" s="5">
        <v>2</v>
      </c>
      <c r="O210" s="5">
        <v>2</v>
      </c>
      <c r="Q210" s="5" t="s">
        <v>34</v>
      </c>
      <c r="R210" s="5" t="s">
        <v>34</v>
      </c>
      <c r="S210" s="5" t="s">
        <v>34</v>
      </c>
      <c r="T210" s="7" t="s">
        <v>34</v>
      </c>
      <c r="U210" s="5" t="s">
        <v>34</v>
      </c>
      <c r="V210" s="7" t="s">
        <v>34</v>
      </c>
      <c r="W210" s="5" t="s">
        <v>34</v>
      </c>
      <c r="X210" s="5" t="s">
        <v>34</v>
      </c>
      <c r="Y210" s="5" t="s">
        <v>34</v>
      </c>
      <c r="Z210" s="5">
        <v>7.3654889180740462</v>
      </c>
      <c r="AA210" s="5">
        <v>7.7137920000000006</v>
      </c>
      <c r="AB210" s="5" t="s">
        <v>34</v>
      </c>
      <c r="AC210" s="5" t="s">
        <v>34</v>
      </c>
      <c r="AD210" s="5" t="s">
        <v>34</v>
      </c>
    </row>
    <row r="211" spans="1:30" ht="15.55" x14ac:dyDescent="0.3">
      <c r="A211" s="4">
        <v>1000000002624</v>
      </c>
      <c r="B211" s="5" t="s">
        <v>712</v>
      </c>
      <c r="C211" s="4">
        <v>3000000000330</v>
      </c>
      <c r="D211" s="5" t="s">
        <v>283</v>
      </c>
      <c r="E211" s="5" t="s">
        <v>62</v>
      </c>
      <c r="F211" s="5" t="s">
        <v>63</v>
      </c>
      <c r="G211" s="10" cm="1">
        <f t="array" ref="G211">IF(OR($A211="",$L211=""),"",_xlfn.LET(_xlpm.cat,UPPER($E211),_xlpm.wt,IFERROR(VALUE(LEFT($L211,FIND(" ",$L211&amp;" ")-1)),$L211),_xlpm.ppk,_xlfn.SWITCH(TRUE,_xlpm.cat="GAMEFOWL",62,_xlpm.cat="POULTRY",45,_xlpm.cat="SWINE",48,_xlpm.cat="HOGS",48,_xlpm.cat="RABBIT",40,45),_xlpm.code,IFERROR(VALUE(LEFT($A211,FIND(" ",$A211&amp;" ")-1)),0),_xlpm.v,1+MOD(_xlpm.code,13)/100,ROUND(_xlpm.ppk*_xlpm.wt*_xlpm.v,0)))</f>
        <v>25200</v>
      </c>
      <c r="H211" s="6" cm="1">
        <f t="array" ref="H211">IF(OR($A211="",$L211=""),"",_xlfn.LET(_xlpm.cat,UPPER($E211),_xlpm.base,_xlfn.SWITCH(TRUE,_xlpm.cat="GAMEFOWL",0.22,_xlpm.cat="POULTRY",0.18,_xlpm.cat="SWINE",0.16,_xlpm.cat="HOGS",0.16,_xlpm.cat="RABBIT",0.15,0.17),_xlpm.code,IFERROR(VALUE(LEFT($A211,FIND(" ",$A211&amp;" ")-1)),0),_xlpm.v,MOD(_xlpm.code,9)/1000,MIN(0.3,MAX(0.1,_xlpm.base+_xlpm.v))))</f>
        <v>0.186</v>
      </c>
      <c r="I211" s="5" t="s">
        <v>64</v>
      </c>
      <c r="J211" s="5">
        <v>4</v>
      </c>
      <c r="K211" s="5">
        <v>0.33</v>
      </c>
      <c r="L211" s="5">
        <v>500</v>
      </c>
      <c r="M211" s="5">
        <v>4</v>
      </c>
      <c r="N211" s="5">
        <v>2</v>
      </c>
      <c r="O211" s="5">
        <v>2</v>
      </c>
      <c r="Q211" s="5" t="s">
        <v>34</v>
      </c>
      <c r="R211" s="5" t="s">
        <v>34</v>
      </c>
      <c r="S211" s="5" t="s">
        <v>34</v>
      </c>
      <c r="T211" s="7" t="s">
        <v>34</v>
      </c>
      <c r="U211" s="5" t="s">
        <v>34</v>
      </c>
      <c r="V211" s="7" t="s">
        <v>34</v>
      </c>
      <c r="W211" s="5" t="s">
        <v>34</v>
      </c>
      <c r="X211" s="5" t="s">
        <v>34</v>
      </c>
      <c r="Y211" s="5" t="s">
        <v>34</v>
      </c>
      <c r="Z211" s="5" t="s">
        <v>34</v>
      </c>
      <c r="AA211" s="5">
        <v>8.3932654179324739</v>
      </c>
      <c r="AB211" s="5" t="s">
        <v>34</v>
      </c>
      <c r="AC211" s="5" t="s">
        <v>34</v>
      </c>
      <c r="AD211" s="5" t="s">
        <v>34</v>
      </c>
    </row>
    <row r="212" spans="1:30" ht="15.55" x14ac:dyDescent="0.3">
      <c r="A212" s="4">
        <v>1000000002625</v>
      </c>
      <c r="B212" s="5" t="s">
        <v>713</v>
      </c>
      <c r="C212" s="4">
        <v>3000000001691</v>
      </c>
      <c r="D212" s="5" t="s">
        <v>714</v>
      </c>
      <c r="E212" s="5" t="s">
        <v>62</v>
      </c>
      <c r="F212" s="5" t="s">
        <v>34</v>
      </c>
      <c r="G212" s="10" cm="1">
        <f t="array" ref="G212">IF(OR($A212="",$L212=""),"",_xlfn.LET(_xlpm.cat,UPPER($E212),_xlpm.wt,IFERROR(VALUE(LEFT($L212,FIND(" ",$L212&amp;" ")-1)),$L212),_xlpm.ppk,_xlfn.SWITCH(TRUE,_xlpm.cat="GAMEFOWL",62,_xlpm.cat="POULTRY",45,_xlpm.cat="SWINE",48,_xlpm.cat="HOGS",48,_xlpm.cat="RABBIT",40,45),_xlpm.code,IFERROR(VALUE(LEFT($A212,FIND(" ",$A212&amp;" ")-1)),0),_xlpm.v,1+MOD(_xlpm.code,13)/100,ROUND(_xlpm.ppk*_xlpm.wt*_xlpm.v,0)))</f>
        <v>2250</v>
      </c>
      <c r="H212" s="6" cm="1">
        <f t="array" ref="H212">IF(OR($A212="",$L212=""),"",_xlfn.LET(_xlpm.cat,UPPER($E212),_xlpm.base,_xlfn.SWITCH(TRUE,_xlpm.cat="GAMEFOWL",0.22,_xlpm.cat="POULTRY",0.18,_xlpm.cat="SWINE",0.16,_xlpm.cat="HOGS",0.16,_xlpm.cat="RABBIT",0.15,0.17),_xlpm.code,IFERROR(VALUE(LEFT($A212,FIND(" ",$A212&amp;" ")-1)),0),_xlpm.v,MOD(_xlpm.code,9)/1000,MIN(0.3,MAX(0.1,_xlpm.base+_xlpm.v))))</f>
        <v>0.187</v>
      </c>
      <c r="I212" s="5" t="s">
        <v>57</v>
      </c>
      <c r="K212" s="5">
        <v>0</v>
      </c>
      <c r="L212" s="5">
        <v>50</v>
      </c>
      <c r="M212" s="5">
        <v>4</v>
      </c>
      <c r="N212" s="5">
        <v>2</v>
      </c>
      <c r="O212" s="5">
        <v>2</v>
      </c>
      <c r="Q212" s="5" t="s">
        <v>715</v>
      </c>
      <c r="R212" s="5" t="s">
        <v>34</v>
      </c>
      <c r="S212" s="5" t="s">
        <v>39</v>
      </c>
      <c r="T212" s="7">
        <v>5000000000038</v>
      </c>
      <c r="U212" s="5" t="s">
        <v>700</v>
      </c>
      <c r="V212" s="7" t="s">
        <v>34</v>
      </c>
      <c r="W212" s="5" t="s">
        <v>34</v>
      </c>
      <c r="X212" s="5" t="s">
        <v>34</v>
      </c>
      <c r="Y212" s="5" t="s">
        <v>34</v>
      </c>
      <c r="Z212" s="5" t="s">
        <v>34</v>
      </c>
      <c r="AA212" s="5" t="s">
        <v>34</v>
      </c>
      <c r="AB212" s="5" t="s">
        <v>34</v>
      </c>
      <c r="AC212" s="5" t="s">
        <v>34</v>
      </c>
      <c r="AD212" s="5" t="s">
        <v>34</v>
      </c>
    </row>
    <row r="213" spans="1:30" ht="15.55" x14ac:dyDescent="0.3">
      <c r="A213" s="4">
        <v>1000000002724</v>
      </c>
      <c r="B213" s="5" t="s">
        <v>716</v>
      </c>
      <c r="C213" s="4">
        <v>3000000001734</v>
      </c>
      <c r="D213" s="5" t="s">
        <v>717</v>
      </c>
      <c r="E213" s="5" t="s">
        <v>62</v>
      </c>
      <c r="F213" s="5" t="s">
        <v>63</v>
      </c>
      <c r="G213" s="10" cm="1">
        <f t="array" ref="G213">IF(OR($A213="",$L213=""),"",_xlfn.LET(_xlpm.cat,UPPER($E213),_xlpm.wt,IFERROR(VALUE(LEFT($L213,FIND(" ",$L213&amp;" ")-1)),$L213),_xlpm.ppk,_xlfn.SWITCH(TRUE,_xlpm.cat="GAMEFOWL",62,_xlpm.cat="POULTRY",45,_xlpm.cat="SWINE",48,_xlpm.cat="HOGS",48,_xlpm.cat="RABBIT",40,45),_xlpm.code,IFERROR(VALUE(LEFT($A213,FIND(" ",$A213&amp;" ")-1)),0),_xlpm.v,1+MOD(_xlpm.code,13)/100,ROUND(_xlpm.ppk*_xlpm.wt*_xlpm.v,0)))</f>
        <v>2430</v>
      </c>
      <c r="H213" s="6" cm="1">
        <f t="array" ref="H213">IF(OR($A213="",$L213=""),"",_xlfn.LET(_xlpm.cat,UPPER($E213),_xlpm.base,_xlfn.SWITCH(TRUE,_xlpm.cat="GAMEFOWL",0.22,_xlpm.cat="POULTRY",0.18,_xlpm.cat="SWINE",0.16,_xlpm.cat="HOGS",0.16,_xlpm.cat="RABBIT",0.15,0.17),_xlpm.code,IFERROR(VALUE(LEFT($A213,FIND(" ",$A213&amp;" ")-1)),0),_xlpm.v,MOD(_xlpm.code,9)/1000,MIN(0.3,MAX(0.1,_xlpm.base+_xlpm.v))))</f>
        <v>0.187</v>
      </c>
      <c r="I213" s="5" t="s">
        <v>77</v>
      </c>
      <c r="J213" s="5">
        <v>4</v>
      </c>
      <c r="K213" s="5">
        <v>0.33</v>
      </c>
      <c r="L213" s="5">
        <v>50</v>
      </c>
      <c r="M213" s="5">
        <v>4</v>
      </c>
      <c r="N213" s="5">
        <v>2</v>
      </c>
      <c r="O213" s="5">
        <v>2</v>
      </c>
      <c r="Q213" s="5" t="s">
        <v>718</v>
      </c>
      <c r="R213" s="5" t="s">
        <v>34</v>
      </c>
      <c r="S213" s="5" t="s">
        <v>526</v>
      </c>
      <c r="T213" s="7">
        <v>5000000000556</v>
      </c>
      <c r="U213" s="5" t="s">
        <v>461</v>
      </c>
      <c r="V213" s="7">
        <v>5000000000498</v>
      </c>
      <c r="W213" s="5" t="s">
        <v>462</v>
      </c>
      <c r="X213" s="5" t="s">
        <v>34</v>
      </c>
      <c r="Y213" s="5" t="s">
        <v>34</v>
      </c>
      <c r="Z213" s="5" t="s">
        <v>34</v>
      </c>
      <c r="AA213" s="5" t="s">
        <v>34</v>
      </c>
      <c r="AB213" s="5" t="s">
        <v>34</v>
      </c>
      <c r="AC213" s="5" t="s">
        <v>34</v>
      </c>
      <c r="AD213" s="5" t="s">
        <v>34</v>
      </c>
    </row>
    <row r="214" spans="1:30" ht="15.55" x14ac:dyDescent="0.3">
      <c r="A214" s="4">
        <v>1000000002725</v>
      </c>
      <c r="B214" s="5" t="s">
        <v>719</v>
      </c>
      <c r="C214" s="4">
        <v>3000000001733</v>
      </c>
      <c r="D214" s="5" t="s">
        <v>720</v>
      </c>
      <c r="E214" s="5" t="s">
        <v>62</v>
      </c>
      <c r="F214" s="5" t="s">
        <v>63</v>
      </c>
      <c r="G214" s="10" cm="1">
        <f t="array" ref="G214">IF(OR($A214="",$L214=""),"",_xlfn.LET(_xlpm.cat,UPPER($E214),_xlpm.wt,IFERROR(VALUE(LEFT($L214,FIND(" ",$L214&amp;" ")-1)),$L214),_xlpm.ppk,_xlfn.SWITCH(TRUE,_xlpm.cat="GAMEFOWL",62,_xlpm.cat="POULTRY",45,_xlpm.cat="SWINE",48,_xlpm.cat="HOGS",48,_xlpm.cat="RABBIT",40,45),_xlpm.code,IFERROR(VALUE(LEFT($A214,FIND(" ",$A214&amp;" ")-1)),0),_xlpm.v,1+MOD(_xlpm.code,13)/100,ROUND(_xlpm.ppk*_xlpm.wt*_xlpm.v,0)))</f>
        <v>2453</v>
      </c>
      <c r="H214" s="6" cm="1">
        <f t="array" ref="H214">IF(OR($A214="",$L214=""),"",_xlfn.LET(_xlpm.cat,UPPER($E214),_xlpm.base,_xlfn.SWITCH(TRUE,_xlpm.cat="GAMEFOWL",0.22,_xlpm.cat="POULTRY",0.18,_xlpm.cat="SWINE",0.16,_xlpm.cat="HOGS",0.16,_xlpm.cat="RABBIT",0.15,0.17),_xlpm.code,IFERROR(VALUE(LEFT($A214,FIND(" ",$A214&amp;" ")-1)),0),_xlpm.v,MOD(_xlpm.code,9)/1000,MIN(0.3,MAX(0.1,_xlpm.base+_xlpm.v))))</f>
        <v>0.188</v>
      </c>
      <c r="I214" s="5" t="s">
        <v>77</v>
      </c>
      <c r="J214" s="5">
        <v>4</v>
      </c>
      <c r="K214" s="5">
        <v>0.33</v>
      </c>
      <c r="L214" s="5">
        <v>50</v>
      </c>
      <c r="M214" s="5">
        <v>4</v>
      </c>
      <c r="N214" s="5">
        <v>2</v>
      </c>
      <c r="O214" s="5">
        <v>2</v>
      </c>
      <c r="Q214" s="5" t="s">
        <v>721</v>
      </c>
      <c r="R214" s="5" t="s">
        <v>34</v>
      </c>
      <c r="S214" s="5" t="s">
        <v>526</v>
      </c>
      <c r="T214" s="7">
        <v>5000000000555</v>
      </c>
      <c r="U214" s="5" t="s">
        <v>466</v>
      </c>
      <c r="V214" s="7">
        <v>5000000000614</v>
      </c>
      <c r="W214" s="5" t="s">
        <v>467</v>
      </c>
      <c r="X214" s="5" t="s">
        <v>34</v>
      </c>
      <c r="Y214" s="5" t="s">
        <v>34</v>
      </c>
      <c r="Z214" s="5" t="s">
        <v>34</v>
      </c>
      <c r="AA214" s="5" t="s">
        <v>34</v>
      </c>
      <c r="AB214" s="5" t="s">
        <v>34</v>
      </c>
      <c r="AC214" s="5" t="s">
        <v>34</v>
      </c>
      <c r="AD214" s="5" t="s">
        <v>34</v>
      </c>
    </row>
    <row r="215" spans="1:30" ht="15.55" x14ac:dyDescent="0.3">
      <c r="A215" s="4">
        <v>1000000002719</v>
      </c>
      <c r="B215" s="5" t="s">
        <v>722</v>
      </c>
      <c r="C215" s="4">
        <v>3000000001743</v>
      </c>
      <c r="D215" s="5" t="s">
        <v>723</v>
      </c>
      <c r="E215" s="5" t="s">
        <v>62</v>
      </c>
      <c r="F215" s="5" t="s">
        <v>63</v>
      </c>
      <c r="G215" s="10" cm="1">
        <f t="array" ref="G215">IF(OR($A215="",$L215=""),"",_xlfn.LET(_xlpm.cat,UPPER($E215),_xlpm.wt,IFERROR(VALUE(LEFT($L215,FIND(" ",$L215&amp;" ")-1)),$L215),_xlpm.ppk,_xlfn.SWITCH(TRUE,_xlpm.cat="GAMEFOWL",62,_xlpm.cat="POULTRY",45,_xlpm.cat="SWINE",48,_xlpm.cat="HOGS",48,_xlpm.cat="RABBIT",40,45),_xlpm.code,IFERROR(VALUE(LEFT($A215,FIND(" ",$A215&amp;" ")-1)),0),_xlpm.v,1+MOD(_xlpm.code,13)/100,ROUND(_xlpm.ppk*_xlpm.wt*_xlpm.v,0)))</f>
        <v>2318</v>
      </c>
      <c r="H215" s="6" cm="1">
        <f t="array" ref="H215">IF(OR($A215="",$L215=""),"",_xlfn.LET(_xlpm.cat,UPPER($E215),_xlpm.base,_xlfn.SWITCH(TRUE,_xlpm.cat="GAMEFOWL",0.22,_xlpm.cat="POULTRY",0.18,_xlpm.cat="SWINE",0.16,_xlpm.cat="HOGS",0.16,_xlpm.cat="RABBIT",0.15,0.17),_xlpm.code,IFERROR(VALUE(LEFT($A215,FIND(" ",$A215&amp;" ")-1)),0),_xlpm.v,MOD(_xlpm.code,9)/1000,MIN(0.3,MAX(0.1,_xlpm.base+_xlpm.v))))</f>
        <v>0.182</v>
      </c>
      <c r="I215" s="5" t="s">
        <v>77</v>
      </c>
      <c r="J215" s="5">
        <v>4</v>
      </c>
      <c r="K215" s="5">
        <v>0.33</v>
      </c>
      <c r="L215" s="5">
        <v>50</v>
      </c>
      <c r="M215" s="5">
        <v>4</v>
      </c>
      <c r="N215" s="5">
        <v>2</v>
      </c>
      <c r="O215" s="5">
        <v>2</v>
      </c>
      <c r="Q215" s="5" t="s">
        <v>724</v>
      </c>
      <c r="R215" s="5" t="s">
        <v>34</v>
      </c>
      <c r="S215" s="5" t="s">
        <v>526</v>
      </c>
      <c r="T215" s="7">
        <v>5000000000983</v>
      </c>
      <c r="U215" s="5" t="s">
        <v>725</v>
      </c>
      <c r="V215" s="7">
        <v>5000000000117</v>
      </c>
      <c r="W215" s="5" t="s">
        <v>726</v>
      </c>
      <c r="X215" s="5" t="s">
        <v>34</v>
      </c>
      <c r="Y215" s="5" t="s">
        <v>34</v>
      </c>
      <c r="Z215" s="5" t="s">
        <v>34</v>
      </c>
      <c r="AA215" s="5" t="s">
        <v>34</v>
      </c>
      <c r="AB215" s="5" t="s">
        <v>34</v>
      </c>
      <c r="AC215" s="5" t="s">
        <v>34</v>
      </c>
      <c r="AD215" s="5" t="s">
        <v>34</v>
      </c>
    </row>
    <row r="216" spans="1:30" ht="15.55" x14ac:dyDescent="0.3">
      <c r="A216" s="4">
        <v>1000000002720</v>
      </c>
      <c r="B216" s="5" t="s">
        <v>727</v>
      </c>
      <c r="C216" s="4">
        <v>3000000001744</v>
      </c>
      <c r="D216" s="5" t="s">
        <v>728</v>
      </c>
      <c r="E216" s="5" t="s">
        <v>62</v>
      </c>
      <c r="F216" s="5" t="s">
        <v>63</v>
      </c>
      <c r="G216" s="10" cm="1">
        <f t="array" ref="G216">IF(OR($A216="",$L216=""),"",_xlfn.LET(_xlpm.cat,UPPER($E216),_xlpm.wt,IFERROR(VALUE(LEFT($L216,FIND(" ",$L216&amp;" ")-1)),$L216),_xlpm.ppk,_xlfn.SWITCH(TRUE,_xlpm.cat="GAMEFOWL",62,_xlpm.cat="POULTRY",45,_xlpm.cat="SWINE",48,_xlpm.cat="HOGS",48,_xlpm.cat="RABBIT",40,45),_xlpm.code,IFERROR(VALUE(LEFT($A216,FIND(" ",$A216&amp;" ")-1)),0),_xlpm.v,1+MOD(_xlpm.code,13)/100,ROUND(_xlpm.ppk*_xlpm.wt*_xlpm.v,0)))</f>
        <v>2340</v>
      </c>
      <c r="H216" s="6" cm="1">
        <f t="array" ref="H216">IF(OR($A216="",$L216=""),"",_xlfn.LET(_xlpm.cat,UPPER($E216),_xlpm.base,_xlfn.SWITCH(TRUE,_xlpm.cat="GAMEFOWL",0.22,_xlpm.cat="POULTRY",0.18,_xlpm.cat="SWINE",0.16,_xlpm.cat="HOGS",0.16,_xlpm.cat="RABBIT",0.15,0.17),_xlpm.code,IFERROR(VALUE(LEFT($A216,FIND(" ",$A216&amp;" ")-1)),0),_xlpm.v,MOD(_xlpm.code,9)/1000,MIN(0.3,MAX(0.1,_xlpm.base+_xlpm.v))))</f>
        <v>0.183</v>
      </c>
      <c r="I216" s="5" t="s">
        <v>77</v>
      </c>
      <c r="J216" s="5">
        <v>4</v>
      </c>
      <c r="K216" s="5">
        <v>0.33</v>
      </c>
      <c r="L216" s="5">
        <v>50</v>
      </c>
      <c r="M216" s="5">
        <v>4</v>
      </c>
      <c r="N216" s="5">
        <v>2</v>
      </c>
      <c r="O216" s="5">
        <v>2</v>
      </c>
      <c r="Q216" s="5" t="s">
        <v>729</v>
      </c>
      <c r="R216" s="5" t="s">
        <v>34</v>
      </c>
      <c r="S216" s="5" t="s">
        <v>526</v>
      </c>
      <c r="T216" s="7">
        <v>5000000000565</v>
      </c>
      <c r="U216" s="5" t="s">
        <v>730</v>
      </c>
      <c r="V216" s="7">
        <v>5000000000117</v>
      </c>
      <c r="W216" s="5" t="s">
        <v>726</v>
      </c>
      <c r="X216" s="5" t="s">
        <v>34</v>
      </c>
      <c r="Y216" s="5" t="s">
        <v>34</v>
      </c>
      <c r="Z216" s="5" t="s">
        <v>34</v>
      </c>
      <c r="AA216" s="5" t="s">
        <v>34</v>
      </c>
      <c r="AB216" s="5" t="s">
        <v>34</v>
      </c>
      <c r="AC216" s="5" t="s">
        <v>34</v>
      </c>
      <c r="AD216" s="5" t="s">
        <v>34</v>
      </c>
    </row>
    <row r="217" spans="1:30" ht="15.55" x14ac:dyDescent="0.3">
      <c r="A217" s="4">
        <v>1000000002747</v>
      </c>
      <c r="B217" s="5" t="s">
        <v>731</v>
      </c>
      <c r="C217" s="4">
        <v>3000000001747</v>
      </c>
      <c r="D217" s="5" t="s">
        <v>732</v>
      </c>
      <c r="E217" s="5" t="s">
        <v>62</v>
      </c>
      <c r="F217" s="5" t="s">
        <v>34</v>
      </c>
      <c r="G217" s="10" cm="1">
        <f t="array" ref="G217">IF(OR($A217="",$L217=""),"",_xlfn.LET(_xlpm.cat,UPPER($E217),_xlpm.wt,IFERROR(VALUE(LEFT($L217,FIND(" ",$L217&amp;" ")-1)),$L217),_xlpm.ppk,_xlfn.SWITCH(TRUE,_xlpm.cat="GAMEFOWL",62,_xlpm.cat="POULTRY",45,_xlpm.cat="SWINE",48,_xlpm.cat="HOGS",48,_xlpm.cat="RABBIT",40,45),_xlpm.code,IFERROR(VALUE(LEFT($A217,FIND(" ",$A217&amp;" ")-1)),0),_xlpm.v,1+MOD(_xlpm.code,13)/100,ROUND(_xlpm.ppk*_xlpm.wt*_xlpm.v,0)))</f>
        <v>2363</v>
      </c>
      <c r="H217" s="6" cm="1">
        <f t="array" ref="H217">IF(OR($A217="",$L217=""),"",_xlfn.LET(_xlpm.cat,UPPER($E217),_xlpm.base,_xlfn.SWITCH(TRUE,_xlpm.cat="GAMEFOWL",0.22,_xlpm.cat="POULTRY",0.18,_xlpm.cat="SWINE",0.16,_xlpm.cat="HOGS",0.16,_xlpm.cat="RABBIT",0.15,0.17),_xlpm.code,IFERROR(VALUE(LEFT($A217,FIND(" ",$A217&amp;" ")-1)),0),_xlpm.v,MOD(_xlpm.code,9)/1000,MIN(0.3,MAX(0.1,_xlpm.base+_xlpm.v))))</f>
        <v>0.183</v>
      </c>
      <c r="I217" s="5" t="s">
        <v>57</v>
      </c>
      <c r="K217" s="5">
        <v>0</v>
      </c>
      <c r="L217" s="5">
        <v>50</v>
      </c>
      <c r="M217" s="5">
        <v>4</v>
      </c>
      <c r="N217" s="5">
        <v>2</v>
      </c>
      <c r="O217" s="5">
        <v>2</v>
      </c>
      <c r="Q217" s="5" t="s">
        <v>733</v>
      </c>
      <c r="R217" s="5" t="s">
        <v>34</v>
      </c>
      <c r="S217" s="5" t="s">
        <v>245</v>
      </c>
      <c r="T217" s="7">
        <v>5000000000038</v>
      </c>
      <c r="U217" s="5" t="s">
        <v>700</v>
      </c>
      <c r="V217" s="7" t="s">
        <v>34</v>
      </c>
      <c r="W217" s="5" t="s">
        <v>734</v>
      </c>
      <c r="X217" s="5" t="s">
        <v>34</v>
      </c>
      <c r="Y217" s="5" t="s">
        <v>34</v>
      </c>
      <c r="Z217" s="5" t="s">
        <v>34</v>
      </c>
      <c r="AA217" s="5" t="s">
        <v>34</v>
      </c>
      <c r="AB217" s="5" t="s">
        <v>34</v>
      </c>
      <c r="AC217" s="5" t="s">
        <v>34</v>
      </c>
      <c r="AD217" s="5" t="s">
        <v>34</v>
      </c>
    </row>
    <row r="218" spans="1:30" ht="15.55" x14ac:dyDescent="0.3">
      <c r="A218" s="4">
        <v>1000000002736</v>
      </c>
      <c r="B218" s="5" t="s">
        <v>735</v>
      </c>
      <c r="C218" s="4">
        <v>3000000001738</v>
      </c>
      <c r="D218" s="5" t="s">
        <v>736</v>
      </c>
      <c r="E218" s="5" t="s">
        <v>86</v>
      </c>
      <c r="F218" s="5" t="s">
        <v>63</v>
      </c>
      <c r="G218" s="10" cm="1">
        <f t="array" ref="G218">IF(OR($A218="",$L218=""),"",_xlfn.LET(_xlpm.cat,UPPER($E218),_xlpm.wt,IFERROR(VALUE(LEFT($L218,FIND(" ",$L218&amp;" ")-1)),$L218),_xlpm.ppk,_xlfn.SWITCH(TRUE,_xlpm.cat="GAMEFOWL",62,_xlpm.cat="POULTRY",45,_xlpm.cat="SWINE",48,_xlpm.cat="HOGS",48,_xlpm.cat="RABBIT",40,45),_xlpm.code,IFERROR(VALUE(LEFT($A218,FIND(" ",$A218&amp;" ")-1)),0),_xlpm.v,1+MOD(_xlpm.code,13)/100,ROUND(_xlpm.ppk*_xlpm.wt*_xlpm.v,0)))</f>
        <v>3317</v>
      </c>
      <c r="H218" s="6" cm="1">
        <f t="array" ref="H218">IF(OR($A218="",$L218=""),"",_xlfn.LET(_xlpm.cat,UPPER($E218),_xlpm.base,_xlfn.SWITCH(TRUE,_xlpm.cat="GAMEFOWL",0.22,_xlpm.cat="POULTRY",0.18,_xlpm.cat="SWINE",0.16,_xlpm.cat="HOGS",0.16,_xlpm.cat="RABBIT",0.15,0.17),_xlpm.code,IFERROR(VALUE(LEFT($A218,FIND(" ",$A218&amp;" ")-1)),0),_xlpm.v,MOD(_xlpm.code,9)/1000,MIN(0.3,MAX(0.1,_xlpm.base+_xlpm.v))))</f>
        <v>0.221</v>
      </c>
      <c r="I218" s="5" t="s">
        <v>122</v>
      </c>
      <c r="J218" s="5">
        <v>3</v>
      </c>
      <c r="K218" s="5">
        <v>0</v>
      </c>
      <c r="L218" s="5">
        <v>50</v>
      </c>
      <c r="M218" s="5">
        <v>0.8</v>
      </c>
      <c r="P218" s="5">
        <v>0.8</v>
      </c>
      <c r="Q218" s="5" t="s">
        <v>34</v>
      </c>
      <c r="R218" s="5" t="s">
        <v>34</v>
      </c>
      <c r="S218" s="5" t="s">
        <v>34</v>
      </c>
      <c r="T218" s="7" t="s">
        <v>34</v>
      </c>
      <c r="U218" s="5" t="s">
        <v>34</v>
      </c>
      <c r="V218" s="7" t="s">
        <v>34</v>
      </c>
      <c r="W218" s="5" t="s">
        <v>34</v>
      </c>
      <c r="X218" s="5" t="s">
        <v>34</v>
      </c>
      <c r="Y218" s="5" t="s">
        <v>34</v>
      </c>
      <c r="Z218" s="5" t="s">
        <v>34</v>
      </c>
      <c r="AA218" s="5" t="s">
        <v>34</v>
      </c>
      <c r="AB218" s="5" t="s">
        <v>34</v>
      </c>
      <c r="AC218" s="5" t="s">
        <v>34</v>
      </c>
      <c r="AD218" s="5" t="s">
        <v>34</v>
      </c>
    </row>
    <row r="219" spans="1:30" ht="15.55" x14ac:dyDescent="0.3">
      <c r="A219" s="4">
        <v>3000000001737</v>
      </c>
      <c r="B219" s="5" t="s">
        <v>737</v>
      </c>
      <c r="C219" s="4">
        <v>3000000001737</v>
      </c>
      <c r="D219" s="5" t="s">
        <v>737</v>
      </c>
      <c r="E219" s="5" t="s">
        <v>86</v>
      </c>
      <c r="F219" s="5" t="s">
        <v>113</v>
      </c>
      <c r="G219" s="10" cm="1">
        <f t="array" ref="G219">IF(OR($A219="",$L219=""),"",_xlfn.LET(_xlpm.cat,UPPER($E219),_xlpm.wt,IFERROR(VALUE(LEFT($L219,FIND(" ",$L219&amp;" ")-1)),$L219),_xlpm.ppk,_xlfn.SWITCH(TRUE,_xlpm.cat="GAMEFOWL",62,_xlpm.cat="POULTRY",45,_xlpm.cat="SWINE",48,_xlpm.cat="HOGS",48,_xlpm.cat="RABBIT",40,45),_xlpm.code,IFERROR(VALUE(LEFT($A219,FIND(" ",$A219&amp;" ")-1)),0),_xlpm.v,1+MOD(_xlpm.code,13)/100,ROUND(_xlpm.ppk*_xlpm.wt*_xlpm.v,0)))</f>
        <v>3441</v>
      </c>
      <c r="H219" s="6" cm="1">
        <f t="array" ref="H219">IF(OR($A219="",$L219=""),"",_xlfn.LET(_xlpm.cat,UPPER($E219),_xlpm.base,_xlfn.SWITCH(TRUE,_xlpm.cat="GAMEFOWL",0.22,_xlpm.cat="POULTRY",0.18,_xlpm.cat="SWINE",0.16,_xlpm.cat="HOGS",0.16,_xlpm.cat="RABBIT",0.15,0.17),_xlpm.code,IFERROR(VALUE(LEFT($A219,FIND(" ",$A219&amp;" ")-1)),0),_xlpm.v,MOD(_xlpm.code,9)/1000,MIN(0.3,MAX(0.1,_xlpm.base+_xlpm.v))))</f>
        <v>0.223</v>
      </c>
      <c r="I219" s="5" t="s">
        <v>139</v>
      </c>
      <c r="J219" s="5">
        <v>3</v>
      </c>
      <c r="K219" s="5">
        <v>0.17</v>
      </c>
      <c r="L219" s="5">
        <v>50</v>
      </c>
      <c r="M219" s="5">
        <v>4</v>
      </c>
      <c r="N219" s="5">
        <v>2</v>
      </c>
      <c r="O219" s="5">
        <v>2</v>
      </c>
      <c r="Q219" s="5" t="s">
        <v>34</v>
      </c>
      <c r="R219" s="5" t="s">
        <v>34</v>
      </c>
      <c r="S219" s="5" t="s">
        <v>34</v>
      </c>
      <c r="T219" s="7" t="s">
        <v>34</v>
      </c>
      <c r="U219" s="5" t="s">
        <v>34</v>
      </c>
      <c r="V219" s="7" t="s">
        <v>34</v>
      </c>
      <c r="W219" s="5" t="s">
        <v>34</v>
      </c>
      <c r="X219" s="5" t="s">
        <v>34</v>
      </c>
      <c r="Y219" s="5" t="s">
        <v>34</v>
      </c>
      <c r="Z219" s="5" t="s">
        <v>34</v>
      </c>
      <c r="AA219" s="5" t="s">
        <v>34</v>
      </c>
      <c r="AB219" s="5" t="s">
        <v>34</v>
      </c>
      <c r="AC219" s="5" t="s">
        <v>34</v>
      </c>
      <c r="AD219" s="5" t="s">
        <v>34</v>
      </c>
    </row>
    <row r="220" spans="1:30" ht="15.55" x14ac:dyDescent="0.3">
      <c r="A220" s="4">
        <v>1000000002761</v>
      </c>
      <c r="B220" s="5" t="s">
        <v>738</v>
      </c>
      <c r="C220" s="4">
        <v>3000000001739</v>
      </c>
      <c r="D220" s="5" t="s">
        <v>739</v>
      </c>
      <c r="E220" s="5" t="s">
        <v>62</v>
      </c>
      <c r="F220" s="5" t="s">
        <v>63</v>
      </c>
      <c r="G220" s="10" cm="1">
        <f t="array" ref="G220">IF(OR($A220="",$L220=""),"",_xlfn.LET(_xlpm.cat,UPPER($E220),_xlpm.wt,IFERROR(VALUE(LEFT($L220,FIND(" ",$L220&amp;" ")-1)),$L220),_xlpm.ppk,_xlfn.SWITCH(TRUE,_xlpm.cat="GAMEFOWL",62,_xlpm.cat="POULTRY",45,_xlpm.cat="SWINE",48,_xlpm.cat="HOGS",48,_xlpm.cat="RABBIT",40,45),_xlpm.code,IFERROR(VALUE(LEFT($A220,FIND(" ",$A220&amp;" ")-1)),0),_xlpm.v,1+MOD(_xlpm.code,13)/100,ROUND(_xlpm.ppk*_xlpm.wt*_xlpm.v,0)))</f>
        <v>2385</v>
      </c>
      <c r="H220" s="6" cm="1">
        <f t="array" ref="H220">IF(OR($A220="",$L220=""),"",_xlfn.LET(_xlpm.cat,UPPER($E220),_xlpm.base,_xlfn.SWITCH(TRUE,_xlpm.cat="GAMEFOWL",0.22,_xlpm.cat="POULTRY",0.18,_xlpm.cat="SWINE",0.16,_xlpm.cat="HOGS",0.16,_xlpm.cat="RABBIT",0.15,0.17),_xlpm.code,IFERROR(VALUE(LEFT($A220,FIND(" ",$A220&amp;" ")-1)),0),_xlpm.v,MOD(_xlpm.code,9)/1000,MIN(0.3,MAX(0.1,_xlpm.base+_xlpm.v))))</f>
        <v>0.188</v>
      </c>
      <c r="I220" s="5" t="s">
        <v>77</v>
      </c>
      <c r="J220" s="5">
        <v>4</v>
      </c>
      <c r="K220" s="5">
        <v>0.33</v>
      </c>
      <c r="L220" s="5">
        <v>50</v>
      </c>
      <c r="M220" s="5">
        <v>4</v>
      </c>
      <c r="N220" s="5">
        <v>2</v>
      </c>
      <c r="O220" s="5">
        <v>2</v>
      </c>
      <c r="Q220" s="5" t="s">
        <v>34</v>
      </c>
      <c r="R220" s="5" t="s">
        <v>34</v>
      </c>
      <c r="S220" s="5" t="s">
        <v>34</v>
      </c>
      <c r="T220" s="7" t="s">
        <v>34</v>
      </c>
      <c r="U220" s="5" t="s">
        <v>34</v>
      </c>
      <c r="V220" s="7" t="s">
        <v>34</v>
      </c>
      <c r="W220" s="5" t="s">
        <v>34</v>
      </c>
      <c r="X220" s="5" t="s">
        <v>34</v>
      </c>
      <c r="Y220" s="5" t="s">
        <v>34</v>
      </c>
      <c r="Z220" s="5" t="s">
        <v>34</v>
      </c>
      <c r="AA220" s="5" t="s">
        <v>34</v>
      </c>
      <c r="AB220" s="5" t="s">
        <v>34</v>
      </c>
      <c r="AC220" s="5" t="s">
        <v>34</v>
      </c>
      <c r="AD220" s="5" t="s">
        <v>34</v>
      </c>
    </row>
    <row r="221" spans="1:30" ht="15.55" x14ac:dyDescent="0.3">
      <c r="A221" s="4">
        <v>1000000002787</v>
      </c>
      <c r="B221" s="5" t="s">
        <v>740</v>
      </c>
      <c r="C221" s="4"/>
      <c r="E221" s="5" t="s">
        <v>31</v>
      </c>
      <c r="F221" s="5" t="s">
        <v>32</v>
      </c>
      <c r="G221" s="10" t="str" cm="1">
        <f t="array" ref="G221">IF(OR($A221="",$L221=""),"",_xlfn.LET(_xlpm.cat,UPPER($E221),_xlpm.wt,IFERROR(VALUE(LEFT($L221,FIND(" ",$L221&amp;" ")-1)),$L221),_xlpm.ppk,_xlfn.SWITCH(TRUE,_xlpm.cat="GAMEFOWL",62,_xlpm.cat="POULTRY",45,_xlpm.cat="SWINE",48,_xlpm.cat="HOGS",48,_xlpm.cat="RABBIT",40,45),_xlpm.code,IFERROR(VALUE(LEFT($A221,FIND(" ",$A221&amp;" ")-1)),0),_xlpm.v,1+MOD(_xlpm.code,13)/100,ROUND(_xlpm.ppk*_xlpm.wt*_xlpm.v,0)))</f>
        <v/>
      </c>
      <c r="H221" s="6" t="str" cm="1">
        <f t="array" ref="H221">IF(OR($A221="",$L221=""),"",_xlfn.LET(_xlpm.cat,UPPER($E221),_xlpm.base,_xlfn.SWITCH(TRUE,_xlpm.cat="GAMEFOWL",0.22,_xlpm.cat="POULTRY",0.18,_xlpm.cat="SWINE",0.16,_xlpm.cat="HOGS",0.16,_xlpm.cat="RABBIT",0.15,0.17),_xlpm.code,IFERROR(VALUE(LEFT($A221,FIND(" ",$A221&amp;" ")-1)),0),_xlpm.v,MOD(_xlpm.code,9)/1000,MIN(0.3,MAX(0.1,_xlpm.base+_xlpm.v))))</f>
        <v/>
      </c>
      <c r="K221" s="5">
        <v>0</v>
      </c>
      <c r="Q221" s="5" t="s">
        <v>34</v>
      </c>
      <c r="R221" s="5" t="s">
        <v>34</v>
      </c>
      <c r="S221" s="5" t="s">
        <v>34</v>
      </c>
      <c r="T221" s="7" t="s">
        <v>34</v>
      </c>
      <c r="U221" s="5" t="s">
        <v>34</v>
      </c>
      <c r="V221" s="7" t="s">
        <v>34</v>
      </c>
      <c r="W221" s="5" t="s">
        <v>34</v>
      </c>
      <c r="X221" s="5" t="s">
        <v>34</v>
      </c>
      <c r="Y221" s="5" t="s">
        <v>34</v>
      </c>
      <c r="Z221" s="5" t="s">
        <v>34</v>
      </c>
      <c r="AA221" s="5" t="s">
        <v>34</v>
      </c>
      <c r="AB221" s="5" t="s">
        <v>34</v>
      </c>
      <c r="AC221" s="5" t="s">
        <v>34</v>
      </c>
      <c r="AD221" s="5" t="s">
        <v>34</v>
      </c>
    </row>
    <row r="222" spans="1:30" ht="15.55" x14ac:dyDescent="0.3">
      <c r="A222" s="4">
        <v>1000000002788</v>
      </c>
      <c r="B222" s="5" t="s">
        <v>741</v>
      </c>
      <c r="C222" s="4"/>
      <c r="E222" s="5" t="s">
        <v>31</v>
      </c>
      <c r="F222" s="5" t="s">
        <v>32</v>
      </c>
      <c r="G222" s="10" t="str" cm="1">
        <f t="array" ref="G222">IF(OR($A222="",$L222=""),"",_xlfn.LET(_xlpm.cat,UPPER($E222),_xlpm.wt,IFERROR(VALUE(LEFT($L222,FIND(" ",$L222&amp;" ")-1)),$L222),_xlpm.ppk,_xlfn.SWITCH(TRUE,_xlpm.cat="GAMEFOWL",62,_xlpm.cat="POULTRY",45,_xlpm.cat="SWINE",48,_xlpm.cat="HOGS",48,_xlpm.cat="RABBIT",40,45),_xlpm.code,IFERROR(VALUE(LEFT($A222,FIND(" ",$A222&amp;" ")-1)),0),_xlpm.v,1+MOD(_xlpm.code,13)/100,ROUND(_xlpm.ppk*_xlpm.wt*_xlpm.v,0)))</f>
        <v/>
      </c>
      <c r="H222" s="6" t="str" cm="1">
        <f t="array" ref="H222">IF(OR($A222="",$L222=""),"",_xlfn.LET(_xlpm.cat,UPPER($E222),_xlpm.base,_xlfn.SWITCH(TRUE,_xlpm.cat="GAMEFOWL",0.22,_xlpm.cat="POULTRY",0.18,_xlpm.cat="SWINE",0.16,_xlpm.cat="HOGS",0.16,_xlpm.cat="RABBIT",0.15,0.17),_xlpm.code,IFERROR(VALUE(LEFT($A222,FIND(" ",$A222&amp;" ")-1)),0),_xlpm.v,MOD(_xlpm.code,9)/1000,MIN(0.3,MAX(0.1,_xlpm.base+_xlpm.v))))</f>
        <v/>
      </c>
      <c r="K222" s="5">
        <v>0</v>
      </c>
      <c r="Q222" s="5" t="s">
        <v>34</v>
      </c>
      <c r="R222" s="5" t="s">
        <v>34</v>
      </c>
      <c r="S222" s="5" t="s">
        <v>34</v>
      </c>
      <c r="T222" s="7" t="s">
        <v>34</v>
      </c>
      <c r="U222" s="5" t="s">
        <v>34</v>
      </c>
      <c r="V222" s="7" t="s">
        <v>34</v>
      </c>
      <c r="W222" s="5" t="s">
        <v>34</v>
      </c>
      <c r="X222" s="5" t="s">
        <v>34</v>
      </c>
      <c r="Y222" s="5" t="s">
        <v>34</v>
      </c>
      <c r="Z222" s="5" t="s">
        <v>34</v>
      </c>
      <c r="AA222" s="5" t="s">
        <v>34</v>
      </c>
      <c r="AB222" s="5" t="s">
        <v>34</v>
      </c>
      <c r="AC222" s="5" t="s">
        <v>34</v>
      </c>
      <c r="AD222" s="5" t="s">
        <v>34</v>
      </c>
    </row>
    <row r="223" spans="1:30" ht="15.55" x14ac:dyDescent="0.3">
      <c r="A223" s="4">
        <v>1000000002789</v>
      </c>
      <c r="B223" s="5" t="s">
        <v>742</v>
      </c>
      <c r="C223" s="4"/>
      <c r="E223" s="5" t="s">
        <v>31</v>
      </c>
      <c r="F223" s="5" t="s">
        <v>32</v>
      </c>
      <c r="G223" s="10" t="str" cm="1">
        <f t="array" ref="G223">IF(OR($A223="",$L223=""),"",_xlfn.LET(_xlpm.cat,UPPER($E223),_xlpm.wt,IFERROR(VALUE(LEFT($L223,FIND(" ",$L223&amp;" ")-1)),$L223),_xlpm.ppk,_xlfn.SWITCH(TRUE,_xlpm.cat="GAMEFOWL",62,_xlpm.cat="POULTRY",45,_xlpm.cat="SWINE",48,_xlpm.cat="HOGS",48,_xlpm.cat="RABBIT",40,45),_xlpm.code,IFERROR(VALUE(LEFT($A223,FIND(" ",$A223&amp;" ")-1)),0),_xlpm.v,1+MOD(_xlpm.code,13)/100,ROUND(_xlpm.ppk*_xlpm.wt*_xlpm.v,0)))</f>
        <v/>
      </c>
      <c r="H223" s="6" t="str" cm="1">
        <f t="array" ref="H223">IF(OR($A223="",$L223=""),"",_xlfn.LET(_xlpm.cat,UPPER($E223),_xlpm.base,_xlfn.SWITCH(TRUE,_xlpm.cat="GAMEFOWL",0.22,_xlpm.cat="POULTRY",0.18,_xlpm.cat="SWINE",0.16,_xlpm.cat="HOGS",0.16,_xlpm.cat="RABBIT",0.15,0.17),_xlpm.code,IFERROR(VALUE(LEFT($A223,FIND(" ",$A223&amp;" ")-1)),0),_xlpm.v,MOD(_xlpm.code,9)/1000,MIN(0.3,MAX(0.1,_xlpm.base+_xlpm.v))))</f>
        <v/>
      </c>
      <c r="K223" s="5">
        <v>0</v>
      </c>
      <c r="Q223" s="5" t="s">
        <v>34</v>
      </c>
      <c r="R223" s="5" t="s">
        <v>34</v>
      </c>
      <c r="S223" s="5" t="s">
        <v>34</v>
      </c>
      <c r="T223" s="7" t="s">
        <v>34</v>
      </c>
      <c r="U223" s="5" t="s">
        <v>34</v>
      </c>
      <c r="V223" s="7" t="s">
        <v>34</v>
      </c>
      <c r="W223" s="5" t="s">
        <v>34</v>
      </c>
      <c r="X223" s="5" t="s">
        <v>34</v>
      </c>
      <c r="Y223" s="5" t="s">
        <v>34</v>
      </c>
      <c r="Z223" s="5" t="s">
        <v>34</v>
      </c>
      <c r="AA223" s="5" t="s">
        <v>34</v>
      </c>
      <c r="AB223" s="5" t="s">
        <v>34</v>
      </c>
      <c r="AC223" s="5" t="s">
        <v>34</v>
      </c>
      <c r="AD223" s="5" t="s">
        <v>34</v>
      </c>
    </row>
    <row r="224" spans="1:30" ht="15.55" x14ac:dyDescent="0.3">
      <c r="A224" s="4">
        <v>1000000002782</v>
      </c>
      <c r="B224" s="5" t="s">
        <v>743</v>
      </c>
      <c r="C224" s="4">
        <v>3000000001748</v>
      </c>
      <c r="D224" s="5" t="s">
        <v>744</v>
      </c>
      <c r="E224" s="5" t="s">
        <v>62</v>
      </c>
      <c r="F224" s="5" t="s">
        <v>34</v>
      </c>
      <c r="G224" s="10" cm="1">
        <f t="array" ref="G224">IF(OR($A224="",$L224=""),"",_xlfn.LET(_xlpm.cat,UPPER($E224),_xlpm.wt,IFERROR(VALUE(LEFT($L224,FIND(" ",$L224&amp;" ")-1)),$L224),_xlpm.ppk,_xlfn.SWITCH(TRUE,_xlpm.cat="GAMEFOWL",62,_xlpm.cat="POULTRY",45,_xlpm.cat="SWINE",48,_xlpm.cat="HOGS",48,_xlpm.cat="RABBIT",40,45),_xlpm.code,IFERROR(VALUE(LEFT($A224,FIND(" ",$A224&amp;" ")-1)),0),_xlpm.v,1+MOD(_xlpm.code,13)/100,ROUND(_xlpm.ppk*_xlpm.wt*_xlpm.v,0)))</f>
        <v>22725</v>
      </c>
      <c r="H224" s="6" cm="1">
        <f t="array" ref="H224">IF(OR($A224="",$L224=""),"",_xlfn.LET(_xlpm.cat,UPPER($E224),_xlpm.base,_xlfn.SWITCH(TRUE,_xlpm.cat="GAMEFOWL",0.22,_xlpm.cat="POULTRY",0.18,_xlpm.cat="SWINE",0.16,_xlpm.cat="HOGS",0.16,_xlpm.cat="RABBIT",0.15,0.17),_xlpm.code,IFERROR(VALUE(LEFT($A224,FIND(" ",$A224&amp;" ")-1)),0),_xlpm.v,MOD(_xlpm.code,9)/1000,MIN(0.3,MAX(0.1,_xlpm.base+_xlpm.v))))</f>
        <v>0.182</v>
      </c>
      <c r="I224" s="5" t="s">
        <v>57</v>
      </c>
      <c r="K224" s="5">
        <v>0</v>
      </c>
      <c r="L224" s="5">
        <v>500</v>
      </c>
      <c r="M224" s="5">
        <v>4</v>
      </c>
      <c r="N224" s="5">
        <v>2</v>
      </c>
      <c r="O224" s="5">
        <v>2</v>
      </c>
      <c r="Q224" s="5" t="s">
        <v>745</v>
      </c>
      <c r="R224" s="5" t="s">
        <v>34</v>
      </c>
      <c r="S224" s="5" t="s">
        <v>39</v>
      </c>
      <c r="T224" s="7">
        <v>5000000000601</v>
      </c>
      <c r="U224" s="5" t="s">
        <v>307</v>
      </c>
      <c r="V224" s="7" t="s">
        <v>34</v>
      </c>
      <c r="W224" s="5" t="s">
        <v>34</v>
      </c>
      <c r="X224" s="5" t="s">
        <v>34</v>
      </c>
      <c r="Y224" s="5" t="s">
        <v>34</v>
      </c>
      <c r="Z224" s="5" t="s">
        <v>34</v>
      </c>
      <c r="AA224" s="5" t="s">
        <v>34</v>
      </c>
      <c r="AB224" s="5" t="s">
        <v>34</v>
      </c>
      <c r="AC224" s="5" t="s">
        <v>34</v>
      </c>
      <c r="AD224" s="5" t="s">
        <v>34</v>
      </c>
    </row>
    <row r="225" spans="1:30" ht="15.55" x14ac:dyDescent="0.3">
      <c r="A225" s="4">
        <v>1000000002783</v>
      </c>
      <c r="B225" s="5" t="s">
        <v>746</v>
      </c>
      <c r="C225" s="4">
        <v>3000000001749</v>
      </c>
      <c r="D225" s="5" t="s">
        <v>747</v>
      </c>
      <c r="E225" s="5" t="s">
        <v>62</v>
      </c>
      <c r="F225" s="5" t="s">
        <v>34</v>
      </c>
      <c r="G225" s="10" cm="1">
        <f t="array" ref="G225">IF(OR($A225="",$L225=""),"",_xlfn.LET(_xlpm.cat,UPPER($E225),_xlpm.wt,IFERROR(VALUE(LEFT($L225,FIND(" ",$L225&amp;" ")-1)),$L225),_xlpm.ppk,_xlfn.SWITCH(TRUE,_xlpm.cat="GAMEFOWL",62,_xlpm.cat="POULTRY",45,_xlpm.cat="SWINE",48,_xlpm.cat="HOGS",48,_xlpm.cat="RABBIT",40,45),_xlpm.code,IFERROR(VALUE(LEFT($A225,FIND(" ",$A225&amp;" ")-1)),0),_xlpm.v,1+MOD(_xlpm.code,13)/100,ROUND(_xlpm.ppk*_xlpm.wt*_xlpm.v,0)))</f>
        <v>22950</v>
      </c>
      <c r="H225" s="6" cm="1">
        <f t="array" ref="H225">IF(OR($A225="",$L225=""),"",_xlfn.LET(_xlpm.cat,UPPER($E225),_xlpm.base,_xlfn.SWITCH(TRUE,_xlpm.cat="GAMEFOWL",0.22,_xlpm.cat="POULTRY",0.18,_xlpm.cat="SWINE",0.16,_xlpm.cat="HOGS",0.16,_xlpm.cat="RABBIT",0.15,0.17),_xlpm.code,IFERROR(VALUE(LEFT($A225,FIND(" ",$A225&amp;" ")-1)),0),_xlpm.v,MOD(_xlpm.code,9)/1000,MIN(0.3,MAX(0.1,_xlpm.base+_xlpm.v))))</f>
        <v>0.183</v>
      </c>
      <c r="I225" s="5" t="s">
        <v>57</v>
      </c>
      <c r="K225" s="5">
        <v>0</v>
      </c>
      <c r="L225" s="5">
        <v>500</v>
      </c>
      <c r="M225" s="5">
        <v>4</v>
      </c>
      <c r="N225" s="5">
        <v>2</v>
      </c>
      <c r="O225" s="5">
        <v>2</v>
      </c>
      <c r="Q225" s="5" t="s">
        <v>748</v>
      </c>
      <c r="R225" s="5" t="s">
        <v>34</v>
      </c>
      <c r="S225" s="5" t="s">
        <v>39</v>
      </c>
      <c r="T225" s="7">
        <v>5000000000601</v>
      </c>
      <c r="U225" s="5" t="s">
        <v>307</v>
      </c>
      <c r="V225" s="7" t="s">
        <v>34</v>
      </c>
      <c r="W225" s="5" t="s">
        <v>34</v>
      </c>
      <c r="X225" s="5" t="s">
        <v>34</v>
      </c>
      <c r="Y225" s="5" t="s">
        <v>34</v>
      </c>
      <c r="Z225" s="5" t="s">
        <v>34</v>
      </c>
      <c r="AA225" s="5" t="s">
        <v>34</v>
      </c>
      <c r="AB225" s="5" t="s">
        <v>34</v>
      </c>
      <c r="AC225" s="5" t="s">
        <v>34</v>
      </c>
      <c r="AD225" s="5" t="s">
        <v>34</v>
      </c>
    </row>
    <row r="226" spans="1:30" ht="15.55" x14ac:dyDescent="0.3">
      <c r="A226" s="4">
        <v>1000000002784</v>
      </c>
      <c r="B226" s="5" t="s">
        <v>749</v>
      </c>
      <c r="C226" s="4">
        <v>3000000001750</v>
      </c>
      <c r="D226" s="5" t="s">
        <v>750</v>
      </c>
      <c r="E226" s="5" t="s">
        <v>62</v>
      </c>
      <c r="F226" s="5" t="s">
        <v>34</v>
      </c>
      <c r="G226" s="10" cm="1">
        <f t="array" ref="G226">IF(OR($A226="",$L226=""),"",_xlfn.LET(_xlpm.cat,UPPER($E226),_xlpm.wt,IFERROR(VALUE(LEFT($L226,FIND(" ",$L226&amp;" ")-1)),$L226),_xlpm.ppk,_xlfn.SWITCH(TRUE,_xlpm.cat="GAMEFOWL",62,_xlpm.cat="POULTRY",45,_xlpm.cat="SWINE",48,_xlpm.cat="HOGS",48,_xlpm.cat="RABBIT",40,45),_xlpm.code,IFERROR(VALUE(LEFT($A226,FIND(" ",$A226&amp;" ")-1)),0),_xlpm.v,1+MOD(_xlpm.code,13)/100,ROUND(_xlpm.ppk*_xlpm.wt*_xlpm.v,0)))</f>
        <v>23175</v>
      </c>
      <c r="H226" s="6" cm="1">
        <f t="array" ref="H226">IF(OR($A226="",$L226=""),"",_xlfn.LET(_xlpm.cat,UPPER($E226),_xlpm.base,_xlfn.SWITCH(TRUE,_xlpm.cat="GAMEFOWL",0.22,_xlpm.cat="POULTRY",0.18,_xlpm.cat="SWINE",0.16,_xlpm.cat="HOGS",0.16,_xlpm.cat="RABBIT",0.15,0.17),_xlpm.code,IFERROR(VALUE(LEFT($A226,FIND(" ",$A226&amp;" ")-1)),0),_xlpm.v,MOD(_xlpm.code,9)/1000,MIN(0.3,MAX(0.1,_xlpm.base+_xlpm.v))))</f>
        <v>0.184</v>
      </c>
      <c r="I226" s="5" t="s">
        <v>57</v>
      </c>
      <c r="K226" s="5">
        <v>0</v>
      </c>
      <c r="L226" s="5">
        <v>500</v>
      </c>
      <c r="M226" s="5">
        <v>4</v>
      </c>
      <c r="N226" s="5">
        <v>2</v>
      </c>
      <c r="O226" s="5">
        <v>2</v>
      </c>
      <c r="Q226" s="5" t="s">
        <v>751</v>
      </c>
      <c r="R226" s="5" t="s">
        <v>34</v>
      </c>
      <c r="S226" s="5" t="s">
        <v>39</v>
      </c>
      <c r="T226" s="7">
        <v>5000000000601</v>
      </c>
      <c r="U226" s="5" t="s">
        <v>307</v>
      </c>
      <c r="V226" s="7" t="s">
        <v>34</v>
      </c>
      <c r="W226" s="5" t="s">
        <v>34</v>
      </c>
      <c r="X226" s="5" t="s">
        <v>34</v>
      </c>
      <c r="Y226" s="5" t="s">
        <v>34</v>
      </c>
      <c r="Z226" s="5" t="s">
        <v>34</v>
      </c>
      <c r="AA226" s="5" t="s">
        <v>34</v>
      </c>
      <c r="AB226" s="5" t="s">
        <v>34</v>
      </c>
      <c r="AC226" s="5" t="s">
        <v>34</v>
      </c>
      <c r="AD226" s="5" t="s">
        <v>34</v>
      </c>
    </row>
    <row r="227" spans="1:30" ht="15.55" x14ac:dyDescent="0.3">
      <c r="A227" s="4">
        <v>1000000002785</v>
      </c>
      <c r="B227" s="5" t="s">
        <v>752</v>
      </c>
      <c r="C227" s="4">
        <v>3000000001761</v>
      </c>
      <c r="D227" s="5" t="s">
        <v>753</v>
      </c>
      <c r="E227" s="5" t="s">
        <v>62</v>
      </c>
      <c r="F227" s="5" t="s">
        <v>34</v>
      </c>
      <c r="G227" s="10" cm="1">
        <f t="array" ref="G227">IF(OR($A227="",$L227=""),"",_xlfn.LET(_xlpm.cat,UPPER($E227),_xlpm.wt,IFERROR(VALUE(LEFT($L227,FIND(" ",$L227&amp;" ")-1)),$L227),_xlpm.ppk,_xlfn.SWITCH(TRUE,_xlpm.cat="GAMEFOWL",62,_xlpm.cat="POULTRY",45,_xlpm.cat="SWINE",48,_xlpm.cat="HOGS",48,_xlpm.cat="RABBIT",40,45),_xlpm.code,IFERROR(VALUE(LEFT($A227,FIND(" ",$A227&amp;" ")-1)),0),_xlpm.v,1+MOD(_xlpm.code,13)/100,ROUND(_xlpm.ppk*_xlpm.wt*_xlpm.v,0)))</f>
        <v>23400</v>
      </c>
      <c r="H227" s="6" cm="1">
        <f t="array" ref="H227">IF(OR($A227="",$L227=""),"",_xlfn.LET(_xlpm.cat,UPPER($E227),_xlpm.base,_xlfn.SWITCH(TRUE,_xlpm.cat="GAMEFOWL",0.22,_xlpm.cat="POULTRY",0.18,_xlpm.cat="SWINE",0.16,_xlpm.cat="HOGS",0.16,_xlpm.cat="RABBIT",0.15,0.17),_xlpm.code,IFERROR(VALUE(LEFT($A227,FIND(" ",$A227&amp;" ")-1)),0),_xlpm.v,MOD(_xlpm.code,9)/1000,MIN(0.3,MAX(0.1,_xlpm.base+_xlpm.v))))</f>
        <v>0.185</v>
      </c>
      <c r="I227" s="5" t="s">
        <v>57</v>
      </c>
      <c r="K227" s="5">
        <v>0</v>
      </c>
      <c r="L227" s="5">
        <v>500</v>
      </c>
      <c r="M227" s="5">
        <v>4</v>
      </c>
      <c r="N227" s="5">
        <v>2</v>
      </c>
      <c r="O227" s="5">
        <v>2</v>
      </c>
      <c r="Q227" s="5" t="s">
        <v>754</v>
      </c>
      <c r="R227" s="5" t="s">
        <v>34</v>
      </c>
      <c r="S227" s="5" t="s">
        <v>39</v>
      </c>
      <c r="T227" s="7">
        <v>5000000000601</v>
      </c>
      <c r="U227" s="5" t="s">
        <v>307</v>
      </c>
      <c r="V227" s="7" t="s">
        <v>34</v>
      </c>
      <c r="W227" s="5" t="s">
        <v>34</v>
      </c>
      <c r="X227" s="5" t="s">
        <v>34</v>
      </c>
      <c r="Y227" s="5" t="s">
        <v>34</v>
      </c>
      <c r="Z227" s="5" t="s">
        <v>34</v>
      </c>
      <c r="AA227" s="5" t="s">
        <v>34</v>
      </c>
      <c r="AB227" s="5" t="s">
        <v>34</v>
      </c>
      <c r="AC227" s="5" t="s">
        <v>34</v>
      </c>
      <c r="AD227" s="5" t="s">
        <v>34</v>
      </c>
    </row>
    <row r="228" spans="1:30" ht="15.55" x14ac:dyDescent="0.3">
      <c r="A228" s="4">
        <v>1000000002786</v>
      </c>
      <c r="B228" s="5" t="s">
        <v>755</v>
      </c>
      <c r="C228" s="4">
        <v>3000000001762</v>
      </c>
      <c r="D228" s="5" t="s">
        <v>756</v>
      </c>
      <c r="E228" s="5" t="s">
        <v>62</v>
      </c>
      <c r="F228" s="5" t="s">
        <v>34</v>
      </c>
      <c r="G228" s="10" cm="1">
        <f t="array" ref="G228">IF(OR($A228="",$L228=""),"",_xlfn.LET(_xlpm.cat,UPPER($E228),_xlpm.wt,IFERROR(VALUE(LEFT($L228,FIND(" ",$L228&amp;" ")-1)),$L228),_xlpm.ppk,_xlfn.SWITCH(TRUE,_xlpm.cat="GAMEFOWL",62,_xlpm.cat="POULTRY",45,_xlpm.cat="SWINE",48,_xlpm.cat="HOGS",48,_xlpm.cat="RABBIT",40,45),_xlpm.code,IFERROR(VALUE(LEFT($A228,FIND(" ",$A228&amp;" ")-1)),0),_xlpm.v,1+MOD(_xlpm.code,13)/100,ROUND(_xlpm.ppk*_xlpm.wt*_xlpm.v,0)))</f>
        <v>23625</v>
      </c>
      <c r="H228" s="6" cm="1">
        <f t="array" ref="H228">IF(OR($A228="",$L228=""),"",_xlfn.LET(_xlpm.cat,UPPER($E228),_xlpm.base,_xlfn.SWITCH(TRUE,_xlpm.cat="GAMEFOWL",0.22,_xlpm.cat="POULTRY",0.18,_xlpm.cat="SWINE",0.16,_xlpm.cat="HOGS",0.16,_xlpm.cat="RABBIT",0.15,0.17),_xlpm.code,IFERROR(VALUE(LEFT($A228,FIND(" ",$A228&amp;" ")-1)),0),_xlpm.v,MOD(_xlpm.code,9)/1000,MIN(0.3,MAX(0.1,_xlpm.base+_xlpm.v))))</f>
        <v>0.186</v>
      </c>
      <c r="I228" s="5" t="s">
        <v>57</v>
      </c>
      <c r="K228" s="5">
        <v>0</v>
      </c>
      <c r="L228" s="5">
        <v>500</v>
      </c>
      <c r="M228" s="5">
        <v>4</v>
      </c>
      <c r="N228" s="5">
        <v>2</v>
      </c>
      <c r="O228" s="5">
        <v>2</v>
      </c>
      <c r="Q228" s="5" t="s">
        <v>757</v>
      </c>
      <c r="R228" s="5" t="s">
        <v>34</v>
      </c>
      <c r="S228" s="5" t="s">
        <v>39</v>
      </c>
      <c r="T228" s="7">
        <v>5000000000601</v>
      </c>
      <c r="U228" s="5" t="s">
        <v>307</v>
      </c>
      <c r="V228" s="7" t="s">
        <v>34</v>
      </c>
      <c r="W228" s="5" t="s">
        <v>34</v>
      </c>
      <c r="X228" s="5" t="s">
        <v>34</v>
      </c>
      <c r="Y228" s="5" t="s">
        <v>34</v>
      </c>
      <c r="Z228" s="5" t="s">
        <v>34</v>
      </c>
      <c r="AA228" s="5" t="s">
        <v>34</v>
      </c>
      <c r="AB228" s="5" t="s">
        <v>34</v>
      </c>
      <c r="AC228" s="5" t="s">
        <v>34</v>
      </c>
      <c r="AD228" s="5" t="s">
        <v>34</v>
      </c>
    </row>
    <row r="229" spans="1:30" ht="15.55" x14ac:dyDescent="0.3">
      <c r="A229" s="4">
        <v>1000000000160</v>
      </c>
      <c r="B229" s="5" t="s">
        <v>758</v>
      </c>
      <c r="C229" s="4"/>
      <c r="E229" s="5" t="s">
        <v>31</v>
      </c>
      <c r="F229" s="5" t="s">
        <v>32</v>
      </c>
      <c r="G229" s="10" cm="1">
        <f t="array" ref="G229">IF(OR($A229="",$L229=""),"",_xlfn.LET(_xlpm.cat,UPPER($E229),_xlpm.wt,IFERROR(VALUE(LEFT($L229,FIND(" ",$L229&amp;" ")-1)),$L229),_xlpm.ppk,_xlfn.SWITCH(TRUE,_xlpm.cat="GAMEFOWL",62,_xlpm.cat="POULTRY",45,_xlpm.cat="SWINE",48,_xlpm.cat="HOGS",48,_xlpm.cat="RABBIT",40,45),_xlpm.code,IFERROR(VALUE(LEFT($A229,FIND(" ",$A229&amp;" ")-1)),0),_xlpm.v,1+MOD(_xlpm.code,13)/100,ROUND(_xlpm.ppk*_xlpm.wt*_xlpm.v,0)))</f>
        <v>25200</v>
      </c>
      <c r="H229" s="6" cm="1">
        <f t="array" ref="H229">IF(OR($A229="",$L229=""),"",_xlfn.LET(_xlpm.cat,UPPER($E229),_xlpm.base,_xlfn.SWITCH(TRUE,_xlpm.cat="GAMEFOWL",0.22,_xlpm.cat="POULTRY",0.18,_xlpm.cat="SWINE",0.16,_xlpm.cat="HOGS",0.16,_xlpm.cat="RABBIT",0.15,0.17),_xlpm.code,IFERROR(VALUE(LEFT($A229,FIND(" ",$A229&amp;" ")-1)),0),_xlpm.v,MOD(_xlpm.code,9)/1000,MIN(0.3,MAX(0.1,_xlpm.base+_xlpm.v))))</f>
        <v>0.16800000000000001</v>
      </c>
      <c r="I229" s="5" t="s">
        <v>33</v>
      </c>
      <c r="J229" s="5">
        <v>4</v>
      </c>
      <c r="K229" s="5">
        <v>0.17</v>
      </c>
      <c r="L229" s="5">
        <v>500</v>
      </c>
      <c r="M229" s="5">
        <v>4</v>
      </c>
      <c r="N229" s="5">
        <v>2</v>
      </c>
      <c r="O229" s="5">
        <v>2</v>
      </c>
      <c r="Q229" s="5" t="s">
        <v>34</v>
      </c>
      <c r="R229" s="5" t="s">
        <v>34</v>
      </c>
      <c r="S229" s="5" t="s">
        <v>34</v>
      </c>
      <c r="T229" s="7" t="s">
        <v>34</v>
      </c>
      <c r="U229" s="5" t="s">
        <v>34</v>
      </c>
      <c r="V229" s="7" t="s">
        <v>34</v>
      </c>
      <c r="W229" s="5" t="s">
        <v>34</v>
      </c>
      <c r="X229" s="5" t="s">
        <v>34</v>
      </c>
      <c r="Y229" s="5" t="s">
        <v>34</v>
      </c>
      <c r="Z229" s="5" t="s">
        <v>34</v>
      </c>
      <c r="AA229" s="5" t="s">
        <v>34</v>
      </c>
      <c r="AB229" s="5" t="s">
        <v>34</v>
      </c>
      <c r="AC229" s="5" t="s">
        <v>34</v>
      </c>
      <c r="AD229" s="5" t="s">
        <v>34</v>
      </c>
    </row>
    <row r="230" spans="1:30" ht="15.55" x14ac:dyDescent="0.3">
      <c r="A230" s="4">
        <v>1000000002787</v>
      </c>
      <c r="B230" s="5" t="s">
        <v>740</v>
      </c>
      <c r="C230" s="4"/>
      <c r="E230" s="5" t="s">
        <v>31</v>
      </c>
      <c r="F230" s="5" t="s">
        <v>32</v>
      </c>
      <c r="G230" s="10" cm="1">
        <f t="array" ref="G230">IF(OR($A230="",$L230=""),"",_xlfn.LET(_xlpm.cat,UPPER($E230),_xlpm.wt,IFERROR(VALUE(LEFT($L230,FIND(" ",$L230&amp;" ")-1)),$L230),_xlpm.ppk,_xlfn.SWITCH(TRUE,_xlpm.cat="GAMEFOWL",62,_xlpm.cat="POULTRY",45,_xlpm.cat="SWINE",48,_xlpm.cat="HOGS",48,_xlpm.cat="RABBIT",40,45),_xlpm.code,IFERROR(VALUE(LEFT($A230,FIND(" ",$A230&amp;" ")-1)),0),_xlpm.v,1+MOD(_xlpm.code,13)/100,ROUND(_xlpm.ppk*_xlpm.wt*_xlpm.v,0)))</f>
        <v>25440</v>
      </c>
      <c r="H230" s="6" cm="1">
        <f t="array" ref="H230">IF(OR($A230="",$L230=""),"",_xlfn.LET(_xlpm.cat,UPPER($E230),_xlpm.base,_xlfn.SWITCH(TRUE,_xlpm.cat="GAMEFOWL",0.22,_xlpm.cat="POULTRY",0.18,_xlpm.cat="SWINE",0.16,_xlpm.cat="HOGS",0.16,_xlpm.cat="RABBIT",0.15,0.17),_xlpm.code,IFERROR(VALUE(LEFT($A230,FIND(" ",$A230&amp;" ")-1)),0),_xlpm.v,MOD(_xlpm.code,9)/1000,MIN(0.3,MAX(0.1,_xlpm.base+_xlpm.v))))</f>
        <v>0.16700000000000001</v>
      </c>
      <c r="I230" s="5" t="s">
        <v>33</v>
      </c>
      <c r="J230" s="5">
        <v>4</v>
      </c>
      <c r="K230" s="5">
        <v>0.17</v>
      </c>
      <c r="L230" s="5">
        <v>500</v>
      </c>
      <c r="M230" s="5">
        <v>4</v>
      </c>
      <c r="N230" s="5">
        <v>2</v>
      </c>
      <c r="O230" s="5">
        <v>2</v>
      </c>
      <c r="Q230" s="5" t="s">
        <v>34</v>
      </c>
      <c r="R230" s="5" t="s">
        <v>34</v>
      </c>
      <c r="S230" s="5" t="s">
        <v>34</v>
      </c>
      <c r="T230" s="7" t="s">
        <v>34</v>
      </c>
      <c r="U230" s="5" t="s">
        <v>34</v>
      </c>
      <c r="V230" s="7" t="s">
        <v>34</v>
      </c>
      <c r="W230" s="5" t="s">
        <v>34</v>
      </c>
      <c r="X230" s="5" t="s">
        <v>34</v>
      </c>
      <c r="Y230" s="5" t="s">
        <v>34</v>
      </c>
      <c r="Z230" s="5" t="s">
        <v>34</v>
      </c>
      <c r="AA230" s="5" t="s">
        <v>34</v>
      </c>
      <c r="AB230" s="5" t="s">
        <v>34</v>
      </c>
      <c r="AC230" s="5" t="s">
        <v>34</v>
      </c>
      <c r="AD230" s="5" t="s">
        <v>34</v>
      </c>
    </row>
    <row r="231" spans="1:30" ht="15.55" x14ac:dyDescent="0.3">
      <c r="A231" s="4">
        <v>1000000002788</v>
      </c>
      <c r="B231" s="5" t="s">
        <v>741</v>
      </c>
      <c r="C231" s="4"/>
      <c r="E231" s="5" t="s">
        <v>31</v>
      </c>
      <c r="F231" s="5" t="s">
        <v>32</v>
      </c>
      <c r="G231" s="10" cm="1">
        <f t="array" ref="G231">IF(OR($A231="",$L231=""),"",_xlfn.LET(_xlpm.cat,UPPER($E231),_xlpm.wt,IFERROR(VALUE(LEFT($L231,FIND(" ",$L231&amp;" ")-1)),$L231),_xlpm.ppk,_xlfn.SWITCH(TRUE,_xlpm.cat="GAMEFOWL",62,_xlpm.cat="POULTRY",45,_xlpm.cat="SWINE",48,_xlpm.cat="HOGS",48,_xlpm.cat="RABBIT",40,45),_xlpm.code,IFERROR(VALUE(LEFT($A231,FIND(" ",$A231&amp;" ")-1)),0),_xlpm.v,1+MOD(_xlpm.code,13)/100,ROUND(_xlpm.ppk*_xlpm.wt*_xlpm.v,0)))</f>
        <v>25680</v>
      </c>
      <c r="H231" s="6" cm="1">
        <f t="array" ref="H231">IF(OR($A231="",$L231=""),"",_xlfn.LET(_xlpm.cat,UPPER($E231),_xlpm.base,_xlfn.SWITCH(TRUE,_xlpm.cat="GAMEFOWL",0.22,_xlpm.cat="POULTRY",0.18,_xlpm.cat="SWINE",0.16,_xlpm.cat="HOGS",0.16,_xlpm.cat="RABBIT",0.15,0.17),_xlpm.code,IFERROR(VALUE(LEFT($A231,FIND(" ",$A231&amp;" ")-1)),0),_xlpm.v,MOD(_xlpm.code,9)/1000,MIN(0.3,MAX(0.1,_xlpm.base+_xlpm.v))))</f>
        <v>0.16800000000000001</v>
      </c>
      <c r="I231" s="5" t="s">
        <v>33</v>
      </c>
      <c r="J231" s="5">
        <v>4</v>
      </c>
      <c r="K231" s="5">
        <v>0.17</v>
      </c>
      <c r="L231" s="5">
        <v>500</v>
      </c>
      <c r="M231" s="5">
        <v>4</v>
      </c>
      <c r="N231" s="5">
        <v>2</v>
      </c>
      <c r="O231" s="5">
        <v>2</v>
      </c>
      <c r="Q231" s="5" t="s">
        <v>34</v>
      </c>
      <c r="R231" s="5" t="s">
        <v>34</v>
      </c>
      <c r="S231" s="5" t="s">
        <v>34</v>
      </c>
      <c r="T231" s="7" t="s">
        <v>34</v>
      </c>
      <c r="U231" s="5" t="s">
        <v>34</v>
      </c>
      <c r="V231" s="7" t="s">
        <v>34</v>
      </c>
      <c r="W231" s="5" t="s">
        <v>34</v>
      </c>
      <c r="X231" s="5" t="s">
        <v>34</v>
      </c>
      <c r="Y231" s="5" t="s">
        <v>34</v>
      </c>
      <c r="Z231" s="5" t="s">
        <v>34</v>
      </c>
      <c r="AA231" s="5" t="s">
        <v>34</v>
      </c>
      <c r="AB231" s="5" t="s">
        <v>34</v>
      </c>
      <c r="AC231" s="5" t="s">
        <v>34</v>
      </c>
      <c r="AD231" s="5" t="s">
        <v>34</v>
      </c>
    </row>
    <row r="232" spans="1:30" ht="15.55" x14ac:dyDescent="0.3">
      <c r="A232" s="4">
        <v>1000000002789</v>
      </c>
      <c r="B232" s="5" t="s">
        <v>742</v>
      </c>
      <c r="C232" s="4"/>
      <c r="E232" s="5" t="s">
        <v>31</v>
      </c>
      <c r="F232" s="5" t="s">
        <v>32</v>
      </c>
      <c r="G232" s="10" cm="1">
        <f t="array" ref="G232">IF(OR($A232="",$L232=""),"",_xlfn.LET(_xlpm.cat,UPPER($E232),_xlpm.wt,IFERROR(VALUE(LEFT($L232,FIND(" ",$L232&amp;" ")-1)),$L232),_xlpm.ppk,_xlfn.SWITCH(TRUE,_xlpm.cat="GAMEFOWL",62,_xlpm.cat="POULTRY",45,_xlpm.cat="SWINE",48,_xlpm.cat="HOGS",48,_xlpm.cat="RABBIT",40,45),_xlpm.code,IFERROR(VALUE(LEFT($A232,FIND(" ",$A232&amp;" ")-1)),0),_xlpm.v,1+MOD(_xlpm.code,13)/100,ROUND(_xlpm.ppk*_xlpm.wt*_xlpm.v,0)))</f>
        <v>25920</v>
      </c>
      <c r="H232" s="6" cm="1">
        <f t="array" ref="H232">IF(OR($A232="",$L232=""),"",_xlfn.LET(_xlpm.cat,UPPER($E232),_xlpm.base,_xlfn.SWITCH(TRUE,_xlpm.cat="GAMEFOWL",0.22,_xlpm.cat="POULTRY",0.18,_xlpm.cat="SWINE",0.16,_xlpm.cat="HOGS",0.16,_xlpm.cat="RABBIT",0.15,0.17),_xlpm.code,IFERROR(VALUE(LEFT($A232,FIND(" ",$A232&amp;" ")-1)),0),_xlpm.v,MOD(_xlpm.code,9)/1000,MIN(0.3,MAX(0.1,_xlpm.base+_xlpm.v))))</f>
        <v>0.16</v>
      </c>
      <c r="I232" s="5" t="s">
        <v>33</v>
      </c>
      <c r="J232" s="5">
        <v>4</v>
      </c>
      <c r="K232" s="5">
        <v>0.17</v>
      </c>
      <c r="L232" s="5">
        <v>500</v>
      </c>
      <c r="M232" s="5">
        <v>4</v>
      </c>
      <c r="N232" s="5">
        <v>2</v>
      </c>
      <c r="O232" s="5">
        <v>2</v>
      </c>
      <c r="Q232" s="5" t="s">
        <v>34</v>
      </c>
      <c r="R232" s="5" t="s">
        <v>34</v>
      </c>
      <c r="S232" s="5" t="s">
        <v>34</v>
      </c>
      <c r="T232" s="7" t="s">
        <v>34</v>
      </c>
      <c r="U232" s="5" t="s">
        <v>34</v>
      </c>
      <c r="V232" s="7" t="s">
        <v>34</v>
      </c>
      <c r="W232" s="5" t="s">
        <v>34</v>
      </c>
      <c r="X232" s="5" t="s">
        <v>34</v>
      </c>
      <c r="Y232" s="5" t="s">
        <v>34</v>
      </c>
      <c r="Z232" s="5" t="s">
        <v>34</v>
      </c>
      <c r="AA232" s="5" t="s">
        <v>34</v>
      </c>
      <c r="AB232" s="5" t="s">
        <v>34</v>
      </c>
      <c r="AC232" s="5" t="s">
        <v>34</v>
      </c>
      <c r="AD232" s="5" t="s">
        <v>34</v>
      </c>
    </row>
    <row r="233" spans="1:30" ht="15.55" x14ac:dyDescent="0.3">
      <c r="A233" s="4"/>
      <c r="C233" s="4">
        <v>3000000000661</v>
      </c>
      <c r="D233" s="5" t="s">
        <v>759</v>
      </c>
      <c r="E233" s="5" t="s">
        <v>34</v>
      </c>
      <c r="F233" s="5" t="s">
        <v>34</v>
      </c>
      <c r="G233" s="10" t="str" cm="1">
        <f t="array" ref="G233">IF(OR($A233="",$L233=""),"",_xlfn.LET(_xlpm.cat,UPPER($E233),_xlpm.wt,IFERROR(VALUE(LEFT($L233,FIND(" ",$L233&amp;" ")-1)),$L233),_xlpm.ppk,_xlfn.SWITCH(TRUE,_xlpm.cat="GAMEFOWL",62,_xlpm.cat="POULTRY",45,_xlpm.cat="SWINE",48,_xlpm.cat="HOGS",48,_xlpm.cat="RABBIT",40,45),_xlpm.code,IFERROR(VALUE(LEFT($A233,FIND(" ",$A233&amp;" ")-1)),0),_xlpm.v,1+MOD(_xlpm.code,13)/100,ROUND(_xlpm.ppk*_xlpm.wt*_xlpm.v,0)))</f>
        <v/>
      </c>
      <c r="H233" s="6" t="str" cm="1">
        <f t="array" ref="H233">IF(OR($A233="",$L233=""),"",_xlfn.LET(_xlpm.cat,UPPER($E233),_xlpm.base,_xlfn.SWITCH(TRUE,_xlpm.cat="GAMEFOWL",0.22,_xlpm.cat="POULTRY",0.18,_xlpm.cat="SWINE",0.16,_xlpm.cat="HOGS",0.16,_xlpm.cat="RABBIT",0.15,0.17),_xlpm.code,IFERROR(VALUE(LEFT($A233,FIND(" ",$A233&amp;" ")-1)),0),_xlpm.v,MOD(_xlpm.code,9)/1000,MIN(0.3,MAX(0.1,_xlpm.base+_xlpm.v))))</f>
        <v/>
      </c>
      <c r="I233" s="5" t="s">
        <v>57</v>
      </c>
      <c r="K233" s="5">
        <v>0</v>
      </c>
      <c r="L233" s="5">
        <v>50</v>
      </c>
      <c r="M233" s="5">
        <v>2</v>
      </c>
      <c r="N233" s="5">
        <v>2</v>
      </c>
      <c r="O233" s="5">
        <v>2</v>
      </c>
      <c r="Q233" s="5" t="s">
        <v>34</v>
      </c>
      <c r="R233" s="5" t="s">
        <v>34</v>
      </c>
      <c r="S233" s="5" t="s">
        <v>34</v>
      </c>
      <c r="T233" s="7" t="s">
        <v>34</v>
      </c>
      <c r="U233" s="5" t="s">
        <v>34</v>
      </c>
      <c r="V233" s="7" t="s">
        <v>34</v>
      </c>
      <c r="W233" s="5" t="s">
        <v>34</v>
      </c>
      <c r="X233" s="5" t="s">
        <v>34</v>
      </c>
      <c r="Y233" s="5" t="s">
        <v>34</v>
      </c>
      <c r="Z233" s="5" t="s">
        <v>34</v>
      </c>
      <c r="AA233" s="5" t="s">
        <v>34</v>
      </c>
      <c r="AB233" s="5" t="s">
        <v>34</v>
      </c>
      <c r="AC233" s="5" t="s">
        <v>34</v>
      </c>
      <c r="AD233" s="5" t="s">
        <v>34</v>
      </c>
    </row>
    <row r="234" spans="1:30" ht="15.55" x14ac:dyDescent="0.3">
      <c r="A234" s="4">
        <v>1000000002832</v>
      </c>
      <c r="B234" s="5" t="s">
        <v>760</v>
      </c>
      <c r="C234" s="4">
        <v>3000000001772</v>
      </c>
      <c r="D234" s="5" t="s">
        <v>761</v>
      </c>
      <c r="E234" s="5" t="s">
        <v>62</v>
      </c>
      <c r="F234" s="5" t="s">
        <v>63</v>
      </c>
      <c r="G234" s="10" cm="1">
        <f t="array" ref="G234">IF(OR($A234="",$L234=""),"",_xlfn.LET(_xlpm.cat,UPPER($E234),_xlpm.wt,IFERROR(VALUE(LEFT($L234,FIND(" ",$L234&amp;" ")-1)),$L234),_xlpm.ppk,_xlfn.SWITCH(TRUE,_xlpm.cat="GAMEFOWL",62,_xlpm.cat="POULTRY",45,_xlpm.cat="SWINE",48,_xlpm.cat="HOGS",48,_xlpm.cat="RABBIT",40,45),_xlpm.code,IFERROR(VALUE(LEFT($A234,FIND(" ",$A234&amp;" ")-1)),0),_xlpm.v,1+MOD(_xlpm.code,13)/100,ROUND(_xlpm.ppk*_xlpm.wt*_xlpm.v,0)))</f>
        <v>2520</v>
      </c>
      <c r="H234" s="6" cm="1">
        <f t="array" ref="H234">IF(OR($A234="",$L234=""),"",_xlfn.LET(_xlpm.cat,UPPER($E234),_xlpm.base,_xlfn.SWITCH(TRUE,_xlpm.cat="GAMEFOWL",0.22,_xlpm.cat="POULTRY",0.18,_xlpm.cat="SWINE",0.16,_xlpm.cat="HOGS",0.16,_xlpm.cat="RABBIT",0.15,0.17),_xlpm.code,IFERROR(VALUE(LEFT($A234,FIND(" ",$A234&amp;" ")-1)),0),_xlpm.v,MOD(_xlpm.code,9)/1000,MIN(0.3,MAX(0.1,_xlpm.base+_xlpm.v))))</f>
        <v>0.187</v>
      </c>
      <c r="I234" s="5" t="s">
        <v>77</v>
      </c>
      <c r="J234" s="5">
        <v>4</v>
      </c>
      <c r="K234" s="5">
        <v>0.33</v>
      </c>
      <c r="L234" s="5">
        <v>50</v>
      </c>
      <c r="M234" s="5">
        <v>4</v>
      </c>
      <c r="N234" s="5">
        <v>2</v>
      </c>
      <c r="O234" s="5">
        <v>2</v>
      </c>
      <c r="Q234" s="5" t="s">
        <v>762</v>
      </c>
      <c r="R234" s="5" t="s">
        <v>34</v>
      </c>
      <c r="S234" s="5" t="s">
        <v>149</v>
      </c>
      <c r="T234" s="7">
        <v>5000000000555</v>
      </c>
      <c r="U234" s="5" t="s">
        <v>466</v>
      </c>
      <c r="V234" s="7">
        <v>5000000000614</v>
      </c>
      <c r="W234" s="5" t="s">
        <v>467</v>
      </c>
      <c r="X234" s="5" t="s">
        <v>34</v>
      </c>
      <c r="Y234" s="5" t="s">
        <v>34</v>
      </c>
      <c r="Z234" s="5" t="s">
        <v>34</v>
      </c>
      <c r="AA234" s="5" t="s">
        <v>34</v>
      </c>
      <c r="AB234" s="5" t="s">
        <v>34</v>
      </c>
      <c r="AC234" s="5" t="s">
        <v>34</v>
      </c>
      <c r="AD234" s="5" t="s">
        <v>34</v>
      </c>
    </row>
    <row r="235" spans="1:30" ht="15.55" x14ac:dyDescent="0.3">
      <c r="A235" s="4">
        <v>1000000002833</v>
      </c>
      <c r="B235" s="5" t="s">
        <v>760</v>
      </c>
      <c r="C235" s="4">
        <v>3000000001773</v>
      </c>
      <c r="D235" s="5" t="s">
        <v>763</v>
      </c>
      <c r="E235" s="5" t="s">
        <v>62</v>
      </c>
      <c r="F235" s="5" t="s">
        <v>63</v>
      </c>
      <c r="G235" s="10" cm="1">
        <f t="array" ref="G235">IF(OR($A235="",$L235=""),"",_xlfn.LET(_xlpm.cat,UPPER($E235),_xlpm.wt,IFERROR(VALUE(LEFT($L235,FIND(" ",$L235&amp;" ")-1)),$L235),_xlpm.ppk,_xlfn.SWITCH(TRUE,_xlpm.cat="GAMEFOWL",62,_xlpm.cat="POULTRY",45,_xlpm.cat="SWINE",48,_xlpm.cat="HOGS",48,_xlpm.cat="RABBIT",40,45),_xlpm.code,IFERROR(VALUE(LEFT($A235,FIND(" ",$A235&amp;" ")-1)),0),_xlpm.v,1+MOD(_xlpm.code,13)/100,ROUND(_xlpm.ppk*_xlpm.wt*_xlpm.v,0)))</f>
        <v>2250</v>
      </c>
      <c r="H235" s="6" cm="1">
        <f t="array" ref="H235">IF(OR($A235="",$L235=""),"",_xlfn.LET(_xlpm.cat,UPPER($E235),_xlpm.base,_xlfn.SWITCH(TRUE,_xlpm.cat="GAMEFOWL",0.22,_xlpm.cat="POULTRY",0.18,_xlpm.cat="SWINE",0.16,_xlpm.cat="HOGS",0.16,_xlpm.cat="RABBIT",0.15,0.17),_xlpm.code,IFERROR(VALUE(LEFT($A235,FIND(" ",$A235&amp;" ")-1)),0),_xlpm.v,MOD(_xlpm.code,9)/1000,MIN(0.3,MAX(0.1,_xlpm.base+_xlpm.v))))</f>
        <v>0.188</v>
      </c>
      <c r="I235" s="5" t="s">
        <v>77</v>
      </c>
      <c r="J235" s="5">
        <v>4</v>
      </c>
      <c r="K235" s="5">
        <v>0.33</v>
      </c>
      <c r="L235" s="5">
        <v>50</v>
      </c>
      <c r="M235" s="5">
        <v>4</v>
      </c>
      <c r="N235" s="5">
        <v>2</v>
      </c>
      <c r="O235" s="5">
        <v>2</v>
      </c>
      <c r="Q235" s="5" t="s">
        <v>764</v>
      </c>
      <c r="R235" s="5" t="s">
        <v>34</v>
      </c>
      <c r="S235" s="5" t="s">
        <v>670</v>
      </c>
      <c r="T235" s="7">
        <v>5000000000983</v>
      </c>
      <c r="U235" s="5" t="s">
        <v>725</v>
      </c>
      <c r="V235" s="7">
        <v>5000000000117</v>
      </c>
      <c r="W235" s="5" t="s">
        <v>726</v>
      </c>
      <c r="X235" s="5" t="s">
        <v>34</v>
      </c>
      <c r="Y235" s="5" t="s">
        <v>34</v>
      </c>
      <c r="Z235" s="5" t="s">
        <v>34</v>
      </c>
      <c r="AA235" s="5" t="s">
        <v>34</v>
      </c>
      <c r="AB235" s="5" t="s">
        <v>34</v>
      </c>
      <c r="AC235" s="5" t="s">
        <v>34</v>
      </c>
      <c r="AD235" s="5" t="s">
        <v>34</v>
      </c>
    </row>
    <row r="236" spans="1:30" ht="15.55" x14ac:dyDescent="0.3">
      <c r="A236" s="4">
        <v>1000000002836</v>
      </c>
      <c r="B236" s="5" t="s">
        <v>765</v>
      </c>
      <c r="C236" s="4">
        <v>3000000000188</v>
      </c>
      <c r="D236" s="5" t="s">
        <v>254</v>
      </c>
      <c r="E236" s="5" t="s">
        <v>62</v>
      </c>
      <c r="F236" s="5" t="s">
        <v>34</v>
      </c>
      <c r="G236" s="10" cm="1">
        <f t="array" ref="G236">IF(OR($A236="",$L236=""),"",_xlfn.LET(_xlpm.cat,UPPER($E236),_xlpm.wt,IFERROR(VALUE(LEFT($L236,FIND(" ",$L236&amp;" ")-1)),$L236),_xlpm.ppk,_xlfn.SWITCH(TRUE,_xlpm.cat="GAMEFOWL",62,_xlpm.cat="POULTRY",45,_xlpm.cat="SWINE",48,_xlpm.cat="HOGS",48,_xlpm.cat="RABBIT",40,45),_xlpm.code,IFERROR(VALUE(LEFT($A236,FIND(" ",$A236&amp;" ")-1)),0),_xlpm.v,1+MOD(_xlpm.code,13)/100,ROUND(_xlpm.ppk*_xlpm.wt*_xlpm.v,0)))</f>
        <v>34763</v>
      </c>
      <c r="H236" s="6" cm="1">
        <f t="array" ref="H236">IF(OR($A236="",$L236=""),"",_xlfn.LET(_xlpm.cat,UPPER($E236),_xlpm.base,_xlfn.SWITCH(TRUE,_xlpm.cat="GAMEFOWL",0.22,_xlpm.cat="POULTRY",0.18,_xlpm.cat="SWINE",0.16,_xlpm.cat="HOGS",0.16,_xlpm.cat="RABBIT",0.15,0.17),_xlpm.code,IFERROR(VALUE(LEFT($A236,FIND(" ",$A236&amp;" ")-1)),0),_xlpm.v,MOD(_xlpm.code,9)/1000,MIN(0.3,MAX(0.1,_xlpm.base+_xlpm.v))))</f>
        <v>0.182</v>
      </c>
      <c r="I236" s="5" t="s">
        <v>57</v>
      </c>
      <c r="K236" s="5">
        <v>0</v>
      </c>
      <c r="L236" s="5">
        <v>750</v>
      </c>
      <c r="M236" s="5">
        <v>2</v>
      </c>
      <c r="N236" s="5">
        <v>2</v>
      </c>
      <c r="O236" s="5">
        <v>2</v>
      </c>
      <c r="Q236" s="5" t="s">
        <v>34</v>
      </c>
      <c r="R236" s="5" t="s">
        <v>34</v>
      </c>
      <c r="S236" s="5" t="s">
        <v>34</v>
      </c>
      <c r="T236" s="7" t="s">
        <v>34</v>
      </c>
      <c r="U236" s="5" t="s">
        <v>34</v>
      </c>
      <c r="V236" s="7" t="s">
        <v>34</v>
      </c>
      <c r="W236" s="5" t="s">
        <v>34</v>
      </c>
      <c r="X236" s="5" t="s">
        <v>34</v>
      </c>
      <c r="Y236" s="5" t="s">
        <v>34</v>
      </c>
      <c r="Z236" s="5" t="s">
        <v>34</v>
      </c>
      <c r="AA236" s="5" t="s">
        <v>34</v>
      </c>
      <c r="AB236" s="5" t="s">
        <v>34</v>
      </c>
      <c r="AC236" s="5" t="s">
        <v>34</v>
      </c>
      <c r="AD236" s="5" t="s">
        <v>34</v>
      </c>
    </row>
    <row r="237" spans="1:30" ht="15.55" x14ac:dyDescent="0.3">
      <c r="A237" s="4">
        <v>1000000002837</v>
      </c>
      <c r="B237" s="5" t="s">
        <v>766</v>
      </c>
      <c r="C237" s="4">
        <v>3000000000174</v>
      </c>
      <c r="D237" s="5" t="s">
        <v>767</v>
      </c>
      <c r="E237" s="5" t="s">
        <v>62</v>
      </c>
      <c r="F237" s="5" t="s">
        <v>34</v>
      </c>
      <c r="G237" s="10" cm="1">
        <f t="array" ref="G237">IF(OR($A237="",$L237=""),"",_xlfn.LET(_xlpm.cat,UPPER($E237),_xlpm.wt,IFERROR(VALUE(LEFT($L237,FIND(" ",$L237&amp;" ")-1)),$L237),_xlpm.ppk,_xlfn.SWITCH(TRUE,_xlpm.cat="GAMEFOWL",62,_xlpm.cat="POULTRY",45,_xlpm.cat="SWINE",48,_xlpm.cat="HOGS",48,_xlpm.cat="RABBIT",40,45),_xlpm.code,IFERROR(VALUE(LEFT($A237,FIND(" ",$A237&amp;" ")-1)),0),_xlpm.v,1+MOD(_xlpm.code,13)/100,ROUND(_xlpm.ppk*_xlpm.wt*_xlpm.v,0)))</f>
        <v>35100</v>
      </c>
      <c r="H237" s="6" cm="1">
        <f t="array" ref="H237">IF(OR($A237="",$L237=""),"",_xlfn.LET(_xlpm.cat,UPPER($E237),_xlpm.base,_xlfn.SWITCH(TRUE,_xlpm.cat="GAMEFOWL",0.22,_xlpm.cat="POULTRY",0.18,_xlpm.cat="SWINE",0.16,_xlpm.cat="HOGS",0.16,_xlpm.cat="RABBIT",0.15,0.17),_xlpm.code,IFERROR(VALUE(LEFT($A237,FIND(" ",$A237&amp;" ")-1)),0),_xlpm.v,MOD(_xlpm.code,9)/1000,MIN(0.3,MAX(0.1,_xlpm.base+_xlpm.v))))</f>
        <v>0.183</v>
      </c>
      <c r="I237" s="5" t="s">
        <v>57</v>
      </c>
      <c r="K237" s="5">
        <v>0</v>
      </c>
      <c r="L237" s="5">
        <v>750</v>
      </c>
      <c r="M237" s="5">
        <v>2</v>
      </c>
      <c r="N237" s="5">
        <v>2</v>
      </c>
      <c r="O237" s="5">
        <v>2</v>
      </c>
      <c r="Q237" s="5" t="s">
        <v>34</v>
      </c>
      <c r="R237" s="5" t="s">
        <v>34</v>
      </c>
      <c r="S237" s="5" t="s">
        <v>34</v>
      </c>
      <c r="T237" s="7" t="s">
        <v>34</v>
      </c>
      <c r="U237" s="5" t="s">
        <v>34</v>
      </c>
      <c r="V237" s="7" t="s">
        <v>34</v>
      </c>
      <c r="W237" s="5" t="s">
        <v>34</v>
      </c>
      <c r="X237" s="5" t="s">
        <v>34</v>
      </c>
      <c r="Y237" s="5" t="s">
        <v>34</v>
      </c>
      <c r="Z237" s="5" t="s">
        <v>34</v>
      </c>
      <c r="AA237" s="5" t="s">
        <v>34</v>
      </c>
      <c r="AB237" s="5" t="s">
        <v>34</v>
      </c>
      <c r="AC237" s="5" t="s">
        <v>34</v>
      </c>
      <c r="AD237" s="5" t="s">
        <v>34</v>
      </c>
    </row>
    <row r="238" spans="1:30" ht="15.55" x14ac:dyDescent="0.3">
      <c r="A238" s="4">
        <v>1000000002838</v>
      </c>
      <c r="B238" s="5" t="s">
        <v>768</v>
      </c>
      <c r="C238" s="4">
        <v>3000000000176</v>
      </c>
      <c r="D238" s="5" t="s">
        <v>769</v>
      </c>
      <c r="E238" s="5" t="s">
        <v>62</v>
      </c>
      <c r="F238" s="5" t="s">
        <v>34</v>
      </c>
      <c r="G238" s="10" cm="1">
        <f t="array" ref="G238">IF(OR($A238="",$L238=""),"",_xlfn.LET(_xlpm.cat,UPPER($E238),_xlpm.wt,IFERROR(VALUE(LEFT($L238,FIND(" ",$L238&amp;" ")-1)),$L238),_xlpm.ppk,_xlfn.SWITCH(TRUE,_xlpm.cat="GAMEFOWL",62,_xlpm.cat="POULTRY",45,_xlpm.cat="SWINE",48,_xlpm.cat="HOGS",48,_xlpm.cat="RABBIT",40,45),_xlpm.code,IFERROR(VALUE(LEFT($A238,FIND(" ",$A238&amp;" ")-1)),0),_xlpm.v,1+MOD(_xlpm.code,13)/100,ROUND(_xlpm.ppk*_xlpm.wt*_xlpm.v,0)))</f>
        <v>35438</v>
      </c>
      <c r="H238" s="6" cm="1">
        <f t="array" ref="H238">IF(OR($A238="",$L238=""),"",_xlfn.LET(_xlpm.cat,UPPER($E238),_xlpm.base,_xlfn.SWITCH(TRUE,_xlpm.cat="GAMEFOWL",0.22,_xlpm.cat="POULTRY",0.18,_xlpm.cat="SWINE",0.16,_xlpm.cat="HOGS",0.16,_xlpm.cat="RABBIT",0.15,0.17),_xlpm.code,IFERROR(VALUE(LEFT($A238,FIND(" ",$A238&amp;" ")-1)),0),_xlpm.v,MOD(_xlpm.code,9)/1000,MIN(0.3,MAX(0.1,_xlpm.base+_xlpm.v))))</f>
        <v>0.184</v>
      </c>
      <c r="I238" s="5" t="s">
        <v>57</v>
      </c>
      <c r="K238" s="5">
        <v>0</v>
      </c>
      <c r="L238" s="5">
        <v>750</v>
      </c>
      <c r="M238" s="5">
        <v>2</v>
      </c>
      <c r="N238" s="5">
        <v>2</v>
      </c>
      <c r="O238" s="5">
        <v>2</v>
      </c>
      <c r="Q238" s="5" t="s">
        <v>34</v>
      </c>
      <c r="R238" s="5" t="s">
        <v>34</v>
      </c>
      <c r="S238" s="5" t="s">
        <v>34</v>
      </c>
      <c r="T238" s="7" t="s">
        <v>34</v>
      </c>
      <c r="U238" s="5" t="s">
        <v>34</v>
      </c>
      <c r="V238" s="7" t="s">
        <v>34</v>
      </c>
      <c r="W238" s="5" t="s">
        <v>34</v>
      </c>
      <c r="X238" s="5" t="s">
        <v>34</v>
      </c>
      <c r="Y238" s="5" t="s">
        <v>34</v>
      </c>
      <c r="Z238" s="5" t="s">
        <v>34</v>
      </c>
      <c r="AA238" s="5" t="s">
        <v>34</v>
      </c>
      <c r="AB238" s="5" t="s">
        <v>34</v>
      </c>
      <c r="AC238" s="5" t="s">
        <v>34</v>
      </c>
      <c r="AD238" s="5" t="s">
        <v>34</v>
      </c>
    </row>
    <row r="239" spans="1:30" ht="15.55" x14ac:dyDescent="0.3">
      <c r="A239" s="4">
        <v>1000000002840</v>
      </c>
      <c r="B239" s="5" t="s">
        <v>770</v>
      </c>
      <c r="C239" s="4">
        <v>3000000000178</v>
      </c>
      <c r="D239" s="5" t="s">
        <v>771</v>
      </c>
      <c r="E239" s="5" t="s">
        <v>62</v>
      </c>
      <c r="F239" s="5" t="s">
        <v>34</v>
      </c>
      <c r="G239" s="10" cm="1">
        <f t="array" ref="G239">IF(OR($A239="",$L239=""),"",_xlfn.LET(_xlpm.cat,UPPER($E239),_xlpm.wt,IFERROR(VALUE(LEFT($L239,FIND(" ",$L239&amp;" ")-1)),$L239),_xlpm.ppk,_xlfn.SWITCH(TRUE,_xlpm.cat="GAMEFOWL",62,_xlpm.cat="POULTRY",45,_xlpm.cat="SWINE",48,_xlpm.cat="HOGS",48,_xlpm.cat="RABBIT",40,45),_xlpm.code,IFERROR(VALUE(LEFT($A239,FIND(" ",$A239&amp;" ")-1)),0),_xlpm.v,1+MOD(_xlpm.code,13)/100,ROUND(_xlpm.ppk*_xlpm.wt*_xlpm.v,0)))</f>
        <v>36113</v>
      </c>
      <c r="H239" s="6" cm="1">
        <f t="array" ref="H239">IF(OR($A239="",$L239=""),"",_xlfn.LET(_xlpm.cat,UPPER($E239),_xlpm.base,_xlfn.SWITCH(TRUE,_xlpm.cat="GAMEFOWL",0.22,_xlpm.cat="POULTRY",0.18,_xlpm.cat="SWINE",0.16,_xlpm.cat="HOGS",0.16,_xlpm.cat="RABBIT",0.15,0.17),_xlpm.code,IFERROR(VALUE(LEFT($A239,FIND(" ",$A239&amp;" ")-1)),0),_xlpm.v,MOD(_xlpm.code,9)/1000,MIN(0.3,MAX(0.1,_xlpm.base+_xlpm.v))))</f>
        <v>0.186</v>
      </c>
      <c r="I239" s="5" t="s">
        <v>57</v>
      </c>
      <c r="K239" s="5">
        <v>0</v>
      </c>
      <c r="L239" s="5">
        <v>750</v>
      </c>
      <c r="M239" s="5">
        <v>2</v>
      </c>
      <c r="N239" s="5">
        <v>2</v>
      </c>
      <c r="O239" s="5">
        <v>2</v>
      </c>
      <c r="Q239" s="5" t="s">
        <v>34</v>
      </c>
      <c r="R239" s="5" t="s">
        <v>34</v>
      </c>
      <c r="S239" s="5" t="s">
        <v>34</v>
      </c>
      <c r="T239" s="7" t="s">
        <v>34</v>
      </c>
      <c r="U239" s="5" t="s">
        <v>34</v>
      </c>
      <c r="V239" s="7" t="s">
        <v>34</v>
      </c>
      <c r="W239" s="5" t="s">
        <v>34</v>
      </c>
      <c r="X239" s="5" t="s">
        <v>34</v>
      </c>
      <c r="Y239" s="5" t="s">
        <v>34</v>
      </c>
      <c r="Z239" s="5" t="s">
        <v>34</v>
      </c>
      <c r="AA239" s="5" t="s">
        <v>34</v>
      </c>
      <c r="AB239" s="5" t="s">
        <v>34</v>
      </c>
      <c r="AC239" s="5" t="s">
        <v>34</v>
      </c>
      <c r="AD239" s="5" t="s">
        <v>34</v>
      </c>
    </row>
    <row r="240" spans="1:30" ht="15.55" x14ac:dyDescent="0.3">
      <c r="A240" s="4">
        <v>1000000002839</v>
      </c>
      <c r="B240" s="5" t="s">
        <v>772</v>
      </c>
      <c r="C240" s="4">
        <v>3000000000362</v>
      </c>
      <c r="D240" s="5" t="s">
        <v>306</v>
      </c>
      <c r="E240" s="5" t="s">
        <v>62</v>
      </c>
      <c r="F240" s="5" t="s">
        <v>34</v>
      </c>
      <c r="G240" s="10" cm="1">
        <f t="array" ref="G240">IF(OR($A240="",$L240=""),"",_xlfn.LET(_xlpm.cat,UPPER($E240),_xlpm.wt,IFERROR(VALUE(LEFT($L240,FIND(" ",$L240&amp;" ")-1)),$L240),_xlpm.ppk,_xlfn.SWITCH(TRUE,_xlpm.cat="GAMEFOWL",62,_xlpm.cat="POULTRY",45,_xlpm.cat="SWINE",48,_xlpm.cat="HOGS",48,_xlpm.cat="RABBIT",40,45),_xlpm.code,IFERROR(VALUE(LEFT($A240,FIND(" ",$A240&amp;" ")-1)),0),_xlpm.v,1+MOD(_xlpm.code,13)/100,ROUND(_xlpm.ppk*_xlpm.wt*_xlpm.v,0)))</f>
        <v>35775</v>
      </c>
      <c r="H240" s="6" cm="1">
        <f t="array" ref="H240">IF(OR($A240="",$L240=""),"",_xlfn.LET(_xlpm.cat,UPPER($E240),_xlpm.base,_xlfn.SWITCH(TRUE,_xlpm.cat="GAMEFOWL",0.22,_xlpm.cat="POULTRY",0.18,_xlpm.cat="SWINE",0.16,_xlpm.cat="HOGS",0.16,_xlpm.cat="RABBIT",0.15,0.17),_xlpm.code,IFERROR(VALUE(LEFT($A240,FIND(" ",$A240&amp;" ")-1)),0),_xlpm.v,MOD(_xlpm.code,9)/1000,MIN(0.3,MAX(0.1,_xlpm.base+_xlpm.v))))</f>
        <v>0.185</v>
      </c>
      <c r="I240" s="5" t="s">
        <v>57</v>
      </c>
      <c r="K240" s="5">
        <v>0</v>
      </c>
      <c r="L240" s="5">
        <v>750</v>
      </c>
      <c r="M240" s="5">
        <v>2</v>
      </c>
      <c r="N240" s="5">
        <v>2</v>
      </c>
      <c r="O240" s="5">
        <v>2</v>
      </c>
      <c r="Q240" s="5" t="s">
        <v>34</v>
      </c>
      <c r="R240" s="5" t="s">
        <v>34</v>
      </c>
      <c r="S240" s="5" t="s">
        <v>34</v>
      </c>
      <c r="T240" s="7" t="s">
        <v>34</v>
      </c>
      <c r="U240" s="5" t="s">
        <v>34</v>
      </c>
      <c r="V240" s="7" t="s">
        <v>34</v>
      </c>
      <c r="W240" s="5" t="s">
        <v>34</v>
      </c>
      <c r="X240" s="5" t="s">
        <v>34</v>
      </c>
      <c r="Y240" s="5" t="s">
        <v>34</v>
      </c>
      <c r="Z240" s="5" t="s">
        <v>34</v>
      </c>
      <c r="AA240" s="5" t="s">
        <v>34</v>
      </c>
      <c r="AB240" s="5" t="s">
        <v>34</v>
      </c>
      <c r="AC240" s="5" t="s">
        <v>34</v>
      </c>
      <c r="AD240" s="5" t="s">
        <v>34</v>
      </c>
    </row>
    <row r="241" spans="1:30" ht="15.55" x14ac:dyDescent="0.3">
      <c r="A241" s="4">
        <v>1000000002870</v>
      </c>
      <c r="B241" s="5" t="s">
        <v>773</v>
      </c>
      <c r="C241" s="4">
        <v>3000000001753</v>
      </c>
      <c r="D241" s="5" t="s">
        <v>773</v>
      </c>
      <c r="E241" s="5" t="s">
        <v>62</v>
      </c>
      <c r="F241" s="5" t="s">
        <v>63</v>
      </c>
      <c r="G241" s="10" cm="1">
        <f t="array" ref="G241">IF(OR($A241="",$L241=""),"",_xlfn.LET(_xlpm.cat,UPPER($E241),_xlpm.wt,IFERROR(VALUE(LEFT($L241,FIND(" ",$L241&amp;" ")-1)),$L241),_xlpm.ppk,_xlfn.SWITCH(TRUE,_xlpm.cat="GAMEFOWL",62,_xlpm.cat="POULTRY",45,_xlpm.cat="SWINE",48,_xlpm.cat="HOGS",48,_xlpm.cat="RABBIT",40,45),_xlpm.code,IFERROR(VALUE(LEFT($A241,FIND(" ",$A241&amp;" ")-1)),0),_xlpm.v,1+MOD(_xlpm.code,13)/100,ROUND(_xlpm.ppk*_xlpm.wt*_xlpm.v,0)))</f>
        <v>2498</v>
      </c>
      <c r="H241" s="6" cm="1">
        <f t="array" ref="H241">IF(OR($A241="",$L241=""),"",_xlfn.LET(_xlpm.cat,UPPER($E241),_xlpm.base,_xlfn.SWITCH(TRUE,_xlpm.cat="GAMEFOWL",0.22,_xlpm.cat="POULTRY",0.18,_xlpm.cat="SWINE",0.16,_xlpm.cat="HOGS",0.16,_xlpm.cat="RABBIT",0.15,0.17),_xlpm.code,IFERROR(VALUE(LEFT($A241,FIND(" ",$A241&amp;" ")-1)),0),_xlpm.v,MOD(_xlpm.code,9)/1000,MIN(0.3,MAX(0.1,_xlpm.base+_xlpm.v))))</f>
        <v>0.18</v>
      </c>
      <c r="I241" s="5" t="s">
        <v>77</v>
      </c>
      <c r="J241" s="5">
        <v>3</v>
      </c>
      <c r="K241" s="5">
        <v>0.33</v>
      </c>
      <c r="L241" s="5">
        <v>50</v>
      </c>
      <c r="M241" s="5">
        <v>4</v>
      </c>
      <c r="N241" s="5">
        <v>2</v>
      </c>
      <c r="O241" s="5">
        <v>2</v>
      </c>
      <c r="Q241" s="5" t="s">
        <v>774</v>
      </c>
      <c r="R241" s="5" t="s">
        <v>34</v>
      </c>
      <c r="S241" s="5" t="s">
        <v>314</v>
      </c>
      <c r="T241" s="7">
        <v>5000000000561</v>
      </c>
      <c r="U241" s="5" t="s">
        <v>98</v>
      </c>
      <c r="V241" s="7">
        <v>5000000000125</v>
      </c>
      <c r="W241" s="5" t="s">
        <v>99</v>
      </c>
      <c r="X241" s="5" t="s">
        <v>34</v>
      </c>
      <c r="Y241" s="5" t="s">
        <v>34</v>
      </c>
      <c r="Z241" s="5" t="s">
        <v>34</v>
      </c>
      <c r="AA241" s="5" t="s">
        <v>34</v>
      </c>
      <c r="AB241" s="5" t="s">
        <v>34</v>
      </c>
      <c r="AC241" s="5" t="s">
        <v>34</v>
      </c>
      <c r="AD241" s="5" t="s">
        <v>34</v>
      </c>
    </row>
    <row r="242" spans="1:30" ht="15.55" x14ac:dyDescent="0.3">
      <c r="A242" s="4">
        <v>1000000002871</v>
      </c>
      <c r="B242" s="5" t="s">
        <v>775</v>
      </c>
      <c r="C242" s="4">
        <v>3000000001754</v>
      </c>
      <c r="D242" s="5" t="s">
        <v>775</v>
      </c>
      <c r="E242" s="5" t="s">
        <v>62</v>
      </c>
      <c r="F242" s="5" t="s">
        <v>63</v>
      </c>
      <c r="G242" s="10" cm="1">
        <f t="array" ref="G242">IF(OR($A242="",$L242=""),"",_xlfn.LET(_xlpm.cat,UPPER($E242),_xlpm.wt,IFERROR(VALUE(LEFT($L242,FIND(" ",$L242&amp;" ")-1)),$L242),_xlpm.ppk,_xlfn.SWITCH(TRUE,_xlpm.cat="GAMEFOWL",62,_xlpm.cat="POULTRY",45,_xlpm.cat="SWINE",48,_xlpm.cat="HOGS",48,_xlpm.cat="RABBIT",40,45),_xlpm.code,IFERROR(VALUE(LEFT($A242,FIND(" ",$A242&amp;" ")-1)),0),_xlpm.v,1+MOD(_xlpm.code,13)/100,ROUND(_xlpm.ppk*_xlpm.wt*_xlpm.v,0)))</f>
        <v>2520</v>
      </c>
      <c r="H242" s="6" cm="1">
        <f t="array" ref="H242">IF(OR($A242="",$L242=""),"",_xlfn.LET(_xlpm.cat,UPPER($E242),_xlpm.base,_xlfn.SWITCH(TRUE,_xlpm.cat="GAMEFOWL",0.22,_xlpm.cat="POULTRY",0.18,_xlpm.cat="SWINE",0.16,_xlpm.cat="HOGS",0.16,_xlpm.cat="RABBIT",0.15,0.17),_xlpm.code,IFERROR(VALUE(LEFT($A242,FIND(" ",$A242&amp;" ")-1)),0),_xlpm.v,MOD(_xlpm.code,9)/1000,MIN(0.3,MAX(0.1,_xlpm.base+_xlpm.v))))</f>
        <v>0.18099999999999999</v>
      </c>
      <c r="I242" s="5" t="s">
        <v>77</v>
      </c>
      <c r="J242" s="5">
        <v>4</v>
      </c>
      <c r="K242" s="5">
        <v>0.33</v>
      </c>
      <c r="L242" s="5">
        <v>50</v>
      </c>
      <c r="M242" s="5">
        <v>4</v>
      </c>
      <c r="N242" s="5">
        <v>2</v>
      </c>
      <c r="O242" s="5">
        <v>2</v>
      </c>
      <c r="Q242" s="5" t="s">
        <v>776</v>
      </c>
      <c r="R242" s="5" t="s">
        <v>34</v>
      </c>
      <c r="S242" s="5" t="s">
        <v>314</v>
      </c>
      <c r="T242" s="7">
        <v>5000000000562</v>
      </c>
      <c r="U242" s="5" t="s">
        <v>108</v>
      </c>
      <c r="V242" s="7">
        <v>5000000000122</v>
      </c>
      <c r="W242" s="5" t="s">
        <v>109</v>
      </c>
      <c r="X242" s="5" t="s">
        <v>34</v>
      </c>
      <c r="Y242" s="5" t="s">
        <v>34</v>
      </c>
      <c r="Z242" s="5" t="s">
        <v>34</v>
      </c>
      <c r="AA242" s="5" t="s">
        <v>34</v>
      </c>
      <c r="AB242" s="5" t="s">
        <v>34</v>
      </c>
      <c r="AC242" s="5" t="s">
        <v>34</v>
      </c>
      <c r="AD242" s="5" t="s">
        <v>34</v>
      </c>
    </row>
    <row r="243" spans="1:30" ht="15.55" x14ac:dyDescent="0.3">
      <c r="A243" s="4">
        <v>1000000002872</v>
      </c>
      <c r="B243" s="5" t="s">
        <v>777</v>
      </c>
      <c r="C243" s="4">
        <v>3000000001755</v>
      </c>
      <c r="D243" s="5" t="s">
        <v>777</v>
      </c>
      <c r="E243" s="5" t="s">
        <v>62</v>
      </c>
      <c r="F243" s="5" t="s">
        <v>63</v>
      </c>
      <c r="G243" s="10" cm="1">
        <f t="array" ref="G243">IF(OR($A243="",$L243=""),"",_xlfn.LET(_xlpm.cat,UPPER($E243),_xlpm.wt,IFERROR(VALUE(LEFT($L243,FIND(" ",$L243&amp;" ")-1)),$L243),_xlpm.ppk,_xlfn.SWITCH(TRUE,_xlpm.cat="GAMEFOWL",62,_xlpm.cat="POULTRY",45,_xlpm.cat="SWINE",48,_xlpm.cat="HOGS",48,_xlpm.cat="RABBIT",40,45),_xlpm.code,IFERROR(VALUE(LEFT($A243,FIND(" ",$A243&amp;" ")-1)),0),_xlpm.v,1+MOD(_xlpm.code,13)/100,ROUND(_xlpm.ppk*_xlpm.wt*_xlpm.v,0)))</f>
        <v>2250</v>
      </c>
      <c r="H243" s="6" cm="1">
        <f t="array" ref="H243">IF(OR($A243="",$L243=""),"",_xlfn.LET(_xlpm.cat,UPPER($E243),_xlpm.base,_xlfn.SWITCH(TRUE,_xlpm.cat="GAMEFOWL",0.22,_xlpm.cat="POULTRY",0.18,_xlpm.cat="SWINE",0.16,_xlpm.cat="HOGS",0.16,_xlpm.cat="RABBIT",0.15,0.17),_xlpm.code,IFERROR(VALUE(LEFT($A243,FIND(" ",$A243&amp;" ")-1)),0),_xlpm.v,MOD(_xlpm.code,9)/1000,MIN(0.3,MAX(0.1,_xlpm.base+_xlpm.v))))</f>
        <v>0.182</v>
      </c>
      <c r="I243" s="5" t="s">
        <v>77</v>
      </c>
      <c r="J243" s="5">
        <v>4</v>
      </c>
      <c r="K243" s="5">
        <v>0.33</v>
      </c>
      <c r="L243" s="5">
        <v>50</v>
      </c>
      <c r="M243" s="5">
        <v>4</v>
      </c>
      <c r="N243" s="5">
        <v>2</v>
      </c>
      <c r="O243" s="5">
        <v>2</v>
      </c>
      <c r="Q243" s="5" t="s">
        <v>778</v>
      </c>
      <c r="R243" s="5" t="s">
        <v>34</v>
      </c>
      <c r="S243" s="5" t="s">
        <v>314</v>
      </c>
      <c r="T243" s="7">
        <v>5000000000563</v>
      </c>
      <c r="U243" s="5" t="s">
        <v>779</v>
      </c>
      <c r="V243" s="7">
        <v>5000000000615</v>
      </c>
      <c r="W243" s="5" t="s">
        <v>780</v>
      </c>
      <c r="X243" s="5" t="s">
        <v>34</v>
      </c>
      <c r="Y243" s="5" t="s">
        <v>34</v>
      </c>
      <c r="Z243" s="5" t="s">
        <v>34</v>
      </c>
      <c r="AA243" s="5">
        <v>7.9994880000000093</v>
      </c>
      <c r="AB243" s="5" t="s">
        <v>34</v>
      </c>
      <c r="AC243" s="5" t="s">
        <v>34</v>
      </c>
      <c r="AD243" s="5" t="s">
        <v>34</v>
      </c>
    </row>
    <row r="244" spans="1:30" ht="15.55" x14ac:dyDescent="0.3">
      <c r="A244" s="4">
        <v>1000000002873</v>
      </c>
      <c r="B244" s="5" t="s">
        <v>781</v>
      </c>
      <c r="C244" s="4">
        <v>3000000001756</v>
      </c>
      <c r="D244" s="5" t="s">
        <v>781</v>
      </c>
      <c r="E244" s="5" t="s">
        <v>62</v>
      </c>
      <c r="F244" s="5" t="s">
        <v>63</v>
      </c>
      <c r="G244" s="10" cm="1">
        <f t="array" ref="G244">IF(OR($A244="",$L244=""),"",_xlfn.LET(_xlpm.cat,UPPER($E244),_xlpm.wt,IFERROR(VALUE(LEFT($L244,FIND(" ",$L244&amp;" ")-1)),$L244),_xlpm.ppk,_xlfn.SWITCH(TRUE,_xlpm.cat="GAMEFOWL",62,_xlpm.cat="POULTRY",45,_xlpm.cat="SWINE",48,_xlpm.cat="HOGS",48,_xlpm.cat="RABBIT",40,45),_xlpm.code,IFERROR(VALUE(LEFT($A244,FIND(" ",$A244&amp;" ")-1)),0),_xlpm.v,1+MOD(_xlpm.code,13)/100,ROUND(_xlpm.ppk*_xlpm.wt*_xlpm.v,0)))</f>
        <v>2273</v>
      </c>
      <c r="H244" s="6" cm="1">
        <f t="array" ref="H244">IF(OR($A244="",$L244=""),"",_xlfn.LET(_xlpm.cat,UPPER($E244),_xlpm.base,_xlfn.SWITCH(TRUE,_xlpm.cat="GAMEFOWL",0.22,_xlpm.cat="POULTRY",0.18,_xlpm.cat="SWINE",0.16,_xlpm.cat="HOGS",0.16,_xlpm.cat="RABBIT",0.15,0.17),_xlpm.code,IFERROR(VALUE(LEFT($A244,FIND(" ",$A244&amp;" ")-1)),0),_xlpm.v,MOD(_xlpm.code,9)/1000,MIN(0.3,MAX(0.1,_xlpm.base+_xlpm.v))))</f>
        <v>0.183</v>
      </c>
      <c r="I244" s="5" t="s">
        <v>77</v>
      </c>
      <c r="J244" s="5">
        <v>4</v>
      </c>
      <c r="K244" s="5">
        <v>0.33</v>
      </c>
      <c r="L244" s="5">
        <v>50</v>
      </c>
      <c r="M244" s="5">
        <v>4</v>
      </c>
      <c r="N244" s="5">
        <v>2</v>
      </c>
      <c r="O244" s="5">
        <v>2</v>
      </c>
      <c r="Q244" s="5" t="s">
        <v>782</v>
      </c>
      <c r="R244" s="5" t="s">
        <v>34</v>
      </c>
      <c r="S244" s="5" t="s">
        <v>314</v>
      </c>
      <c r="T244" s="7">
        <v>5000000000555</v>
      </c>
      <c r="U244" s="5" t="s">
        <v>466</v>
      </c>
      <c r="V244" s="7">
        <v>5000000000614</v>
      </c>
      <c r="W244" s="5" t="s">
        <v>467</v>
      </c>
      <c r="X244" s="5" t="s">
        <v>34</v>
      </c>
      <c r="Y244" s="5" t="s">
        <v>34</v>
      </c>
      <c r="Z244" s="5" t="s">
        <v>34</v>
      </c>
      <c r="AA244" s="5">
        <v>8.210000842105261</v>
      </c>
      <c r="AB244" s="5" t="s">
        <v>34</v>
      </c>
      <c r="AC244" s="5" t="s">
        <v>34</v>
      </c>
      <c r="AD244" s="5" t="s">
        <v>34</v>
      </c>
    </row>
    <row r="245" spans="1:30" ht="15.55" x14ac:dyDescent="0.3">
      <c r="A245" s="4">
        <v>1000000002874</v>
      </c>
      <c r="B245" s="5" t="s">
        <v>783</v>
      </c>
      <c r="C245" s="4">
        <v>3000000001757</v>
      </c>
      <c r="D245" s="5" t="s">
        <v>783</v>
      </c>
      <c r="E245" s="5" t="s">
        <v>62</v>
      </c>
      <c r="F245" s="5" t="s">
        <v>63</v>
      </c>
      <c r="G245" s="10" cm="1">
        <f t="array" ref="G245">IF(OR($A245="",$L245=""),"",_xlfn.LET(_xlpm.cat,UPPER($E245),_xlpm.wt,IFERROR(VALUE(LEFT($L245,FIND(" ",$L245&amp;" ")-1)),$L245),_xlpm.ppk,_xlfn.SWITCH(TRUE,_xlpm.cat="GAMEFOWL",62,_xlpm.cat="POULTRY",45,_xlpm.cat="SWINE",48,_xlpm.cat="HOGS",48,_xlpm.cat="RABBIT",40,45),_xlpm.code,IFERROR(VALUE(LEFT($A245,FIND(" ",$A245&amp;" ")-1)),0),_xlpm.v,1+MOD(_xlpm.code,13)/100,ROUND(_xlpm.ppk*_xlpm.wt*_xlpm.v,0)))</f>
        <v>2295</v>
      </c>
      <c r="H245" s="6" cm="1">
        <f t="array" ref="H245">IF(OR($A245="",$L245=""),"",_xlfn.LET(_xlpm.cat,UPPER($E245),_xlpm.base,_xlfn.SWITCH(TRUE,_xlpm.cat="GAMEFOWL",0.22,_xlpm.cat="POULTRY",0.18,_xlpm.cat="SWINE",0.16,_xlpm.cat="HOGS",0.16,_xlpm.cat="RABBIT",0.15,0.17),_xlpm.code,IFERROR(VALUE(LEFT($A245,FIND(" ",$A245&amp;" ")-1)),0),_xlpm.v,MOD(_xlpm.code,9)/1000,MIN(0.3,MAX(0.1,_xlpm.base+_xlpm.v))))</f>
        <v>0.184</v>
      </c>
      <c r="I245" s="5" t="s">
        <v>77</v>
      </c>
      <c r="J245" s="5">
        <v>4</v>
      </c>
      <c r="K245" s="5">
        <v>0.33</v>
      </c>
      <c r="L245" s="5">
        <v>50</v>
      </c>
      <c r="M245" s="5">
        <v>4</v>
      </c>
      <c r="N245" s="5">
        <v>2</v>
      </c>
      <c r="O245" s="5">
        <v>2</v>
      </c>
      <c r="Q245" s="5" t="s">
        <v>784</v>
      </c>
      <c r="R245" s="5" t="s">
        <v>34</v>
      </c>
      <c r="S245" s="5" t="s">
        <v>314</v>
      </c>
      <c r="T245" s="7">
        <v>5000000000983</v>
      </c>
      <c r="U245" s="5" t="s">
        <v>725</v>
      </c>
      <c r="V245" s="7">
        <v>5000000000117</v>
      </c>
      <c r="W245" s="5" t="s">
        <v>726</v>
      </c>
      <c r="X245" s="5" t="s">
        <v>34</v>
      </c>
      <c r="Y245" s="5" t="s">
        <v>34</v>
      </c>
      <c r="Z245" s="5" t="s">
        <v>34</v>
      </c>
      <c r="AA245" s="5">
        <v>7.8876070489510521</v>
      </c>
      <c r="AB245" s="5" t="s">
        <v>34</v>
      </c>
      <c r="AC245" s="5" t="s">
        <v>34</v>
      </c>
      <c r="AD245" s="5" t="s">
        <v>34</v>
      </c>
    </row>
    <row r="246" spans="1:30" ht="15.55" x14ac:dyDescent="0.3">
      <c r="A246" s="4">
        <v>1000000002875</v>
      </c>
      <c r="B246" s="5" t="s">
        <v>785</v>
      </c>
      <c r="C246" s="4">
        <v>3000000001758</v>
      </c>
      <c r="D246" s="5" t="s">
        <v>785</v>
      </c>
      <c r="E246" s="5" t="s">
        <v>62</v>
      </c>
      <c r="F246" s="5" t="s">
        <v>63</v>
      </c>
      <c r="G246" s="10" cm="1">
        <f t="array" ref="G246">IF(OR($A246="",$L246=""),"",_xlfn.LET(_xlpm.cat,UPPER($E246),_xlpm.wt,IFERROR(VALUE(LEFT($L246,FIND(" ",$L246&amp;" ")-1)),$L246),_xlpm.ppk,_xlfn.SWITCH(TRUE,_xlpm.cat="GAMEFOWL",62,_xlpm.cat="POULTRY",45,_xlpm.cat="SWINE",48,_xlpm.cat="HOGS",48,_xlpm.cat="RABBIT",40,45),_xlpm.code,IFERROR(VALUE(LEFT($A246,FIND(" ",$A246&amp;" ")-1)),0),_xlpm.v,1+MOD(_xlpm.code,13)/100,ROUND(_xlpm.ppk*_xlpm.wt*_xlpm.v,0)))</f>
        <v>2318</v>
      </c>
      <c r="H246" s="6" cm="1">
        <f t="array" ref="H246">IF(OR($A246="",$L246=""),"",_xlfn.LET(_xlpm.cat,UPPER($E246),_xlpm.base,_xlfn.SWITCH(TRUE,_xlpm.cat="GAMEFOWL",0.22,_xlpm.cat="POULTRY",0.18,_xlpm.cat="SWINE",0.16,_xlpm.cat="HOGS",0.16,_xlpm.cat="RABBIT",0.15,0.17),_xlpm.code,IFERROR(VALUE(LEFT($A246,FIND(" ",$A246&amp;" ")-1)),0),_xlpm.v,MOD(_xlpm.code,9)/1000,MIN(0.3,MAX(0.1,_xlpm.base+_xlpm.v))))</f>
        <v>0.185</v>
      </c>
      <c r="I246" s="5" t="s">
        <v>77</v>
      </c>
      <c r="J246" s="5">
        <v>4</v>
      </c>
      <c r="K246" s="5">
        <v>0.33</v>
      </c>
      <c r="L246" s="5">
        <v>50</v>
      </c>
      <c r="M246" s="5">
        <v>4</v>
      </c>
      <c r="N246" s="5">
        <v>2</v>
      </c>
      <c r="O246" s="5">
        <v>2</v>
      </c>
      <c r="Q246" s="5" t="s">
        <v>786</v>
      </c>
      <c r="R246" s="5" t="s">
        <v>34</v>
      </c>
      <c r="S246" s="5" t="s">
        <v>314</v>
      </c>
      <c r="T246" s="7">
        <v>5000000000556</v>
      </c>
      <c r="U246" s="5" t="s">
        <v>461</v>
      </c>
      <c r="V246" s="7">
        <v>5000000000498</v>
      </c>
      <c r="W246" s="5" t="s">
        <v>462</v>
      </c>
      <c r="X246" s="5" t="s">
        <v>34</v>
      </c>
      <c r="Y246" s="5" t="s">
        <v>34</v>
      </c>
      <c r="Z246" s="5" t="s">
        <v>34</v>
      </c>
      <c r="AA246" s="5" t="s">
        <v>34</v>
      </c>
      <c r="AB246" s="5" t="s">
        <v>34</v>
      </c>
      <c r="AC246" s="5" t="s">
        <v>34</v>
      </c>
      <c r="AD246" s="5" t="s">
        <v>34</v>
      </c>
    </row>
    <row r="247" spans="1:30" ht="15.55" x14ac:dyDescent="0.3">
      <c r="A247" s="4">
        <v>1000000002967</v>
      </c>
      <c r="B247" s="5" t="s">
        <v>787</v>
      </c>
      <c r="C247" s="4">
        <v>3000000001781</v>
      </c>
      <c r="D247" s="5" t="s">
        <v>788</v>
      </c>
      <c r="E247" s="5" t="s">
        <v>62</v>
      </c>
      <c r="F247" s="5" t="s">
        <v>63</v>
      </c>
      <c r="G247" s="10" cm="1">
        <f t="array" ref="G247">IF(OR($A247="",$L247=""),"",_xlfn.LET(_xlpm.cat,UPPER($E247),_xlpm.wt,IFERROR(VALUE(LEFT($L247,FIND(" ",$L247&amp;" ")-1)),$L247),_xlpm.ppk,_xlfn.SWITCH(TRUE,_xlpm.cat="GAMEFOWL",62,_xlpm.cat="POULTRY",45,_xlpm.cat="SWINE",48,_xlpm.cat="HOGS",48,_xlpm.cat="RABBIT",40,45),_xlpm.code,IFERROR(VALUE(LEFT($A247,FIND(" ",$A247&amp;" ")-1)),0),_xlpm.v,1+MOD(_xlpm.code,13)/100,ROUND(_xlpm.ppk*_xlpm.wt*_xlpm.v,0)))</f>
        <v>2340</v>
      </c>
      <c r="H247" s="6" cm="1">
        <f t="array" ref="H247">IF(OR($A247="",$L247=""),"",_xlfn.LET(_xlpm.cat,UPPER($E247),_xlpm.base,_xlfn.SWITCH(TRUE,_xlpm.cat="GAMEFOWL",0.22,_xlpm.cat="POULTRY",0.18,_xlpm.cat="SWINE",0.16,_xlpm.cat="HOGS",0.16,_xlpm.cat="RABBIT",0.15,0.17),_xlpm.code,IFERROR(VALUE(LEFT($A247,FIND(" ",$A247&amp;" ")-1)),0),_xlpm.v,MOD(_xlpm.code,9)/1000,MIN(0.3,MAX(0.1,_xlpm.base+_xlpm.v))))</f>
        <v>0.187</v>
      </c>
      <c r="I247" s="5" t="s">
        <v>139</v>
      </c>
      <c r="J247" s="5">
        <v>3</v>
      </c>
      <c r="K247" s="5">
        <v>0.17</v>
      </c>
      <c r="L247" s="5">
        <v>50</v>
      </c>
      <c r="M247" s="5">
        <v>4</v>
      </c>
      <c r="N247" s="5">
        <v>2</v>
      </c>
      <c r="O247" s="5">
        <v>2</v>
      </c>
      <c r="Q247" s="5" t="s">
        <v>789</v>
      </c>
      <c r="R247" s="5" t="s">
        <v>34</v>
      </c>
      <c r="S247" s="5" t="s">
        <v>526</v>
      </c>
      <c r="T247" s="7">
        <v>5000000000558</v>
      </c>
      <c r="U247" s="5" t="s">
        <v>229</v>
      </c>
      <c r="V247" s="7">
        <v>5000000000113</v>
      </c>
      <c r="W247" s="5" t="s">
        <v>230</v>
      </c>
      <c r="X247" s="5" t="s">
        <v>34</v>
      </c>
      <c r="Y247" s="5" t="s">
        <v>34</v>
      </c>
      <c r="Z247" s="5" t="s">
        <v>34</v>
      </c>
      <c r="AA247" s="5" t="s">
        <v>34</v>
      </c>
      <c r="AB247" s="5" t="s">
        <v>34</v>
      </c>
      <c r="AC247" s="5" t="s">
        <v>34</v>
      </c>
      <c r="AD247" s="5" t="s">
        <v>34</v>
      </c>
    </row>
    <row r="248" spans="1:30" ht="15.55" x14ac:dyDescent="0.3">
      <c r="A248" s="4">
        <v>1000000002960</v>
      </c>
      <c r="B248" s="5" t="s">
        <v>790</v>
      </c>
      <c r="C248" s="4">
        <v>3000000001774</v>
      </c>
      <c r="D248" s="5" t="s">
        <v>791</v>
      </c>
      <c r="E248" s="5" t="s">
        <v>62</v>
      </c>
      <c r="F248" s="5" t="s">
        <v>63</v>
      </c>
      <c r="G248" s="10" cm="1">
        <f t="array" ref="G248">IF(OR($A248="",$L248=""),"",_xlfn.LET(_xlpm.cat,UPPER($E248),_xlpm.wt,IFERROR(VALUE(LEFT($L248,FIND(" ",$L248&amp;" ")-1)),$L248),_xlpm.ppk,_xlfn.SWITCH(TRUE,_xlpm.cat="GAMEFOWL",62,_xlpm.cat="POULTRY",45,_xlpm.cat="SWINE",48,_xlpm.cat="HOGS",48,_xlpm.cat="RABBIT",40,45),_xlpm.code,IFERROR(VALUE(LEFT($A248,FIND(" ",$A248&amp;" ")-1)),0),_xlpm.v,1+MOD(_xlpm.code,13)/100,ROUND(_xlpm.ppk*_xlpm.wt*_xlpm.v,0)))</f>
        <v>2475</v>
      </c>
      <c r="H248" s="6" cm="1">
        <f t="array" ref="H248">IF(OR($A248="",$L248=""),"",_xlfn.LET(_xlpm.cat,UPPER($E248),_xlpm.base,_xlfn.SWITCH(TRUE,_xlpm.cat="GAMEFOWL",0.22,_xlpm.cat="POULTRY",0.18,_xlpm.cat="SWINE",0.16,_xlpm.cat="HOGS",0.16,_xlpm.cat="RABBIT",0.15,0.17),_xlpm.code,IFERROR(VALUE(LEFT($A248,FIND(" ",$A248&amp;" ")-1)),0),_xlpm.v,MOD(_xlpm.code,9)/1000,MIN(0.3,MAX(0.1,_xlpm.base+_xlpm.v))))</f>
        <v>0.18</v>
      </c>
      <c r="I248" s="5" t="s">
        <v>139</v>
      </c>
      <c r="J248" s="5">
        <v>3</v>
      </c>
      <c r="K248" s="5">
        <v>0.17</v>
      </c>
      <c r="L248" s="5">
        <v>50</v>
      </c>
      <c r="M248" s="5">
        <v>4</v>
      </c>
      <c r="N248" s="5">
        <v>2</v>
      </c>
      <c r="O248" s="5">
        <v>2</v>
      </c>
      <c r="Q248" s="5" t="s">
        <v>792</v>
      </c>
      <c r="R248" s="5" t="s">
        <v>34</v>
      </c>
      <c r="S248" s="5" t="s">
        <v>63</v>
      </c>
      <c r="T248" s="7">
        <v>5000000000562</v>
      </c>
      <c r="U248" s="5" t="s">
        <v>793</v>
      </c>
      <c r="V248" s="7">
        <v>5000000000123</v>
      </c>
      <c r="W248" s="5" t="s">
        <v>114</v>
      </c>
      <c r="X248" s="5" t="s">
        <v>34</v>
      </c>
      <c r="Y248" s="5" t="s">
        <v>34</v>
      </c>
      <c r="Z248" s="5">
        <v>7.9042560000000002</v>
      </c>
      <c r="AA248" s="5" t="s">
        <v>34</v>
      </c>
      <c r="AB248" s="5" t="s">
        <v>34</v>
      </c>
      <c r="AC248" s="5" t="s">
        <v>34</v>
      </c>
      <c r="AD248" s="5" t="s">
        <v>34</v>
      </c>
    </row>
    <row r="249" spans="1:30" ht="15.55" x14ac:dyDescent="0.3">
      <c r="A249" s="4">
        <v>1000000002980</v>
      </c>
      <c r="B249" s="5" t="s">
        <v>794</v>
      </c>
      <c r="C249" s="4">
        <v>3000000001776</v>
      </c>
      <c r="D249" s="5" t="s">
        <v>795</v>
      </c>
      <c r="E249" s="5" t="s">
        <v>31</v>
      </c>
      <c r="F249" s="5" t="s">
        <v>32</v>
      </c>
      <c r="G249" s="10" cm="1">
        <f t="array" ref="G249">IF(OR($A249="",$L249=""),"",_xlfn.LET(_xlpm.cat,UPPER($E249),_xlpm.wt,IFERROR(VALUE(LEFT($L249,FIND(" ",$L249&amp;" ")-1)),$L249),_xlpm.ppk,_xlfn.SWITCH(TRUE,_xlpm.cat="GAMEFOWL",62,_xlpm.cat="POULTRY",45,_xlpm.cat="SWINE",48,_xlpm.cat="HOGS",48,_xlpm.cat="RABBIT",40,45),_xlpm.code,IFERROR(VALUE(LEFT($A249,FIND(" ",$A249&amp;" ")-1)),0),_xlpm.v,1+MOD(_xlpm.code,13)/100,ROUND(_xlpm.ppk*_xlpm.wt*_xlpm.v,0)))</f>
        <v>2496</v>
      </c>
      <c r="H249" s="6" cm="1">
        <f t="array" ref="H249">IF(OR($A249="",$L249=""),"",_xlfn.LET(_xlpm.cat,UPPER($E249),_xlpm.base,_xlfn.SWITCH(TRUE,_xlpm.cat="GAMEFOWL",0.22,_xlpm.cat="POULTRY",0.18,_xlpm.cat="SWINE",0.16,_xlpm.cat="HOGS",0.16,_xlpm.cat="RABBIT",0.15,0.17),_xlpm.code,IFERROR(VALUE(LEFT($A249,FIND(" ",$A249&amp;" ")-1)),0),_xlpm.v,MOD(_xlpm.code,9)/1000,MIN(0.3,MAX(0.1,_xlpm.base+_xlpm.v))))</f>
        <v>0.16200000000000001</v>
      </c>
      <c r="I249" s="5" t="s">
        <v>48</v>
      </c>
      <c r="J249" s="5">
        <v>4</v>
      </c>
      <c r="K249" s="5">
        <v>0.17</v>
      </c>
      <c r="L249" s="5">
        <v>50</v>
      </c>
      <c r="M249" s="5">
        <v>4</v>
      </c>
      <c r="N249" s="5">
        <v>2</v>
      </c>
      <c r="O249" s="5">
        <v>2</v>
      </c>
      <c r="Q249" s="5" t="s">
        <v>34</v>
      </c>
      <c r="R249" s="5" t="s">
        <v>34</v>
      </c>
      <c r="S249" s="5" t="s">
        <v>34</v>
      </c>
      <c r="T249" s="7" t="s">
        <v>34</v>
      </c>
      <c r="U249" s="5" t="s">
        <v>34</v>
      </c>
      <c r="V249" s="7" t="s">
        <v>34</v>
      </c>
      <c r="W249" s="5" t="s">
        <v>34</v>
      </c>
      <c r="X249" s="5" t="s">
        <v>34</v>
      </c>
      <c r="Y249" s="5" t="s">
        <v>34</v>
      </c>
      <c r="Z249" s="5" t="s">
        <v>34</v>
      </c>
      <c r="AA249" s="5" t="s">
        <v>34</v>
      </c>
      <c r="AB249" s="5" t="s">
        <v>34</v>
      </c>
      <c r="AC249" s="5" t="s">
        <v>34</v>
      </c>
      <c r="AD249" s="5" t="s">
        <v>34</v>
      </c>
    </row>
    <row r="250" spans="1:30" ht="15.55" x14ac:dyDescent="0.3">
      <c r="A250" s="4"/>
      <c r="C250" s="4">
        <v>3000000001114</v>
      </c>
      <c r="D250" s="5" t="s">
        <v>796</v>
      </c>
      <c r="E250" s="5" t="s">
        <v>34</v>
      </c>
      <c r="F250" s="5" t="s">
        <v>34</v>
      </c>
      <c r="G250" s="10" t="str" cm="1">
        <f t="array" ref="G250">IF(OR($A250="",$L250=""),"",_xlfn.LET(_xlpm.cat,UPPER($E250),_xlpm.wt,IFERROR(VALUE(LEFT($L250,FIND(" ",$L250&amp;" ")-1)),$L250),_xlpm.ppk,_xlfn.SWITCH(TRUE,_xlpm.cat="GAMEFOWL",62,_xlpm.cat="POULTRY",45,_xlpm.cat="SWINE",48,_xlpm.cat="HOGS",48,_xlpm.cat="RABBIT",40,45),_xlpm.code,IFERROR(VALUE(LEFT($A250,FIND(" ",$A250&amp;" ")-1)),0),_xlpm.v,1+MOD(_xlpm.code,13)/100,ROUND(_xlpm.ppk*_xlpm.wt*_xlpm.v,0)))</f>
        <v/>
      </c>
      <c r="H250" s="6" t="str" cm="1">
        <f t="array" ref="H250">IF(OR($A250="",$L250=""),"",_xlfn.LET(_xlpm.cat,UPPER($E250),_xlpm.base,_xlfn.SWITCH(TRUE,_xlpm.cat="GAMEFOWL",0.22,_xlpm.cat="POULTRY",0.18,_xlpm.cat="SWINE",0.16,_xlpm.cat="HOGS",0.16,_xlpm.cat="RABBIT",0.15,0.17),_xlpm.code,IFERROR(VALUE(LEFT($A250,FIND(" ",$A250&amp;" ")-1)),0),_xlpm.v,MOD(_xlpm.code,9)/1000,MIN(0.3,MAX(0.1,_xlpm.base+_xlpm.v))))</f>
        <v/>
      </c>
      <c r="I250" s="5" t="s">
        <v>57</v>
      </c>
      <c r="K250" s="5">
        <v>0</v>
      </c>
      <c r="L250" s="5">
        <v>750</v>
      </c>
      <c r="M250" s="5">
        <v>4</v>
      </c>
      <c r="N250" s="5">
        <v>2</v>
      </c>
      <c r="O250" s="5">
        <v>2</v>
      </c>
      <c r="Q250" s="5" t="s">
        <v>34</v>
      </c>
      <c r="R250" s="5" t="s">
        <v>34</v>
      </c>
      <c r="S250" s="5" t="s">
        <v>34</v>
      </c>
      <c r="T250" s="7" t="s">
        <v>34</v>
      </c>
      <c r="U250" s="5" t="s">
        <v>34</v>
      </c>
      <c r="V250" s="7" t="s">
        <v>34</v>
      </c>
      <c r="W250" s="5" t="s">
        <v>34</v>
      </c>
      <c r="X250" s="5" t="s">
        <v>34</v>
      </c>
      <c r="Y250" s="5" t="s">
        <v>34</v>
      </c>
      <c r="Z250" s="5" t="s">
        <v>34</v>
      </c>
      <c r="AA250" s="5" t="s">
        <v>34</v>
      </c>
      <c r="AB250" s="5" t="s">
        <v>34</v>
      </c>
      <c r="AC250" s="5" t="s">
        <v>34</v>
      </c>
      <c r="AD250" s="5" t="s">
        <v>34</v>
      </c>
    </row>
    <row r="251" spans="1:30" ht="15.55" x14ac:dyDescent="0.3">
      <c r="A251" s="4">
        <v>1000000002985</v>
      </c>
      <c r="B251" s="5" t="s">
        <v>797</v>
      </c>
      <c r="C251" s="4">
        <v>3000000001777</v>
      </c>
      <c r="D251" s="5" t="s">
        <v>798</v>
      </c>
      <c r="E251" s="5" t="s">
        <v>31</v>
      </c>
      <c r="F251" s="5" t="s">
        <v>32</v>
      </c>
      <c r="G251" s="10" cm="1">
        <f t="array" ref="G251">IF(OR($A251="",$L251=""),"",_xlfn.LET(_xlpm.cat,UPPER($E251),_xlpm.wt,IFERROR(VALUE(LEFT($L251,FIND(" ",$L251&amp;" ")-1)),$L251),_xlpm.ppk,_xlfn.SWITCH(TRUE,_xlpm.cat="GAMEFOWL",62,_xlpm.cat="POULTRY",45,_xlpm.cat="SWINE",48,_xlpm.cat="HOGS",48,_xlpm.cat="RABBIT",40,45),_xlpm.code,IFERROR(VALUE(LEFT($A251,FIND(" ",$A251&amp;" ")-1)),0),_xlpm.v,1+MOD(_xlpm.code,13)/100,ROUND(_xlpm.ppk*_xlpm.wt*_xlpm.v,0)))</f>
        <v>2616</v>
      </c>
      <c r="H251" s="6" cm="1">
        <f t="array" ref="H251">IF(OR($A251="",$L251=""),"",_xlfn.LET(_xlpm.cat,UPPER($E251),_xlpm.base,_xlfn.SWITCH(TRUE,_xlpm.cat="GAMEFOWL",0.22,_xlpm.cat="POULTRY",0.18,_xlpm.cat="SWINE",0.16,_xlpm.cat="HOGS",0.16,_xlpm.cat="RABBIT",0.15,0.17),_xlpm.code,IFERROR(VALUE(LEFT($A251,FIND(" ",$A251&amp;" ")-1)),0),_xlpm.v,MOD(_xlpm.code,9)/1000,MIN(0.3,MAX(0.1,_xlpm.base+_xlpm.v))))</f>
        <v>0.16700000000000001</v>
      </c>
      <c r="I251" s="5" t="s">
        <v>33</v>
      </c>
      <c r="J251" s="5">
        <v>4</v>
      </c>
      <c r="K251" s="5">
        <v>0.17</v>
      </c>
      <c r="L251" s="5">
        <v>50</v>
      </c>
      <c r="M251" s="5">
        <v>4</v>
      </c>
      <c r="N251" s="5">
        <v>2</v>
      </c>
      <c r="O251" s="5">
        <v>2</v>
      </c>
      <c r="Q251" s="5" t="s">
        <v>34</v>
      </c>
      <c r="R251" s="5" t="s">
        <v>34</v>
      </c>
      <c r="S251" s="5" t="s">
        <v>34</v>
      </c>
      <c r="T251" s="7" t="s">
        <v>34</v>
      </c>
      <c r="U251" s="5" t="s">
        <v>34</v>
      </c>
      <c r="V251" s="7" t="s">
        <v>34</v>
      </c>
      <c r="W251" s="5" t="s">
        <v>34</v>
      </c>
      <c r="X251" s="5" t="s">
        <v>34</v>
      </c>
      <c r="Y251" s="5" t="s">
        <v>34</v>
      </c>
      <c r="Z251" s="5" t="s">
        <v>34</v>
      </c>
      <c r="AA251" s="5" t="s">
        <v>34</v>
      </c>
      <c r="AB251" s="5" t="s">
        <v>34</v>
      </c>
      <c r="AC251" s="5" t="s">
        <v>34</v>
      </c>
      <c r="AD251" s="5" t="s">
        <v>34</v>
      </c>
    </row>
    <row r="252" spans="1:30" ht="15.55" x14ac:dyDescent="0.3">
      <c r="A252" s="4">
        <v>1000000002986</v>
      </c>
      <c r="B252" s="5" t="s">
        <v>799</v>
      </c>
      <c r="C252" s="4">
        <v>3000000001779</v>
      </c>
      <c r="D252" s="5" t="s">
        <v>800</v>
      </c>
      <c r="E252" s="5" t="s">
        <v>31</v>
      </c>
      <c r="F252" s="5" t="s">
        <v>32</v>
      </c>
      <c r="G252" s="10" cm="1">
        <f t="array" ref="G252">IF(OR($A252="",$L252=""),"",_xlfn.LET(_xlpm.cat,UPPER($E252),_xlpm.wt,IFERROR(VALUE(LEFT($L252,FIND(" ",$L252&amp;" ")-1)),$L252),_xlpm.ppk,_xlfn.SWITCH(TRUE,_xlpm.cat="GAMEFOWL",62,_xlpm.cat="POULTRY",45,_xlpm.cat="SWINE",48,_xlpm.cat="HOGS",48,_xlpm.cat="RABBIT",40,45),_xlpm.code,IFERROR(VALUE(LEFT($A252,FIND(" ",$A252&amp;" ")-1)),0),_xlpm.v,1+MOD(_xlpm.code,13)/100,ROUND(_xlpm.ppk*_xlpm.wt*_xlpm.v,0)))</f>
        <v>2640</v>
      </c>
      <c r="H252" s="6" cm="1">
        <f t="array" ref="H252">IF(OR($A252="",$L252=""),"",_xlfn.LET(_xlpm.cat,UPPER($E252),_xlpm.base,_xlfn.SWITCH(TRUE,_xlpm.cat="GAMEFOWL",0.22,_xlpm.cat="POULTRY",0.18,_xlpm.cat="SWINE",0.16,_xlpm.cat="HOGS",0.16,_xlpm.cat="RABBIT",0.15,0.17),_xlpm.code,IFERROR(VALUE(LEFT($A252,FIND(" ",$A252&amp;" ")-1)),0),_xlpm.v,MOD(_xlpm.code,9)/1000,MIN(0.3,MAX(0.1,_xlpm.base+_xlpm.v))))</f>
        <v>0.16800000000000001</v>
      </c>
      <c r="I252" s="5" t="s">
        <v>33</v>
      </c>
      <c r="J252" s="5">
        <v>4</v>
      </c>
      <c r="K252" s="5">
        <v>0.17</v>
      </c>
      <c r="L252" s="5">
        <v>50</v>
      </c>
      <c r="M252" s="5">
        <v>4</v>
      </c>
      <c r="N252" s="5">
        <v>2</v>
      </c>
      <c r="O252" s="5">
        <v>2</v>
      </c>
      <c r="Q252" s="5" t="s">
        <v>34</v>
      </c>
      <c r="R252" s="5" t="s">
        <v>34</v>
      </c>
      <c r="S252" s="5" t="s">
        <v>34</v>
      </c>
      <c r="T252" s="7" t="s">
        <v>34</v>
      </c>
      <c r="U252" s="5" t="s">
        <v>34</v>
      </c>
      <c r="V252" s="7" t="s">
        <v>34</v>
      </c>
      <c r="W252" s="5" t="s">
        <v>34</v>
      </c>
      <c r="X252" s="5" t="s">
        <v>34</v>
      </c>
      <c r="Y252" s="5" t="s">
        <v>34</v>
      </c>
      <c r="Z252" s="5" t="s">
        <v>34</v>
      </c>
      <c r="AA252" s="5" t="s">
        <v>34</v>
      </c>
      <c r="AB252" s="5" t="s">
        <v>34</v>
      </c>
      <c r="AC252" s="5" t="s">
        <v>34</v>
      </c>
      <c r="AD252" s="5" t="s">
        <v>34</v>
      </c>
    </row>
    <row r="253" spans="1:30" ht="15.55" x14ac:dyDescent="0.3">
      <c r="A253" s="4">
        <v>1000000002997</v>
      </c>
      <c r="B253" s="5" t="s">
        <v>801</v>
      </c>
      <c r="C253" s="4">
        <v>3000000001793</v>
      </c>
      <c r="D253" s="5" t="s">
        <v>802</v>
      </c>
      <c r="E253" s="5" t="s">
        <v>62</v>
      </c>
      <c r="F253" s="5" t="s">
        <v>63</v>
      </c>
      <c r="G253" s="10" cm="1">
        <f t="array" ref="G253">IF(OR($A253="",$L253=""),"",_xlfn.LET(_xlpm.cat,UPPER($E253),_xlpm.wt,IFERROR(VALUE(LEFT($L253,FIND(" ",$L253&amp;" ")-1)),$L253),_xlpm.ppk,_xlfn.SWITCH(TRUE,_xlpm.cat="GAMEFOWL",62,_xlpm.cat="POULTRY",45,_xlpm.cat="SWINE",48,_xlpm.cat="HOGS",48,_xlpm.cat="RABBIT",40,45),_xlpm.code,IFERROR(VALUE(LEFT($A253,FIND(" ",$A253&amp;" ")-1)),0),_xlpm.v,1+MOD(_xlpm.code,13)/100,ROUND(_xlpm.ppk*_xlpm.wt*_xlpm.v,0)))</f>
        <v>2430</v>
      </c>
      <c r="H253" s="6" cm="1">
        <f t="array" ref="H253">IF(OR($A253="",$L253=""),"",_xlfn.LET(_xlpm.cat,UPPER($E253),_xlpm.base,_xlfn.SWITCH(TRUE,_xlpm.cat="GAMEFOWL",0.22,_xlpm.cat="POULTRY",0.18,_xlpm.cat="SWINE",0.16,_xlpm.cat="HOGS",0.16,_xlpm.cat="RABBIT",0.15,0.17),_xlpm.code,IFERROR(VALUE(LEFT($A253,FIND(" ",$A253&amp;" ")-1)),0),_xlpm.v,MOD(_xlpm.code,9)/1000,MIN(0.3,MAX(0.1,_xlpm.base+_xlpm.v))))</f>
        <v>0.18099999999999999</v>
      </c>
      <c r="I253" s="5" t="s">
        <v>33</v>
      </c>
      <c r="K253" s="5">
        <v>0.17</v>
      </c>
      <c r="L253" s="5">
        <v>50</v>
      </c>
      <c r="M253" s="5">
        <v>4</v>
      </c>
      <c r="N253" s="5">
        <v>2</v>
      </c>
      <c r="O253" s="5">
        <v>2</v>
      </c>
      <c r="Q253" s="5" t="s">
        <v>803</v>
      </c>
      <c r="R253" s="5" t="s">
        <v>34</v>
      </c>
      <c r="S253" s="5" t="s">
        <v>39</v>
      </c>
      <c r="T253" s="7">
        <v>5000000000610</v>
      </c>
      <c r="U253" s="5" t="s">
        <v>804</v>
      </c>
      <c r="V253" s="7" t="s">
        <v>34</v>
      </c>
      <c r="W253" s="5" t="s">
        <v>34</v>
      </c>
      <c r="X253" s="5" t="s">
        <v>34</v>
      </c>
      <c r="Y253" s="5" t="s">
        <v>34</v>
      </c>
      <c r="Z253" s="5" t="s">
        <v>34</v>
      </c>
      <c r="AA253" s="5" t="s">
        <v>34</v>
      </c>
      <c r="AB253" s="5" t="s">
        <v>34</v>
      </c>
      <c r="AC253" s="5" t="s">
        <v>34</v>
      </c>
      <c r="AD253" s="5" t="s">
        <v>34</v>
      </c>
    </row>
    <row r="254" spans="1:30" ht="15.55" x14ac:dyDescent="0.3">
      <c r="A254" s="4">
        <v>1000000001014</v>
      </c>
      <c r="B254" s="5" t="s">
        <v>805</v>
      </c>
      <c r="C254" s="4">
        <v>3000000000274</v>
      </c>
      <c r="D254" s="5" t="s">
        <v>806</v>
      </c>
      <c r="E254" s="5" t="s">
        <v>62</v>
      </c>
      <c r="F254" s="5" t="s">
        <v>34</v>
      </c>
      <c r="G254" s="10" cm="1">
        <f t="array" ref="G254">IF(OR($A254="",$L254=""),"",_xlfn.LET(_xlpm.cat,UPPER($E254),_xlpm.wt,IFERROR(VALUE(LEFT($L254,FIND(" ",$L254&amp;" ")-1)),$L254),_xlpm.ppk,_xlfn.SWITCH(TRUE,_xlpm.cat="GAMEFOWL",62,_xlpm.cat="POULTRY",45,_xlpm.cat="SWINE",48,_xlpm.cat="HOGS",48,_xlpm.cat="RABBIT",40,45),_xlpm.code,IFERROR(VALUE(LEFT($A254,FIND(" ",$A254&amp;" ")-1)),0),_xlpm.v,1+MOD(_xlpm.code,13)/100,ROUND(_xlpm.ppk*_xlpm.wt*_xlpm.v,0)))</f>
        <v>2273</v>
      </c>
      <c r="H254" s="6" cm="1">
        <f t="array" ref="H254">IF(OR($A254="",$L254=""),"",_xlfn.LET(_xlpm.cat,UPPER($E254),_xlpm.base,_xlfn.SWITCH(TRUE,_xlpm.cat="GAMEFOWL",0.22,_xlpm.cat="POULTRY",0.18,_xlpm.cat="SWINE",0.16,_xlpm.cat="HOGS",0.16,_xlpm.cat="RABBIT",0.15,0.17),_xlpm.code,IFERROR(VALUE(LEFT($A254,FIND(" ",$A254&amp;" ")-1)),0),_xlpm.v,MOD(_xlpm.code,9)/1000,MIN(0.3,MAX(0.1,_xlpm.base+_xlpm.v))))</f>
        <v>0.187</v>
      </c>
      <c r="I254" s="5" t="s">
        <v>57</v>
      </c>
      <c r="K254" s="5">
        <v>0</v>
      </c>
      <c r="L254" s="5">
        <v>50</v>
      </c>
      <c r="M254" s="5">
        <v>4</v>
      </c>
      <c r="N254" s="5">
        <v>2</v>
      </c>
      <c r="O254" s="5">
        <v>2</v>
      </c>
      <c r="Q254" s="5" t="s">
        <v>807</v>
      </c>
      <c r="R254" s="5" t="s">
        <v>34</v>
      </c>
      <c r="S254" s="5" t="s">
        <v>222</v>
      </c>
      <c r="T254" s="7">
        <v>5000000000038</v>
      </c>
      <c r="U254" s="5" t="s">
        <v>700</v>
      </c>
      <c r="V254" s="7" t="s">
        <v>34</v>
      </c>
      <c r="W254" s="5" t="s">
        <v>734</v>
      </c>
      <c r="X254" s="5" t="s">
        <v>34</v>
      </c>
      <c r="Y254" s="5" t="s">
        <v>34</v>
      </c>
      <c r="Z254" s="5" t="s">
        <v>34</v>
      </c>
      <c r="AA254" s="5" t="s">
        <v>34</v>
      </c>
      <c r="AB254" s="5" t="s">
        <v>34</v>
      </c>
      <c r="AC254" s="5" t="s">
        <v>34</v>
      </c>
      <c r="AD254" s="5" t="s">
        <v>34</v>
      </c>
    </row>
    <row r="255" spans="1:30" ht="15.55" x14ac:dyDescent="0.3">
      <c r="A255" s="4">
        <v>1000000002487</v>
      </c>
      <c r="B255" s="5" t="s">
        <v>808</v>
      </c>
      <c r="C255" s="4">
        <v>1000000002487</v>
      </c>
      <c r="D255" s="5" t="s">
        <v>808</v>
      </c>
      <c r="E255" s="5" t="s">
        <v>34</v>
      </c>
      <c r="F255" s="5" t="s">
        <v>34</v>
      </c>
      <c r="G255" s="10" cm="1">
        <f t="array" ref="G255">IF(OR($A255="",$L255=""),"",_xlfn.LET(_xlpm.cat,UPPER($E255),_xlpm.wt,IFERROR(VALUE(LEFT($L255,FIND(" ",$L255&amp;" ")-1)),$L255),_xlpm.ppk,_xlfn.SWITCH(TRUE,_xlpm.cat="GAMEFOWL",62,_xlpm.cat="POULTRY",45,_xlpm.cat="SWINE",48,_xlpm.cat="HOGS",48,_xlpm.cat="RABBIT",40,45),_xlpm.code,IFERROR(VALUE(LEFT($A255,FIND(" ",$A255&amp;" ")-1)),0),_xlpm.v,1+MOD(_xlpm.code,13)/100,ROUND(_xlpm.ppk*_xlpm.wt*_xlpm.v,0)))</f>
        <v>23625</v>
      </c>
      <c r="H255" s="6" cm="1">
        <f t="array" ref="H255">IF(OR($A255="",$L255=""),"",_xlfn.LET(_xlpm.cat,UPPER($E255),_xlpm.base,_xlfn.SWITCH(TRUE,_xlpm.cat="GAMEFOWL",0.22,_xlpm.cat="POULTRY",0.18,_xlpm.cat="SWINE",0.16,_xlpm.cat="HOGS",0.16,_xlpm.cat="RABBIT",0.15,0.17),_xlpm.code,IFERROR(VALUE(LEFT($A255,FIND(" ",$A255&amp;" ")-1)),0),_xlpm.v,MOD(_xlpm.code,9)/1000,MIN(0.3,MAX(0.1,_xlpm.base+_xlpm.v))))</f>
        <v>0.17400000000000002</v>
      </c>
      <c r="I255" s="5" t="s">
        <v>57</v>
      </c>
      <c r="K255" s="5">
        <v>0</v>
      </c>
      <c r="L255" s="5">
        <v>500</v>
      </c>
      <c r="N255" s="5">
        <v>0.5</v>
      </c>
      <c r="O255" s="5">
        <v>0.5</v>
      </c>
      <c r="Q255" s="5" t="s">
        <v>34</v>
      </c>
      <c r="R255" s="5" t="s">
        <v>34</v>
      </c>
      <c r="S255" s="5" t="s">
        <v>34</v>
      </c>
      <c r="T255" s="7" t="s">
        <v>34</v>
      </c>
      <c r="U255" s="5" t="s">
        <v>34</v>
      </c>
      <c r="V255" s="7" t="s">
        <v>34</v>
      </c>
      <c r="W255" s="5" t="s">
        <v>34</v>
      </c>
      <c r="X255" s="5" t="s">
        <v>34</v>
      </c>
      <c r="Y255" s="5" t="s">
        <v>34</v>
      </c>
      <c r="Z255" s="5" t="s">
        <v>34</v>
      </c>
      <c r="AA255" s="5" t="s">
        <v>34</v>
      </c>
      <c r="AB255" s="5" t="s">
        <v>34</v>
      </c>
      <c r="AC255" s="5" t="s">
        <v>34</v>
      </c>
      <c r="AD255" s="5" t="s">
        <v>34</v>
      </c>
    </row>
    <row r="256" spans="1:30" ht="15.55" x14ac:dyDescent="0.3">
      <c r="A256" s="4">
        <v>1000000000086</v>
      </c>
      <c r="B256" s="5" t="s">
        <v>809</v>
      </c>
      <c r="C256" s="4">
        <v>3000000001133</v>
      </c>
      <c r="D256" s="5" t="s">
        <v>810</v>
      </c>
      <c r="E256" s="5" t="s">
        <v>62</v>
      </c>
      <c r="F256" s="5" t="s">
        <v>63</v>
      </c>
      <c r="G256" s="10" cm="1">
        <f t="array" ref="G256">IF(OR($A256="",$L256=""),"",_xlfn.LET(_xlpm.cat,UPPER($E256),_xlpm.wt,IFERROR(VALUE(LEFT($L256,FIND(" ",$L256&amp;" ")-1)),$L256),_xlpm.ppk,_xlfn.SWITCH(TRUE,_xlpm.cat="GAMEFOWL",62,_xlpm.cat="POULTRY",45,_xlpm.cat="SWINE",48,_xlpm.cat="HOGS",48,_xlpm.cat="RABBIT",40,45),_xlpm.code,IFERROR(VALUE(LEFT($A256,FIND(" ",$A256&amp;" ")-1)),0),_xlpm.v,1+MOD(_xlpm.code,13)/100,ROUND(_xlpm.ppk*_xlpm.wt*_xlpm.v,0)))</f>
        <v>2453</v>
      </c>
      <c r="H256" s="6" cm="1">
        <f t="array" ref="H256">IF(OR($A256="",$L256=""),"",_xlfn.LET(_xlpm.cat,UPPER($E256),_xlpm.base,_xlfn.SWITCH(TRUE,_xlpm.cat="GAMEFOWL",0.22,_xlpm.cat="POULTRY",0.18,_xlpm.cat="SWINE",0.16,_xlpm.cat="HOGS",0.16,_xlpm.cat="RABBIT",0.15,0.17),_xlpm.code,IFERROR(VALUE(LEFT($A256,FIND(" ",$A256&amp;" ")-1)),0),_xlpm.v,MOD(_xlpm.code,9)/1000,MIN(0.3,MAX(0.1,_xlpm.base+_xlpm.v))))</f>
        <v>0.186</v>
      </c>
      <c r="I256" s="5" t="s">
        <v>106</v>
      </c>
      <c r="J256" s="5">
        <v>3</v>
      </c>
      <c r="K256" s="5">
        <v>0.33</v>
      </c>
      <c r="L256" s="5">
        <v>50</v>
      </c>
      <c r="M256" s="5">
        <v>4</v>
      </c>
      <c r="N256" s="5">
        <v>2</v>
      </c>
      <c r="O256" s="5">
        <v>2</v>
      </c>
      <c r="Q256" s="5" t="s">
        <v>811</v>
      </c>
      <c r="R256" s="5" t="s">
        <v>34</v>
      </c>
      <c r="S256" s="5" t="s">
        <v>92</v>
      </c>
      <c r="T256" s="7">
        <v>5000000000558</v>
      </c>
      <c r="U256" s="5" t="s">
        <v>229</v>
      </c>
      <c r="V256" s="7">
        <v>5000000000113</v>
      </c>
      <c r="W256" s="5" t="s">
        <v>230</v>
      </c>
      <c r="X256" s="5" t="s">
        <v>34</v>
      </c>
      <c r="Y256" s="5" t="s">
        <v>34</v>
      </c>
      <c r="Z256" s="5">
        <v>8.4700461176470601</v>
      </c>
      <c r="AA256" s="5" t="s">
        <v>34</v>
      </c>
      <c r="AB256" s="5" t="s">
        <v>34</v>
      </c>
      <c r="AC256" s="5" t="s">
        <v>34</v>
      </c>
      <c r="AD256" s="5" t="s">
        <v>34</v>
      </c>
    </row>
    <row r="257" spans="1:30" ht="15.55" x14ac:dyDescent="0.3">
      <c r="A257" s="4">
        <v>1000000003131</v>
      </c>
      <c r="B257" s="5" t="s">
        <v>812</v>
      </c>
      <c r="C257" s="4">
        <v>3000000001826</v>
      </c>
      <c r="D257" s="5" t="s">
        <v>813</v>
      </c>
      <c r="E257" s="5" t="s">
        <v>62</v>
      </c>
      <c r="F257" s="5" t="s">
        <v>63</v>
      </c>
      <c r="G257" s="10" cm="1">
        <f t="array" ref="G257">IF(OR($A257="",$L257=""),"",_xlfn.LET(_xlpm.cat,UPPER($E257),_xlpm.wt,IFERROR(VALUE(LEFT($L257,FIND(" ",$L257&amp;" ")-1)),$L257),_xlpm.ppk,_xlfn.SWITCH(TRUE,_xlpm.cat="GAMEFOWL",62,_xlpm.cat="POULTRY",45,_xlpm.cat="SWINE",48,_xlpm.cat="HOGS",48,_xlpm.cat="RABBIT",40,45),_xlpm.code,IFERROR(VALUE(LEFT($A257,FIND(" ",$A257&amp;" ")-1)),0),_xlpm.v,1+MOD(_xlpm.code,13)/100,ROUND(_xlpm.ppk*_xlpm.wt*_xlpm.v,0)))</f>
        <v>2520</v>
      </c>
      <c r="H257" s="6" cm="1">
        <f t="array" ref="H257">IF(OR($A257="",$L257=""),"",_xlfn.LET(_xlpm.cat,UPPER($E257),_xlpm.base,_xlfn.SWITCH(TRUE,_xlpm.cat="GAMEFOWL",0.22,_xlpm.cat="POULTRY",0.18,_xlpm.cat="SWINE",0.16,_xlpm.cat="HOGS",0.16,_xlpm.cat="RABBIT",0.15,0.17),_xlpm.code,IFERROR(VALUE(LEFT($A257,FIND(" ",$A257&amp;" ")-1)),0),_xlpm.v,MOD(_xlpm.code,9)/1000,MIN(0.3,MAX(0.1,_xlpm.base+_xlpm.v))))</f>
        <v>0.18</v>
      </c>
      <c r="I257" s="5" t="s">
        <v>77</v>
      </c>
      <c r="J257" s="5">
        <v>4</v>
      </c>
      <c r="K257" s="5">
        <v>0.33</v>
      </c>
      <c r="L257" s="5">
        <v>50</v>
      </c>
      <c r="M257" s="5">
        <v>4</v>
      </c>
      <c r="N257" s="5">
        <v>2</v>
      </c>
      <c r="O257" s="5">
        <v>2</v>
      </c>
      <c r="Q257" s="5" t="s">
        <v>34</v>
      </c>
      <c r="R257" s="5" t="s">
        <v>34</v>
      </c>
      <c r="S257" s="5" t="s">
        <v>34</v>
      </c>
      <c r="T257" s="7" t="s">
        <v>34</v>
      </c>
      <c r="U257" s="5" t="s">
        <v>34</v>
      </c>
      <c r="V257" s="7" t="s">
        <v>34</v>
      </c>
      <c r="W257" s="5" t="s">
        <v>34</v>
      </c>
      <c r="X257" s="5" t="s">
        <v>34</v>
      </c>
      <c r="Y257" s="5" t="s">
        <v>34</v>
      </c>
      <c r="Z257" s="5" t="s">
        <v>34</v>
      </c>
      <c r="AA257" s="5" t="s">
        <v>34</v>
      </c>
      <c r="AB257" s="5" t="s">
        <v>34</v>
      </c>
      <c r="AC257" s="5" t="s">
        <v>34</v>
      </c>
      <c r="AD257" s="5" t="s">
        <v>34</v>
      </c>
    </row>
    <row r="258" spans="1:30" ht="15.55" x14ac:dyDescent="0.3">
      <c r="A258" s="4">
        <v>1000000003114</v>
      </c>
      <c r="B258" s="5" t="s">
        <v>814</v>
      </c>
      <c r="C258" s="4">
        <v>3000000001821</v>
      </c>
      <c r="D258" s="5" t="s">
        <v>815</v>
      </c>
      <c r="E258" s="5" t="s">
        <v>31</v>
      </c>
      <c r="F258" s="5" t="s">
        <v>32</v>
      </c>
      <c r="G258" s="10" cm="1">
        <f t="array" ref="G258">IF(OR($A258="",$L258=""),"",_xlfn.LET(_xlpm.cat,UPPER($E258),_xlpm.wt,IFERROR(VALUE(LEFT($L258,FIND(" ",$L258&amp;" ")-1)),$L258),_xlpm.ppk,_xlfn.SWITCH(TRUE,_xlpm.cat="GAMEFOWL",62,_xlpm.cat="POULTRY",45,_xlpm.cat="SWINE",48,_xlpm.cat="HOGS",48,_xlpm.cat="RABBIT",40,45),_xlpm.code,IFERROR(VALUE(LEFT($A258,FIND(" ",$A258&amp;" ")-1)),0),_xlpm.v,1+MOD(_xlpm.code,13)/100,ROUND(_xlpm.ppk*_xlpm.wt*_xlpm.v,0)))</f>
        <v>1296</v>
      </c>
      <c r="H258" s="6" cm="1">
        <f t="array" ref="H258">IF(OR($A258="",$L258=""),"",_xlfn.LET(_xlpm.cat,UPPER($E258),_xlpm.base,_xlfn.SWITCH(TRUE,_xlpm.cat="GAMEFOWL",0.22,_xlpm.cat="POULTRY",0.18,_xlpm.cat="SWINE",0.16,_xlpm.cat="HOGS",0.16,_xlpm.cat="RABBIT",0.15,0.17),_xlpm.code,IFERROR(VALUE(LEFT($A258,FIND(" ",$A258&amp;" ")-1)),0),_xlpm.v,MOD(_xlpm.code,9)/1000,MIN(0.3,MAX(0.1,_xlpm.base+_xlpm.v))))</f>
        <v>0.161</v>
      </c>
      <c r="I258" s="5" t="s">
        <v>48</v>
      </c>
      <c r="J258" s="5">
        <v>3</v>
      </c>
      <c r="K258" s="5">
        <v>0.17</v>
      </c>
      <c r="L258" s="5">
        <v>25</v>
      </c>
      <c r="M258" s="5">
        <v>4</v>
      </c>
      <c r="N258" s="5">
        <v>2</v>
      </c>
      <c r="O258" s="5">
        <v>2</v>
      </c>
      <c r="Q258" s="5" t="s">
        <v>34</v>
      </c>
      <c r="R258" s="5" t="s">
        <v>816</v>
      </c>
      <c r="S258" s="5" t="s">
        <v>314</v>
      </c>
      <c r="T258" s="7">
        <v>5000000000163</v>
      </c>
      <c r="U258" s="5" t="s">
        <v>554</v>
      </c>
      <c r="V258" s="7">
        <v>5000000000479</v>
      </c>
      <c r="W258" s="5" t="s">
        <v>549</v>
      </c>
      <c r="X258" s="5" t="s">
        <v>34</v>
      </c>
      <c r="Y258" s="5" t="s">
        <v>34</v>
      </c>
      <c r="Z258" s="5" t="s">
        <v>34</v>
      </c>
      <c r="AA258" s="5" t="s">
        <v>34</v>
      </c>
      <c r="AB258" s="5" t="s">
        <v>34</v>
      </c>
      <c r="AC258" s="5" t="s">
        <v>34</v>
      </c>
      <c r="AD258" s="5">
        <v>5.901261639344253</v>
      </c>
    </row>
    <row r="259" spans="1:30" ht="15.55" x14ac:dyDescent="0.3">
      <c r="A259" s="4">
        <v>1000000003162</v>
      </c>
      <c r="B259" s="5" t="s">
        <v>817</v>
      </c>
      <c r="C259" s="4">
        <v>3000000001554</v>
      </c>
      <c r="D259" s="5" t="s">
        <v>818</v>
      </c>
      <c r="E259" s="5" t="s">
        <v>62</v>
      </c>
      <c r="F259" s="5" t="s">
        <v>63</v>
      </c>
      <c r="G259" s="10" cm="1">
        <f t="array" ref="G259">IF(OR($A259="",$L259=""),"",_xlfn.LET(_xlpm.cat,UPPER($E259),_xlpm.wt,IFERROR(VALUE(LEFT($L259,FIND(" ",$L259&amp;" ")-1)),$L259),_xlpm.ppk,_xlfn.SWITCH(TRUE,_xlpm.cat="GAMEFOWL",62,_xlpm.cat="POULTRY",45,_xlpm.cat="SWINE",48,_xlpm.cat="HOGS",48,_xlpm.cat="RABBIT",40,45),_xlpm.code,IFERROR(VALUE(LEFT($A259,FIND(" ",$A259&amp;" ")-1)),0),_xlpm.v,1+MOD(_xlpm.code,13)/100,ROUND(_xlpm.ppk*_xlpm.wt*_xlpm.v,0)))</f>
        <v>2340</v>
      </c>
      <c r="H259" s="6" cm="1">
        <f t="array" ref="H259">IF(OR($A259="",$L259=""),"",_xlfn.LET(_xlpm.cat,UPPER($E259),_xlpm.base,_xlfn.SWITCH(TRUE,_xlpm.cat="GAMEFOWL",0.22,_xlpm.cat="POULTRY",0.18,_xlpm.cat="SWINE",0.16,_xlpm.cat="HOGS",0.16,_xlpm.cat="RABBIT",0.15,0.17),_xlpm.code,IFERROR(VALUE(LEFT($A259,FIND(" ",$A259&amp;" ")-1)),0),_xlpm.v,MOD(_xlpm.code,9)/1000,MIN(0.3,MAX(0.1,_xlpm.base+_xlpm.v))))</f>
        <v>0.184</v>
      </c>
      <c r="I259" s="5" t="s">
        <v>819</v>
      </c>
      <c r="J259" s="5">
        <v>4</v>
      </c>
      <c r="K259" s="5">
        <v>0.17</v>
      </c>
      <c r="L259" s="5">
        <v>50</v>
      </c>
      <c r="M259" s="5">
        <v>4</v>
      </c>
      <c r="N259" s="5">
        <v>2</v>
      </c>
      <c r="O259" s="5">
        <v>2</v>
      </c>
      <c r="Q259" s="5" t="s">
        <v>820</v>
      </c>
      <c r="R259" s="5" t="s">
        <v>34</v>
      </c>
      <c r="S259" s="5" t="s">
        <v>92</v>
      </c>
      <c r="T259" s="7">
        <v>5000000000563</v>
      </c>
      <c r="U259" s="5" t="s">
        <v>209</v>
      </c>
      <c r="V259" s="7">
        <v>5000000000615</v>
      </c>
      <c r="W259" s="5" t="s">
        <v>210</v>
      </c>
      <c r="X259" s="5" t="s">
        <v>34</v>
      </c>
      <c r="Y259" s="5" t="s">
        <v>34</v>
      </c>
      <c r="Z259" s="5" t="s">
        <v>34</v>
      </c>
      <c r="AA259" s="5" t="s">
        <v>34</v>
      </c>
      <c r="AB259" s="5" t="s">
        <v>34</v>
      </c>
      <c r="AC259" s="5" t="s">
        <v>34</v>
      </c>
      <c r="AD259" s="5" t="s">
        <v>34</v>
      </c>
    </row>
    <row r="260" spans="1:30" ht="15.55" x14ac:dyDescent="0.3">
      <c r="A260" s="4">
        <v>1000000003164</v>
      </c>
      <c r="B260" s="5" t="s">
        <v>821</v>
      </c>
      <c r="C260" s="4">
        <v>3000000001841</v>
      </c>
      <c r="D260" s="5" t="s">
        <v>822</v>
      </c>
      <c r="E260" s="5" t="s">
        <v>62</v>
      </c>
      <c r="F260" s="5" t="s">
        <v>63</v>
      </c>
      <c r="G260" s="10" cm="1">
        <f t="array" ref="G260">IF(OR($A260="",$L260=""),"",_xlfn.LET(_xlpm.cat,UPPER($E260),_xlpm.wt,IFERROR(VALUE(LEFT($L260,FIND(" ",$L260&amp;" ")-1)),$L260),_xlpm.ppk,_xlfn.SWITCH(TRUE,_xlpm.cat="GAMEFOWL",62,_xlpm.cat="POULTRY",45,_xlpm.cat="SWINE",48,_xlpm.cat="HOGS",48,_xlpm.cat="RABBIT",40,45),_xlpm.code,IFERROR(VALUE(LEFT($A260,FIND(" ",$A260&amp;" ")-1)),0),_xlpm.v,1+MOD(_xlpm.code,13)/100,ROUND(_xlpm.ppk*_xlpm.wt*_xlpm.v,0)))</f>
        <v>2385</v>
      </c>
      <c r="H260" s="6" cm="1">
        <f t="array" ref="H260">IF(OR($A260="",$L260=""),"",_xlfn.LET(_xlpm.cat,UPPER($E260),_xlpm.base,_xlfn.SWITCH(TRUE,_xlpm.cat="GAMEFOWL",0.22,_xlpm.cat="POULTRY",0.18,_xlpm.cat="SWINE",0.16,_xlpm.cat="HOGS",0.16,_xlpm.cat="RABBIT",0.15,0.17),_xlpm.code,IFERROR(VALUE(LEFT($A260,FIND(" ",$A260&amp;" ")-1)),0),_xlpm.v,MOD(_xlpm.code,9)/1000,MIN(0.3,MAX(0.1,_xlpm.base+_xlpm.v))))</f>
        <v>0.186</v>
      </c>
      <c r="I260" s="5" t="s">
        <v>77</v>
      </c>
      <c r="J260" s="5">
        <v>4</v>
      </c>
      <c r="K260" s="5">
        <v>0.33</v>
      </c>
      <c r="L260" s="5">
        <v>50</v>
      </c>
      <c r="M260" s="5">
        <v>4</v>
      </c>
      <c r="N260" s="5">
        <v>2</v>
      </c>
      <c r="O260" s="5">
        <v>2</v>
      </c>
      <c r="Q260" s="5" t="s">
        <v>823</v>
      </c>
      <c r="R260" s="5" t="s">
        <v>34</v>
      </c>
      <c r="S260" s="5" t="s">
        <v>314</v>
      </c>
      <c r="T260" s="7">
        <v>5000000000564</v>
      </c>
      <c r="U260" s="5" t="s">
        <v>102</v>
      </c>
      <c r="V260" s="7">
        <v>5000000000116</v>
      </c>
      <c r="W260" s="5" t="s">
        <v>103</v>
      </c>
      <c r="X260" s="5" t="s">
        <v>34</v>
      </c>
      <c r="Y260" s="5" t="s">
        <v>34</v>
      </c>
      <c r="Z260" s="5" t="s">
        <v>34</v>
      </c>
      <c r="AA260" s="5" t="s">
        <v>34</v>
      </c>
      <c r="AB260" s="5" t="s">
        <v>34</v>
      </c>
      <c r="AC260" s="5" t="s">
        <v>34</v>
      </c>
      <c r="AD260" s="5" t="s">
        <v>34</v>
      </c>
    </row>
    <row r="261" spans="1:30" ht="15.55" x14ac:dyDescent="0.3">
      <c r="A261" s="4">
        <v>1000000003165</v>
      </c>
      <c r="B261" s="5" t="s">
        <v>824</v>
      </c>
      <c r="C261" s="4">
        <v>3000000001842</v>
      </c>
      <c r="D261" s="5" t="s">
        <v>825</v>
      </c>
      <c r="E261" s="5" t="s">
        <v>62</v>
      </c>
      <c r="F261" s="5" t="s">
        <v>63</v>
      </c>
      <c r="G261" s="10" cm="1">
        <f t="array" ref="G261">IF(OR($A261="",$L261=""),"",_xlfn.LET(_xlpm.cat,UPPER($E261),_xlpm.wt,IFERROR(VALUE(LEFT($L261,FIND(" ",$L261&amp;" ")-1)),$L261),_xlpm.ppk,_xlfn.SWITCH(TRUE,_xlpm.cat="GAMEFOWL",62,_xlpm.cat="POULTRY",45,_xlpm.cat="SWINE",48,_xlpm.cat="HOGS",48,_xlpm.cat="RABBIT",40,45),_xlpm.code,IFERROR(VALUE(LEFT($A261,FIND(" ",$A261&amp;" ")-1)),0),_xlpm.v,1+MOD(_xlpm.code,13)/100,ROUND(_xlpm.ppk*_xlpm.wt*_xlpm.v,0)))</f>
        <v>2408</v>
      </c>
      <c r="H261" s="6" cm="1">
        <f t="array" ref="H261">IF(OR($A261="",$L261=""),"",_xlfn.LET(_xlpm.cat,UPPER($E261),_xlpm.base,_xlfn.SWITCH(TRUE,_xlpm.cat="GAMEFOWL",0.22,_xlpm.cat="POULTRY",0.18,_xlpm.cat="SWINE",0.16,_xlpm.cat="HOGS",0.16,_xlpm.cat="RABBIT",0.15,0.17),_xlpm.code,IFERROR(VALUE(LEFT($A261,FIND(" ",$A261&amp;" ")-1)),0),_xlpm.v,MOD(_xlpm.code,9)/1000,MIN(0.3,MAX(0.1,_xlpm.base+_xlpm.v))))</f>
        <v>0.187</v>
      </c>
      <c r="I261" s="5" t="s">
        <v>77</v>
      </c>
      <c r="J261" s="5">
        <v>4</v>
      </c>
      <c r="K261" s="5">
        <v>0.33</v>
      </c>
      <c r="L261" s="5">
        <v>50</v>
      </c>
      <c r="M261" s="5">
        <v>4</v>
      </c>
      <c r="N261" s="5">
        <v>2</v>
      </c>
      <c r="O261" s="5">
        <v>2</v>
      </c>
      <c r="Q261" s="5" t="s">
        <v>826</v>
      </c>
      <c r="R261" s="5" t="s">
        <v>34</v>
      </c>
      <c r="S261" s="5" t="s">
        <v>92</v>
      </c>
      <c r="T261" s="7">
        <v>5000000000038</v>
      </c>
      <c r="U261" s="5" t="s">
        <v>827</v>
      </c>
      <c r="V261" s="7">
        <v>5000000000117</v>
      </c>
      <c r="W261" s="5" t="s">
        <v>613</v>
      </c>
      <c r="X261" s="5" t="s">
        <v>34</v>
      </c>
      <c r="Y261" s="5" t="s">
        <v>34</v>
      </c>
      <c r="Z261" s="5" t="s">
        <v>34</v>
      </c>
      <c r="AA261" s="5" t="s">
        <v>34</v>
      </c>
      <c r="AB261" s="5" t="s">
        <v>34</v>
      </c>
      <c r="AC261" s="5" t="s">
        <v>34</v>
      </c>
      <c r="AD261" s="5" t="s">
        <v>34</v>
      </c>
    </row>
    <row r="262" spans="1:30" ht="15.55" x14ac:dyDescent="0.3">
      <c r="A262" s="4">
        <v>1000000001016</v>
      </c>
      <c r="B262" s="5" t="s">
        <v>828</v>
      </c>
      <c r="C262" s="4">
        <v>3000000000278</v>
      </c>
      <c r="D262" s="5" t="s">
        <v>829</v>
      </c>
      <c r="E262" s="5" t="s">
        <v>62</v>
      </c>
      <c r="F262" s="5" t="s">
        <v>34</v>
      </c>
      <c r="G262" s="10" cm="1">
        <f t="array" ref="G262">IF(OR($A262="",$L262=""),"",_xlfn.LET(_xlpm.cat,UPPER($E262),_xlpm.wt,IFERROR(VALUE(LEFT($L262,FIND(" ",$L262&amp;" ")-1)),$L262),_xlpm.ppk,_xlfn.SWITCH(TRUE,_xlpm.cat="GAMEFOWL",62,_xlpm.cat="POULTRY",45,_xlpm.cat="SWINE",48,_xlpm.cat="HOGS",48,_xlpm.cat="RABBIT",40,45),_xlpm.code,IFERROR(VALUE(LEFT($A262,FIND(" ",$A262&amp;" ")-1)),0),_xlpm.v,1+MOD(_xlpm.code,13)/100,ROUND(_xlpm.ppk*_xlpm.wt*_xlpm.v,0)))</f>
        <v>2318</v>
      </c>
      <c r="H262" s="6" cm="1">
        <f t="array" ref="H262">IF(OR($A262="",$L262=""),"",_xlfn.LET(_xlpm.cat,UPPER($E262),_xlpm.base,_xlfn.SWITCH(TRUE,_xlpm.cat="GAMEFOWL",0.22,_xlpm.cat="POULTRY",0.18,_xlpm.cat="SWINE",0.16,_xlpm.cat="HOGS",0.16,_xlpm.cat="RABBIT",0.15,0.17),_xlpm.code,IFERROR(VALUE(LEFT($A262,FIND(" ",$A262&amp;" ")-1)),0),_xlpm.v,MOD(_xlpm.code,9)/1000,MIN(0.3,MAX(0.1,_xlpm.base+_xlpm.v))))</f>
        <v>0.18</v>
      </c>
      <c r="I262" s="5" t="s">
        <v>57</v>
      </c>
      <c r="K262" s="5">
        <v>0</v>
      </c>
      <c r="L262" s="5">
        <v>50</v>
      </c>
      <c r="N262" s="5">
        <v>2</v>
      </c>
      <c r="O262" s="5">
        <v>2</v>
      </c>
      <c r="Q262" s="5" t="s">
        <v>830</v>
      </c>
      <c r="R262" s="5" t="s">
        <v>34</v>
      </c>
      <c r="S262" s="5" t="s">
        <v>222</v>
      </c>
      <c r="T262" s="7" t="s">
        <v>34</v>
      </c>
      <c r="U262" s="5" t="s">
        <v>34</v>
      </c>
      <c r="V262" s="7" t="s">
        <v>34</v>
      </c>
      <c r="W262" s="5" t="s">
        <v>34</v>
      </c>
      <c r="X262" s="5" t="s">
        <v>34</v>
      </c>
      <c r="Y262" s="5" t="s">
        <v>34</v>
      </c>
      <c r="Z262" s="5" t="s">
        <v>34</v>
      </c>
      <c r="AA262" s="5" t="s">
        <v>34</v>
      </c>
      <c r="AB262" s="5" t="s">
        <v>34</v>
      </c>
      <c r="AC262" s="5" t="s">
        <v>34</v>
      </c>
      <c r="AD262" s="5" t="s">
        <v>34</v>
      </c>
    </row>
    <row r="263" spans="1:30" ht="15.55" x14ac:dyDescent="0.3">
      <c r="A263" s="4">
        <v>1000000003466</v>
      </c>
      <c r="B263" s="5" t="s">
        <v>831</v>
      </c>
      <c r="C263" s="4">
        <v>3000000000072</v>
      </c>
      <c r="D263" s="5" t="s">
        <v>832</v>
      </c>
      <c r="E263" s="5" t="s">
        <v>86</v>
      </c>
      <c r="F263" s="5" t="s">
        <v>63</v>
      </c>
      <c r="G263" s="10" cm="1">
        <f t="array" ref="G263">IF(OR($A263="",$L263=""),"",_xlfn.LET(_xlpm.cat,UPPER($E263),_xlpm.wt,IFERROR(VALUE(LEFT($L263,FIND(" ",$L263&amp;" ")-1)),$L263),_xlpm.ppk,_xlfn.SWITCH(TRUE,_xlpm.cat="GAMEFOWL",62,_xlpm.cat="POULTRY",45,_xlpm.cat="SWINE",48,_xlpm.cat="HOGS",48,_xlpm.cat="RABBIT",40,45),_xlpm.code,IFERROR(VALUE(LEFT($A263,FIND(" ",$A263&amp;" ")-1)),0),_xlpm.v,1+MOD(_xlpm.code,13)/100,ROUND(_xlpm.ppk*_xlpm.wt*_xlpm.v,0)))</f>
        <v>1135</v>
      </c>
      <c r="H263" s="6" cm="1">
        <f t="array" ref="H263">IF(OR($A263="",$L263=""),"",_xlfn.LET(_xlpm.cat,UPPER($E263),_xlpm.base,_xlfn.SWITCH(TRUE,_xlpm.cat="GAMEFOWL",0.22,_xlpm.cat="POULTRY",0.18,_xlpm.cat="SWINE",0.16,_xlpm.cat="HOGS",0.16,_xlpm.cat="RABBIT",0.15,0.17),_xlpm.code,IFERROR(VALUE(LEFT($A263,FIND(" ",$A263&amp;" ")-1)),0),_xlpm.v,MOD(_xlpm.code,9)/1000,MIN(0.3,MAX(0.1,_xlpm.base+_xlpm.v))))</f>
        <v>0.222</v>
      </c>
      <c r="I263" s="5" t="s">
        <v>139</v>
      </c>
      <c r="J263" s="5">
        <v>3</v>
      </c>
      <c r="K263" s="5">
        <v>0.17</v>
      </c>
      <c r="L263" s="5">
        <v>16.8</v>
      </c>
      <c r="M263" s="5">
        <v>4</v>
      </c>
      <c r="N263" s="5">
        <v>2</v>
      </c>
      <c r="O263" s="5">
        <v>2</v>
      </c>
      <c r="Q263" s="5" t="s">
        <v>34</v>
      </c>
      <c r="R263" s="5" t="s">
        <v>34</v>
      </c>
      <c r="S263" s="5" t="s">
        <v>34</v>
      </c>
      <c r="T263" s="7" t="s">
        <v>34</v>
      </c>
      <c r="U263" s="5" t="s">
        <v>34</v>
      </c>
      <c r="V263" s="7" t="s">
        <v>34</v>
      </c>
      <c r="W263" s="5" t="s">
        <v>34</v>
      </c>
      <c r="X263" s="5">
        <v>19.663669007990393</v>
      </c>
      <c r="Y263" s="5" t="s">
        <v>34</v>
      </c>
      <c r="Z263" s="5" t="s">
        <v>34</v>
      </c>
      <c r="AA263" s="5" t="s">
        <v>34</v>
      </c>
      <c r="AB263" s="5" t="s">
        <v>34</v>
      </c>
      <c r="AC263" s="5" t="s">
        <v>34</v>
      </c>
      <c r="AD263" s="5" t="s">
        <v>34</v>
      </c>
    </row>
    <row r="264" spans="1:30" ht="15.55" x14ac:dyDescent="0.3">
      <c r="A264" s="4">
        <v>1000000001634</v>
      </c>
      <c r="B264" s="5" t="s">
        <v>833</v>
      </c>
      <c r="C264" s="4">
        <v>3000000001121</v>
      </c>
      <c r="D264" s="5" t="s">
        <v>834</v>
      </c>
      <c r="E264" s="5" t="s">
        <v>62</v>
      </c>
      <c r="F264" s="5" t="s">
        <v>34</v>
      </c>
      <c r="G264" s="10" cm="1">
        <f t="array" ref="G264">IF(OR($A264="",$L264=""),"",_xlfn.LET(_xlpm.cat,UPPER($E264),_xlpm.wt,IFERROR(VALUE(LEFT($L264,FIND(" ",$L264&amp;" ")-1)),$L264),_xlpm.ppk,_xlfn.SWITCH(TRUE,_xlpm.cat="GAMEFOWL",62,_xlpm.cat="POULTRY",45,_xlpm.cat="SWINE",48,_xlpm.cat="HOGS",48,_xlpm.cat="RABBIT",40,45),_xlpm.code,IFERROR(VALUE(LEFT($A264,FIND(" ",$A264&amp;" ")-1)),0),_xlpm.v,1+MOD(_xlpm.code,13)/100,ROUND(_xlpm.ppk*_xlpm.wt*_xlpm.v,0)))</f>
        <v>2475</v>
      </c>
      <c r="H264" s="6" cm="1">
        <f t="array" ref="H264">IF(OR($A264="",$L264=""),"",_xlfn.LET(_xlpm.cat,UPPER($E264),_xlpm.base,_xlfn.SWITCH(TRUE,_xlpm.cat="GAMEFOWL",0.22,_xlpm.cat="POULTRY",0.18,_xlpm.cat="SWINE",0.16,_xlpm.cat="HOGS",0.16,_xlpm.cat="RABBIT",0.15,0.17),_xlpm.code,IFERROR(VALUE(LEFT($A264,FIND(" ",$A264&amp;" ")-1)),0),_xlpm.v,MOD(_xlpm.code,9)/1000,MIN(0.3,MAX(0.1,_xlpm.base+_xlpm.v))))</f>
        <v>0.186</v>
      </c>
      <c r="I264" s="5" t="s">
        <v>57</v>
      </c>
      <c r="K264" s="5">
        <v>0</v>
      </c>
      <c r="L264" s="5">
        <v>50</v>
      </c>
      <c r="N264" s="5">
        <v>2</v>
      </c>
      <c r="O264" s="5">
        <v>2</v>
      </c>
      <c r="Q264" s="5">
        <v>1634</v>
      </c>
      <c r="R264" s="5" t="s">
        <v>34</v>
      </c>
      <c r="S264" s="5" t="s">
        <v>222</v>
      </c>
      <c r="T264" s="7">
        <v>5000000000983</v>
      </c>
      <c r="U264" s="5" t="s">
        <v>612</v>
      </c>
      <c r="V264" s="7">
        <v>5000000000117</v>
      </c>
      <c r="W264" s="5" t="s">
        <v>224</v>
      </c>
      <c r="X264" s="5" t="s">
        <v>34</v>
      </c>
      <c r="Y264" s="5" t="s">
        <v>34</v>
      </c>
      <c r="Z264" s="5" t="s">
        <v>34</v>
      </c>
      <c r="AA264" s="5" t="s">
        <v>34</v>
      </c>
      <c r="AB264" s="5" t="s">
        <v>34</v>
      </c>
      <c r="AC264" s="5" t="s">
        <v>34</v>
      </c>
      <c r="AD264" s="5" t="s">
        <v>34</v>
      </c>
    </row>
    <row r="265" spans="1:30" ht="15.55" x14ac:dyDescent="0.3">
      <c r="A265" s="4">
        <v>1000000000477</v>
      </c>
      <c r="B265" s="5" t="s">
        <v>835</v>
      </c>
      <c r="C265" s="4">
        <v>3000000000655</v>
      </c>
      <c r="D265" s="5" t="s">
        <v>836</v>
      </c>
      <c r="E265" s="5" t="s">
        <v>31</v>
      </c>
      <c r="F265" s="5" t="s">
        <v>32</v>
      </c>
      <c r="G265" s="10" cm="1">
        <f t="array" ref="G265">IF(OR($A265="",$L265=""),"",_xlfn.LET(_xlpm.cat,UPPER($E265),_xlpm.wt,IFERROR(VALUE(LEFT($L265,FIND(" ",$L265&amp;" ")-1)),$L265),_xlpm.ppk,_xlfn.SWITCH(TRUE,_xlpm.cat="GAMEFOWL",62,_xlpm.cat="POULTRY",45,_xlpm.cat="SWINE",48,_xlpm.cat="HOGS",48,_xlpm.cat="RABBIT",40,45),_xlpm.code,IFERROR(VALUE(LEFT($A265,FIND(" ",$A265&amp;" ")-1)),0),_xlpm.v,1+MOD(_xlpm.code,13)/100,ROUND(_xlpm.ppk*_xlpm.wt*_xlpm.v,0)))</f>
        <v>528</v>
      </c>
      <c r="H265" s="6" cm="1">
        <f t="array" ref="H265">IF(OR($A265="",$L265=""),"",_xlfn.LET(_xlpm.cat,UPPER($E265),_xlpm.base,_xlfn.SWITCH(TRUE,_xlpm.cat="GAMEFOWL",0.22,_xlpm.cat="POULTRY",0.18,_xlpm.cat="SWINE",0.16,_xlpm.cat="HOGS",0.16,_xlpm.cat="RABBIT",0.15,0.17),_xlpm.code,IFERROR(VALUE(LEFT($A265,FIND(" ",$A265&amp;" ")-1)),0),_xlpm.v,MOD(_xlpm.code,9)/1000,MIN(0.3,MAX(0.1,_xlpm.base+_xlpm.v))))</f>
        <v>0.161</v>
      </c>
      <c r="I265" s="5" t="s">
        <v>48</v>
      </c>
      <c r="J265" s="5">
        <v>3</v>
      </c>
      <c r="K265" s="5">
        <v>0.17</v>
      </c>
      <c r="L265" s="5">
        <v>10</v>
      </c>
      <c r="M265" s="5">
        <v>4</v>
      </c>
      <c r="N265" s="5">
        <v>2</v>
      </c>
      <c r="O265" s="5">
        <v>2</v>
      </c>
      <c r="Q265" s="5" t="s">
        <v>837</v>
      </c>
      <c r="R265" s="5" t="s">
        <v>34</v>
      </c>
      <c r="S265" s="5" t="s">
        <v>314</v>
      </c>
      <c r="T265" s="7" t="s">
        <v>34</v>
      </c>
      <c r="U265" s="5" t="s">
        <v>34</v>
      </c>
      <c r="V265" s="7" t="s">
        <v>34</v>
      </c>
      <c r="W265" s="5" t="s">
        <v>34</v>
      </c>
      <c r="X265" s="5" t="s">
        <v>34</v>
      </c>
      <c r="Y265" s="5" t="s">
        <v>34</v>
      </c>
      <c r="Z265" s="5" t="s">
        <v>34</v>
      </c>
      <c r="AA265" s="5" t="s">
        <v>34</v>
      </c>
      <c r="AB265" s="5" t="s">
        <v>34</v>
      </c>
      <c r="AC265" s="5" t="s">
        <v>34</v>
      </c>
      <c r="AD265" s="5">
        <v>7.9994879999999844</v>
      </c>
    </row>
    <row r="266" spans="1:30" ht="15.55" x14ac:dyDescent="0.3">
      <c r="A266" s="4">
        <v>1000000003575</v>
      </c>
      <c r="B266" s="5" t="s">
        <v>838</v>
      </c>
      <c r="C266" s="4">
        <v>3000000000858</v>
      </c>
      <c r="D266" s="5" t="s">
        <v>85</v>
      </c>
      <c r="E266" s="5" t="s">
        <v>86</v>
      </c>
      <c r="F266" s="5" t="s">
        <v>63</v>
      </c>
      <c r="G266" s="10" cm="1">
        <f t="array" ref="G266">IF(OR($A266="",$L266=""),"",_xlfn.LET(_xlpm.cat,UPPER($E266),_xlpm.wt,IFERROR(VALUE(LEFT($L266,FIND(" ",$L266&amp;" ")-1)),$L266),_xlpm.ppk,_xlfn.SWITCH(TRUE,_xlpm.cat="GAMEFOWL",62,_xlpm.cat="POULTRY",45,_xlpm.cat="SWINE",48,_xlpm.cat="HOGS",48,_xlpm.cat="RABBIT",40,45),_xlpm.code,IFERROR(VALUE(LEFT($A266,FIND(" ",$A266&amp;" ")-1)),0),_xlpm.v,1+MOD(_xlpm.code,13)/100,ROUND(_xlpm.ppk*_xlpm.wt*_xlpm.v,0)))</f>
        <v>1566</v>
      </c>
      <c r="H266" s="6" cm="1">
        <f t="array" ref="H266">IF(OR($A266="",$L266=""),"",_xlfn.LET(_xlpm.cat,UPPER($E266),_xlpm.base,_xlfn.SWITCH(TRUE,_xlpm.cat="GAMEFOWL",0.22,_xlpm.cat="POULTRY",0.18,_xlpm.cat="SWINE",0.16,_xlpm.cat="HOGS",0.16,_xlpm.cat="RABBIT",0.15,0.17),_xlpm.code,IFERROR(VALUE(LEFT($A266,FIND(" ",$A266&amp;" ")-1)),0),_xlpm.v,MOD(_xlpm.code,9)/1000,MIN(0.3,MAX(0.1,_xlpm.base+_xlpm.v))))</f>
        <v>0.223</v>
      </c>
      <c r="I266" s="5" t="s">
        <v>64</v>
      </c>
      <c r="J266" s="5">
        <v>4</v>
      </c>
      <c r="K266" s="5">
        <v>0.33</v>
      </c>
      <c r="L266" s="5">
        <v>25</v>
      </c>
      <c r="M266" s="5">
        <v>4</v>
      </c>
      <c r="N266" s="5">
        <v>2</v>
      </c>
      <c r="O266" s="5">
        <v>2</v>
      </c>
      <c r="Q266" s="5" t="s">
        <v>34</v>
      </c>
      <c r="R266" s="5" t="s">
        <v>34</v>
      </c>
      <c r="S266" s="5" t="s">
        <v>34</v>
      </c>
      <c r="T266" s="7" t="s">
        <v>34</v>
      </c>
      <c r="U266" s="5" t="s">
        <v>34</v>
      </c>
      <c r="V266" s="7" t="s">
        <v>34</v>
      </c>
      <c r="W266" s="5" t="s">
        <v>34</v>
      </c>
      <c r="X266" s="5">
        <v>14.051959005373144</v>
      </c>
      <c r="Y266" s="5">
        <v>13.274660127386952</v>
      </c>
      <c r="Z266" s="5" t="s">
        <v>34</v>
      </c>
      <c r="AA266" s="5">
        <v>7.4477991724137933</v>
      </c>
      <c r="AB266" s="5" t="s">
        <v>34</v>
      </c>
      <c r="AC266" s="5" t="s">
        <v>34</v>
      </c>
      <c r="AD266" s="5" t="s">
        <v>34</v>
      </c>
    </row>
    <row r="267" spans="1:30" ht="15.55" x14ac:dyDescent="0.3">
      <c r="A267" s="4">
        <v>1000000003576</v>
      </c>
      <c r="B267" s="5" t="s">
        <v>839</v>
      </c>
      <c r="C267" s="4">
        <v>3000000000076</v>
      </c>
      <c r="D267" s="5" t="s">
        <v>125</v>
      </c>
      <c r="E267" s="5" t="s">
        <v>86</v>
      </c>
      <c r="F267" s="5" t="s">
        <v>63</v>
      </c>
      <c r="G267" s="10" cm="1">
        <f t="array" ref="G267">IF(OR($A267="",$L267=""),"",_xlfn.LET(_xlpm.cat,UPPER($E267),_xlpm.wt,IFERROR(VALUE(LEFT($L267,FIND(" ",$L267&amp;" ")-1)),$L267),_xlpm.ppk,_xlfn.SWITCH(TRUE,_xlpm.cat="GAMEFOWL",62,_xlpm.cat="POULTRY",45,_xlpm.cat="SWINE",48,_xlpm.cat="HOGS",48,_xlpm.cat="RABBIT",40,45),_xlpm.code,IFERROR(VALUE(LEFT($A267,FIND(" ",$A267&amp;" ")-1)),0),_xlpm.v,1+MOD(_xlpm.code,13)/100,ROUND(_xlpm.ppk*_xlpm.wt*_xlpm.v,0)))</f>
        <v>1581</v>
      </c>
      <c r="H267" s="6" cm="1">
        <f t="array" ref="H267">IF(OR($A267="",$L267=""),"",_xlfn.LET(_xlpm.cat,UPPER($E267),_xlpm.base,_xlfn.SWITCH(TRUE,_xlpm.cat="GAMEFOWL",0.22,_xlpm.cat="POULTRY",0.18,_xlpm.cat="SWINE",0.16,_xlpm.cat="HOGS",0.16,_xlpm.cat="RABBIT",0.15,0.17),_xlpm.code,IFERROR(VALUE(LEFT($A267,FIND(" ",$A267&amp;" ")-1)),0),_xlpm.v,MOD(_xlpm.code,9)/1000,MIN(0.3,MAX(0.1,_xlpm.base+_xlpm.v))))</f>
        <v>0.224</v>
      </c>
      <c r="I267" s="5" t="s">
        <v>106</v>
      </c>
      <c r="J267" s="5">
        <v>4</v>
      </c>
      <c r="K267" s="5">
        <v>0.33</v>
      </c>
      <c r="L267" s="5">
        <v>25</v>
      </c>
      <c r="M267" s="5">
        <v>4</v>
      </c>
      <c r="N267" s="5">
        <v>2</v>
      </c>
      <c r="O267" s="5">
        <v>2</v>
      </c>
      <c r="Q267" s="5" t="s">
        <v>34</v>
      </c>
      <c r="R267" s="5" t="s">
        <v>34</v>
      </c>
      <c r="S267" s="5" t="s">
        <v>34</v>
      </c>
      <c r="T267" s="7" t="s">
        <v>34</v>
      </c>
      <c r="U267" s="5" t="s">
        <v>34</v>
      </c>
      <c r="V267" s="7" t="s">
        <v>34</v>
      </c>
      <c r="W267" s="5" t="s">
        <v>34</v>
      </c>
      <c r="X267" s="5" t="s">
        <v>34</v>
      </c>
      <c r="Y267" s="5" t="s">
        <v>34</v>
      </c>
      <c r="Z267" s="5">
        <v>6.5492321808127008</v>
      </c>
      <c r="AA267" s="5">
        <v>7.5474284815724832</v>
      </c>
      <c r="AB267" s="5" t="s">
        <v>34</v>
      </c>
      <c r="AC267" s="5">
        <v>5.8662912000000009</v>
      </c>
      <c r="AD267" s="5" t="s">
        <v>34</v>
      </c>
    </row>
    <row r="268" spans="1:30" ht="15.55" x14ac:dyDescent="0.3">
      <c r="A268" s="4">
        <v>1000000003577</v>
      </c>
      <c r="B268" s="5" t="s">
        <v>840</v>
      </c>
      <c r="C268" s="4">
        <v>3000000000078</v>
      </c>
      <c r="D268" s="5" t="s">
        <v>121</v>
      </c>
      <c r="E268" s="5" t="s">
        <v>86</v>
      </c>
      <c r="F268" s="5" t="s">
        <v>63</v>
      </c>
      <c r="G268" s="10" cm="1">
        <f t="array" ref="G268">IF(OR($A268="",$L268=""),"",_xlfn.LET(_xlpm.cat,UPPER($E268),_xlpm.wt,IFERROR(VALUE(LEFT($L268,FIND(" ",$L268&amp;" ")-1)),$L268),_xlpm.ppk,_xlfn.SWITCH(TRUE,_xlpm.cat="GAMEFOWL",62,_xlpm.cat="POULTRY",45,_xlpm.cat="SWINE",48,_xlpm.cat="HOGS",48,_xlpm.cat="RABBIT",40,45),_xlpm.code,IFERROR(VALUE(LEFT($A268,FIND(" ",$A268&amp;" ")-1)),0),_xlpm.v,1+MOD(_xlpm.code,13)/100,ROUND(_xlpm.ppk*_xlpm.wt*_xlpm.v,0)))</f>
        <v>3193</v>
      </c>
      <c r="H268" s="6" cm="1">
        <f t="array" ref="H268">IF(OR($A268="",$L268=""),"",_xlfn.LET(_xlpm.cat,UPPER($E268),_xlpm.base,_xlfn.SWITCH(TRUE,_xlpm.cat="GAMEFOWL",0.22,_xlpm.cat="POULTRY",0.18,_xlpm.cat="SWINE",0.16,_xlpm.cat="HOGS",0.16,_xlpm.cat="RABBIT",0.15,0.17),_xlpm.code,IFERROR(VALUE(LEFT($A268,FIND(" ",$A268&amp;" ")-1)),0),_xlpm.v,MOD(_xlpm.code,9)/1000,MIN(0.3,MAX(0.1,_xlpm.base+_xlpm.v))))</f>
        <v>0.22500000000000001</v>
      </c>
      <c r="I268" s="5" t="s">
        <v>122</v>
      </c>
      <c r="J268" s="5">
        <v>3</v>
      </c>
      <c r="K268" s="5">
        <v>0</v>
      </c>
      <c r="L268" s="5">
        <v>50</v>
      </c>
      <c r="M268" s="5">
        <v>4</v>
      </c>
      <c r="N268" s="5">
        <v>2</v>
      </c>
      <c r="O268" s="5">
        <v>2</v>
      </c>
      <c r="Q268" s="5" t="s">
        <v>34</v>
      </c>
      <c r="R268" s="5" t="s">
        <v>34</v>
      </c>
      <c r="S268" s="5" t="s">
        <v>34</v>
      </c>
      <c r="T268" s="7" t="s">
        <v>34</v>
      </c>
      <c r="U268" s="5" t="s">
        <v>34</v>
      </c>
      <c r="V268" s="7" t="s">
        <v>34</v>
      </c>
      <c r="W268" s="5" t="s">
        <v>34</v>
      </c>
      <c r="X268" s="5" t="s">
        <v>34</v>
      </c>
      <c r="Y268" s="5" t="s">
        <v>34</v>
      </c>
      <c r="Z268" s="5" t="s">
        <v>34</v>
      </c>
      <c r="AA268" s="5" t="s">
        <v>34</v>
      </c>
      <c r="AB268" s="5">
        <v>12.672035139092241</v>
      </c>
      <c r="AC268" s="5" t="s">
        <v>34</v>
      </c>
      <c r="AD268" s="5" t="s">
        <v>34</v>
      </c>
    </row>
    <row r="269" spans="1:30" ht="15.55" x14ac:dyDescent="0.3">
      <c r="A269" s="4">
        <v>1000000003578</v>
      </c>
      <c r="B269" s="5" t="s">
        <v>841</v>
      </c>
      <c r="C269" s="4">
        <v>3000000000045</v>
      </c>
      <c r="D269" s="5" t="s">
        <v>492</v>
      </c>
      <c r="E269" s="5" t="s">
        <v>86</v>
      </c>
      <c r="F269" s="5" t="s">
        <v>63</v>
      </c>
      <c r="G269" s="10" cm="1">
        <f t="array" ref="G269">IF(OR($A269="",$L269=""),"",_xlfn.LET(_xlpm.cat,UPPER($E269),_xlpm.wt,IFERROR(VALUE(LEFT($L269,FIND(" ",$L269&amp;" ")-1)),$L269),_xlpm.ppk,_xlfn.SWITCH(TRUE,_xlpm.cat="GAMEFOWL",62,_xlpm.cat="POULTRY",45,_xlpm.cat="SWINE",48,_xlpm.cat="HOGS",48,_xlpm.cat="RABBIT",40,45),_xlpm.code,IFERROR(VALUE(LEFT($A269,FIND(" ",$A269&amp;" ")-1)),0),_xlpm.v,1+MOD(_xlpm.code,13)/100,ROUND(_xlpm.ppk*_xlpm.wt*_xlpm.v,0)))</f>
        <v>1612</v>
      </c>
      <c r="H269" s="6" cm="1">
        <f t="array" ref="H269">IF(OR($A269="",$L269=""),"",_xlfn.LET(_xlpm.cat,UPPER($E269),_xlpm.base,_xlfn.SWITCH(TRUE,_xlpm.cat="GAMEFOWL",0.22,_xlpm.cat="POULTRY",0.18,_xlpm.cat="SWINE",0.16,_xlpm.cat="HOGS",0.16,_xlpm.cat="RABBIT",0.15,0.17),_xlpm.code,IFERROR(VALUE(LEFT($A269,FIND(" ",$A269&amp;" ")-1)),0),_xlpm.v,MOD(_xlpm.code,9)/1000,MIN(0.3,MAX(0.1,_xlpm.base+_xlpm.v))))</f>
        <v>0.22600000000000001</v>
      </c>
      <c r="I269" s="5" t="s">
        <v>48</v>
      </c>
      <c r="J269" s="5">
        <v>3</v>
      </c>
      <c r="K269" s="5">
        <v>0.17</v>
      </c>
      <c r="L269" s="5">
        <v>25</v>
      </c>
      <c r="M269" s="5">
        <v>3</v>
      </c>
      <c r="N269" s="5">
        <v>2</v>
      </c>
      <c r="O269" s="5">
        <v>2</v>
      </c>
      <c r="Q269" s="5" t="s">
        <v>34</v>
      </c>
      <c r="R269" s="5" t="s">
        <v>34</v>
      </c>
      <c r="S269" s="5" t="s">
        <v>34</v>
      </c>
      <c r="T269" s="7" t="s">
        <v>34</v>
      </c>
      <c r="U269" s="5" t="s">
        <v>34</v>
      </c>
      <c r="V269" s="7" t="s">
        <v>34</v>
      </c>
      <c r="W269" s="5" t="s">
        <v>34</v>
      </c>
      <c r="X269" s="5">
        <v>19.31013951575834</v>
      </c>
      <c r="Y269" s="5" t="s">
        <v>34</v>
      </c>
      <c r="Z269" s="5" t="s">
        <v>34</v>
      </c>
      <c r="AA269" s="5" t="s">
        <v>34</v>
      </c>
      <c r="AB269" s="5" t="s">
        <v>34</v>
      </c>
      <c r="AC269" s="5" t="s">
        <v>34</v>
      </c>
      <c r="AD269" s="5" t="s">
        <v>34</v>
      </c>
    </row>
    <row r="270" spans="1:30" ht="15.55" x14ac:dyDescent="0.3">
      <c r="A270" s="4">
        <v>1000000003580</v>
      </c>
      <c r="B270" s="5" t="s">
        <v>842</v>
      </c>
      <c r="C270" s="4">
        <v>3000000000065</v>
      </c>
      <c r="D270" s="5" t="s">
        <v>273</v>
      </c>
      <c r="E270" s="5" t="s">
        <v>86</v>
      </c>
      <c r="F270" s="5" t="s">
        <v>63</v>
      </c>
      <c r="G270" s="10" cm="1">
        <f t="array" ref="G270">IF(OR($A270="",$L270=""),"",_xlfn.LET(_xlpm.cat,UPPER($E270),_xlpm.wt,IFERROR(VALUE(LEFT($L270,FIND(" ",$L270&amp;" ")-1)),$L270),_xlpm.ppk,_xlfn.SWITCH(TRUE,_xlpm.cat="GAMEFOWL",62,_xlpm.cat="POULTRY",45,_xlpm.cat="SWINE",48,_xlpm.cat="HOGS",48,_xlpm.cat="RABBIT",40,45),_xlpm.code,IFERROR(VALUE(LEFT($A270,FIND(" ",$A270&amp;" ")-1)),0),_xlpm.v,1+MOD(_xlpm.code,13)/100,ROUND(_xlpm.ppk*_xlpm.wt*_xlpm.v,0)))</f>
        <v>1643</v>
      </c>
      <c r="H270" s="6" cm="1">
        <f t="array" ref="H270">IF(OR($A270="",$L270=""),"",_xlfn.LET(_xlpm.cat,UPPER($E270),_xlpm.base,_xlfn.SWITCH(TRUE,_xlpm.cat="GAMEFOWL",0.22,_xlpm.cat="POULTRY",0.18,_xlpm.cat="SWINE",0.16,_xlpm.cat="HOGS",0.16,_xlpm.cat="RABBIT",0.15,0.17),_xlpm.code,IFERROR(VALUE(LEFT($A270,FIND(" ",$A270&amp;" ")-1)),0),_xlpm.v,MOD(_xlpm.code,9)/1000,MIN(0.3,MAX(0.1,_xlpm.base+_xlpm.v))))</f>
        <v>0.22800000000000001</v>
      </c>
      <c r="I270" s="5" t="s">
        <v>48</v>
      </c>
      <c r="J270" s="5">
        <v>3</v>
      </c>
      <c r="K270" s="5">
        <v>0.17</v>
      </c>
      <c r="L270" s="5">
        <v>25</v>
      </c>
      <c r="M270" s="5">
        <v>3</v>
      </c>
      <c r="N270" s="5">
        <v>2</v>
      </c>
      <c r="O270" s="5">
        <v>2</v>
      </c>
      <c r="Q270" s="5" t="s">
        <v>34</v>
      </c>
      <c r="R270" s="5" t="s">
        <v>34</v>
      </c>
      <c r="S270" s="5" t="s">
        <v>34</v>
      </c>
      <c r="T270" s="7" t="s">
        <v>34</v>
      </c>
      <c r="U270" s="5" t="s">
        <v>34</v>
      </c>
      <c r="V270" s="7" t="s">
        <v>34</v>
      </c>
      <c r="W270" s="5" t="s">
        <v>34</v>
      </c>
      <c r="X270" s="5">
        <v>18.839799390629491</v>
      </c>
      <c r="Y270" s="5" t="s">
        <v>34</v>
      </c>
      <c r="Z270" s="5" t="s">
        <v>34</v>
      </c>
      <c r="AA270" s="5" t="s">
        <v>34</v>
      </c>
      <c r="AB270" s="5" t="s">
        <v>34</v>
      </c>
      <c r="AC270" s="5" t="s">
        <v>34</v>
      </c>
      <c r="AD270" s="5" t="s">
        <v>34</v>
      </c>
    </row>
    <row r="271" spans="1:30" ht="15.55" x14ac:dyDescent="0.3">
      <c r="A271" s="4">
        <v>1000000003581</v>
      </c>
      <c r="B271" s="5" t="s">
        <v>843</v>
      </c>
      <c r="C271" s="4">
        <v>3000000000067</v>
      </c>
      <c r="D271" s="5" t="s">
        <v>277</v>
      </c>
      <c r="E271" s="5" t="s">
        <v>86</v>
      </c>
      <c r="F271" s="5" t="s">
        <v>63</v>
      </c>
      <c r="G271" s="10" cm="1">
        <f t="array" ref="G271">IF(OR($A271="",$L271=""),"",_xlfn.LET(_xlpm.cat,UPPER($E271),_xlpm.wt,IFERROR(VALUE(LEFT($L271,FIND(" ",$L271&amp;" ")-1)),$L271),_xlpm.ppk,_xlfn.SWITCH(TRUE,_xlpm.cat="GAMEFOWL",62,_xlpm.cat="POULTRY",45,_xlpm.cat="SWINE",48,_xlpm.cat="HOGS",48,_xlpm.cat="RABBIT",40,45),_xlpm.code,IFERROR(VALUE(LEFT($A271,FIND(" ",$A271&amp;" ")-1)),0),_xlpm.v,1+MOD(_xlpm.code,13)/100,ROUND(_xlpm.ppk*_xlpm.wt*_xlpm.v,0)))</f>
        <v>1659</v>
      </c>
      <c r="H271" s="6" cm="1">
        <f t="array" ref="H271">IF(OR($A271="",$L271=""),"",_xlfn.LET(_xlpm.cat,UPPER($E271),_xlpm.base,_xlfn.SWITCH(TRUE,_xlpm.cat="GAMEFOWL",0.22,_xlpm.cat="POULTRY",0.18,_xlpm.cat="SWINE",0.16,_xlpm.cat="HOGS",0.16,_xlpm.cat="RABBIT",0.15,0.17),_xlpm.code,IFERROR(VALUE(LEFT($A271,FIND(" ",$A271&amp;" ")-1)),0),_xlpm.v,MOD(_xlpm.code,9)/1000,MIN(0.3,MAX(0.1,_xlpm.base+_xlpm.v))))</f>
        <v>0.22</v>
      </c>
      <c r="I271" s="5" t="s">
        <v>48</v>
      </c>
      <c r="J271" s="5">
        <v>3</v>
      </c>
      <c r="K271" s="5">
        <v>0.17</v>
      </c>
      <c r="L271" s="5">
        <v>25</v>
      </c>
      <c r="M271" s="5">
        <v>4</v>
      </c>
      <c r="N271" s="5">
        <v>2</v>
      </c>
      <c r="O271" s="5">
        <v>2</v>
      </c>
      <c r="Q271" s="5" t="s">
        <v>34</v>
      </c>
      <c r="R271" s="5" t="s">
        <v>34</v>
      </c>
      <c r="S271" s="5" t="s">
        <v>34</v>
      </c>
      <c r="T271" s="7" t="s">
        <v>34</v>
      </c>
      <c r="U271" s="5" t="s">
        <v>34</v>
      </c>
      <c r="V271" s="7" t="s">
        <v>34</v>
      </c>
      <c r="W271" s="5" t="s">
        <v>34</v>
      </c>
      <c r="X271" s="5">
        <v>18.195462301761221</v>
      </c>
      <c r="Y271" s="5" t="s">
        <v>34</v>
      </c>
      <c r="Z271" s="5" t="s">
        <v>34</v>
      </c>
      <c r="AA271" s="5" t="s">
        <v>34</v>
      </c>
      <c r="AB271" s="5" t="s">
        <v>34</v>
      </c>
      <c r="AC271" s="5" t="s">
        <v>34</v>
      </c>
      <c r="AD271" s="5" t="s">
        <v>34</v>
      </c>
    </row>
    <row r="272" spans="1:30" ht="15.55" x14ac:dyDescent="0.3">
      <c r="A272" s="4">
        <v>1000000003582</v>
      </c>
      <c r="B272" s="5" t="s">
        <v>506</v>
      </c>
      <c r="C272" s="4">
        <v>3000000000053</v>
      </c>
      <c r="D272" s="5" t="s">
        <v>844</v>
      </c>
      <c r="E272" s="5" t="s">
        <v>86</v>
      </c>
      <c r="F272" s="5" t="s">
        <v>113</v>
      </c>
      <c r="G272" s="10" cm="1">
        <f t="array" ref="G272">IF(OR($A272="",$L272=""),"",_xlfn.LET(_xlpm.cat,UPPER($E272),_xlpm.wt,IFERROR(VALUE(LEFT($L272,FIND(" ",$L272&amp;" ")-1)),$L272),_xlpm.ppk,_xlfn.SWITCH(TRUE,_xlpm.cat="GAMEFOWL",62,_xlpm.cat="POULTRY",45,_xlpm.cat="SWINE",48,_xlpm.cat="HOGS",48,_xlpm.cat="RABBIT",40,45),_xlpm.code,IFERROR(VALUE(LEFT($A272,FIND(" ",$A272&amp;" ")-1)),0),_xlpm.v,1+MOD(_xlpm.code,13)/100,ROUND(_xlpm.ppk*_xlpm.wt*_xlpm.v,0)))</f>
        <v>1674</v>
      </c>
      <c r="H272" s="6" cm="1">
        <f t="array" ref="H272">IF(OR($A272="",$L272=""),"",_xlfn.LET(_xlpm.cat,UPPER($E272),_xlpm.base,_xlfn.SWITCH(TRUE,_xlpm.cat="GAMEFOWL",0.22,_xlpm.cat="POULTRY",0.18,_xlpm.cat="SWINE",0.16,_xlpm.cat="HOGS",0.16,_xlpm.cat="RABBIT",0.15,0.17),_xlpm.code,IFERROR(VALUE(LEFT($A272,FIND(" ",$A272&amp;" ")-1)),0),_xlpm.v,MOD(_xlpm.code,9)/1000,MIN(0.3,MAX(0.1,_xlpm.base+_xlpm.v))))</f>
        <v>0.221</v>
      </c>
      <c r="I272" s="5" t="s">
        <v>122</v>
      </c>
      <c r="J272" s="5">
        <v>3</v>
      </c>
      <c r="K272" s="5">
        <v>0</v>
      </c>
      <c r="L272" s="5">
        <v>25</v>
      </c>
      <c r="M272" s="5">
        <v>0.8</v>
      </c>
      <c r="P272" s="5">
        <v>0.8</v>
      </c>
      <c r="Q272" s="5" t="s">
        <v>34</v>
      </c>
      <c r="R272" s="5" t="s">
        <v>34</v>
      </c>
      <c r="S272" s="5" t="s">
        <v>34</v>
      </c>
      <c r="T272" s="7" t="s">
        <v>34</v>
      </c>
      <c r="U272" s="5" t="s">
        <v>34</v>
      </c>
      <c r="V272" s="7" t="s">
        <v>34</v>
      </c>
      <c r="W272" s="5" t="s">
        <v>34</v>
      </c>
      <c r="X272" s="5" t="s">
        <v>34</v>
      </c>
      <c r="Y272" s="5" t="s">
        <v>34</v>
      </c>
      <c r="Z272" s="5" t="s">
        <v>34</v>
      </c>
      <c r="AA272" s="5" t="s">
        <v>34</v>
      </c>
      <c r="AB272" s="5">
        <v>6.53675819309123</v>
      </c>
      <c r="AC272" s="5" t="s">
        <v>34</v>
      </c>
      <c r="AD272" s="5" t="s">
        <v>34</v>
      </c>
    </row>
    <row r="273" spans="1:30" ht="15.55" x14ac:dyDescent="0.3">
      <c r="A273" s="4">
        <v>1000000003583</v>
      </c>
      <c r="B273" s="5" t="s">
        <v>510</v>
      </c>
      <c r="C273" s="4">
        <v>3000000000055</v>
      </c>
      <c r="D273" s="5" t="s">
        <v>845</v>
      </c>
      <c r="E273" s="5" t="s">
        <v>86</v>
      </c>
      <c r="F273" s="5" t="s">
        <v>34</v>
      </c>
      <c r="G273" s="10" cm="1">
        <f t="array" ref="G273">IF(OR($A273="",$L273=""),"",_xlfn.LET(_xlpm.cat,UPPER($E273),_xlpm.wt,IFERROR(VALUE(LEFT($L273,FIND(" ",$L273&amp;" ")-1)),$L273),_xlpm.ppk,_xlfn.SWITCH(TRUE,_xlpm.cat="GAMEFOWL",62,_xlpm.cat="POULTRY",45,_xlpm.cat="SWINE",48,_xlpm.cat="HOGS",48,_xlpm.cat="RABBIT",40,45),_xlpm.code,IFERROR(VALUE(LEFT($A273,FIND(" ",$A273&amp;" ")-1)),0),_xlpm.v,1+MOD(_xlpm.code,13)/100,ROUND(_xlpm.ppk*_xlpm.wt*_xlpm.v,0)))</f>
        <v>1690</v>
      </c>
      <c r="H273" s="6" cm="1">
        <f t="array" ref="H273">IF(OR($A273="",$L273=""),"",_xlfn.LET(_xlpm.cat,UPPER($E273),_xlpm.base,_xlfn.SWITCH(TRUE,_xlpm.cat="GAMEFOWL",0.22,_xlpm.cat="POULTRY",0.18,_xlpm.cat="SWINE",0.16,_xlpm.cat="HOGS",0.16,_xlpm.cat="RABBIT",0.15,0.17),_xlpm.code,IFERROR(VALUE(LEFT($A273,FIND(" ",$A273&amp;" ")-1)),0),_xlpm.v,MOD(_xlpm.code,9)/1000,MIN(0.3,MAX(0.1,_xlpm.base+_xlpm.v))))</f>
        <v>0.222</v>
      </c>
      <c r="I273" s="5" t="s">
        <v>122</v>
      </c>
      <c r="J273" s="5">
        <v>3</v>
      </c>
      <c r="K273" s="5">
        <v>0</v>
      </c>
      <c r="L273" s="5">
        <v>25</v>
      </c>
      <c r="M273" s="5">
        <v>0.8</v>
      </c>
      <c r="P273" s="5">
        <v>0.8</v>
      </c>
      <c r="Q273" s="5" t="s">
        <v>34</v>
      </c>
      <c r="R273" s="5" t="s">
        <v>34</v>
      </c>
      <c r="S273" s="5" t="s">
        <v>34</v>
      </c>
      <c r="T273" s="7" t="s">
        <v>34</v>
      </c>
      <c r="U273" s="5" t="s">
        <v>34</v>
      </c>
      <c r="V273" s="7" t="s">
        <v>34</v>
      </c>
      <c r="W273" s="5" t="s">
        <v>34</v>
      </c>
      <c r="X273" s="5" t="s">
        <v>34</v>
      </c>
      <c r="Y273" s="5" t="s">
        <v>34</v>
      </c>
      <c r="Z273" s="5" t="s">
        <v>34</v>
      </c>
      <c r="AA273" s="5" t="s">
        <v>34</v>
      </c>
      <c r="AB273" s="5" t="s">
        <v>34</v>
      </c>
      <c r="AC273" s="5" t="s">
        <v>34</v>
      </c>
      <c r="AD273" s="5" t="s">
        <v>34</v>
      </c>
    </row>
    <row r="274" spans="1:30" ht="15.55" x14ac:dyDescent="0.3">
      <c r="A274" s="4">
        <v>1000000003584</v>
      </c>
      <c r="B274" s="5" t="s">
        <v>514</v>
      </c>
      <c r="C274" s="4">
        <v>3000000000061</v>
      </c>
      <c r="D274" s="5" t="s">
        <v>846</v>
      </c>
      <c r="E274" s="5" t="s">
        <v>86</v>
      </c>
      <c r="F274" s="5" t="s">
        <v>113</v>
      </c>
      <c r="G274" s="10" cm="1">
        <f t="array" ref="G274">IF(OR($A274="",$L274=""),"",_xlfn.LET(_xlpm.cat,UPPER($E274),_xlpm.wt,IFERROR(VALUE(LEFT($L274,FIND(" ",$L274&amp;" ")-1)),$L274),_xlpm.ppk,_xlfn.SWITCH(TRUE,_xlpm.cat="GAMEFOWL",62,_xlpm.cat="POULTRY",45,_xlpm.cat="SWINE",48,_xlpm.cat="HOGS",48,_xlpm.cat="RABBIT",40,45),_xlpm.code,IFERROR(VALUE(LEFT($A274,FIND(" ",$A274&amp;" ")-1)),0),_xlpm.v,1+MOD(_xlpm.code,13)/100,ROUND(_xlpm.ppk*_xlpm.wt*_xlpm.v,0)))</f>
        <v>1705</v>
      </c>
      <c r="H274" s="6" cm="1">
        <f t="array" ref="H274">IF(OR($A274="",$L274=""),"",_xlfn.LET(_xlpm.cat,UPPER($E274),_xlpm.base,_xlfn.SWITCH(TRUE,_xlpm.cat="GAMEFOWL",0.22,_xlpm.cat="POULTRY",0.18,_xlpm.cat="SWINE",0.16,_xlpm.cat="HOGS",0.16,_xlpm.cat="RABBIT",0.15,0.17),_xlpm.code,IFERROR(VALUE(LEFT($A274,FIND(" ",$A274&amp;" ")-1)),0),_xlpm.v,MOD(_xlpm.code,9)/1000,MIN(0.3,MAX(0.1,_xlpm.base+_xlpm.v))))</f>
        <v>0.223</v>
      </c>
      <c r="I274" s="5" t="s">
        <v>122</v>
      </c>
      <c r="J274" s="5">
        <v>3</v>
      </c>
      <c r="K274" s="5">
        <v>0</v>
      </c>
      <c r="L274" s="5">
        <v>25</v>
      </c>
      <c r="M274" s="5">
        <v>0.8</v>
      </c>
      <c r="P274" s="5">
        <v>0.8</v>
      </c>
      <c r="Q274" s="5" t="s">
        <v>34</v>
      </c>
      <c r="R274" s="5" t="s">
        <v>34</v>
      </c>
      <c r="S274" s="5" t="s">
        <v>34</v>
      </c>
      <c r="T274" s="7" t="s">
        <v>34</v>
      </c>
      <c r="U274" s="5" t="s">
        <v>34</v>
      </c>
      <c r="V274" s="7" t="s">
        <v>34</v>
      </c>
      <c r="W274" s="5" t="s">
        <v>34</v>
      </c>
      <c r="X274" s="5" t="s">
        <v>34</v>
      </c>
      <c r="Y274" s="5" t="s">
        <v>34</v>
      </c>
      <c r="Z274" s="5" t="s">
        <v>34</v>
      </c>
      <c r="AA274" s="5" t="s">
        <v>34</v>
      </c>
      <c r="AB274" s="5">
        <v>4.1402337228714519</v>
      </c>
      <c r="AC274" s="5" t="s">
        <v>34</v>
      </c>
      <c r="AD274" s="5" t="s">
        <v>34</v>
      </c>
    </row>
    <row r="275" spans="1:30" ht="15.55" x14ac:dyDescent="0.3">
      <c r="A275" s="4">
        <v>1000000003536</v>
      </c>
      <c r="B275" s="5" t="s">
        <v>847</v>
      </c>
      <c r="C275" s="4">
        <v>3000000000236</v>
      </c>
      <c r="D275" s="5" t="s">
        <v>143</v>
      </c>
      <c r="E275" s="5" t="s">
        <v>86</v>
      </c>
      <c r="F275" s="5" t="s">
        <v>63</v>
      </c>
      <c r="G275" s="10" cm="1">
        <f t="array" ref="G275">IF(OR($A275="",$L275=""),"",_xlfn.LET(_xlpm.cat,UPPER($E275),_xlpm.wt,IFERROR(VALUE(LEFT($L275,FIND(" ",$L275&amp;" ")-1)),$L275),_xlpm.ppk,_xlfn.SWITCH(TRUE,_xlpm.cat="GAMEFOWL",62,_xlpm.cat="POULTRY",45,_xlpm.cat="SWINE",48,_xlpm.cat="HOGS",48,_xlpm.cat="RABBIT",40,45),_xlpm.code,IFERROR(VALUE(LEFT($A275,FIND(" ",$A275&amp;" ")-1)),0),_xlpm.v,1+MOD(_xlpm.code,13)/100,ROUND(_xlpm.ppk*_xlpm.wt*_xlpm.v,0)))</f>
        <v>1420</v>
      </c>
      <c r="H275" s="6" cm="1">
        <f t="array" ref="H275">IF(OR($A275="",$L275=""),"",_xlfn.LET(_xlpm.cat,UPPER($E275),_xlpm.base,_xlfn.SWITCH(TRUE,_xlpm.cat="GAMEFOWL",0.22,_xlpm.cat="POULTRY",0.18,_xlpm.cat="SWINE",0.16,_xlpm.cat="HOGS",0.16,_xlpm.cat="RABBIT",0.15,0.17),_xlpm.code,IFERROR(VALUE(LEFT($A275,FIND(" ",$A275&amp;" ")-1)),0),_xlpm.v,MOD(_xlpm.code,9)/1000,MIN(0.3,MAX(0.1,_xlpm.base+_xlpm.v))))</f>
        <v>0.22</v>
      </c>
      <c r="I275" s="5" t="s">
        <v>64</v>
      </c>
      <c r="J275" s="5">
        <v>4</v>
      </c>
      <c r="K275" s="5">
        <v>0.33</v>
      </c>
      <c r="L275" s="5">
        <v>22.679600000000001</v>
      </c>
      <c r="M275" s="5">
        <v>4</v>
      </c>
      <c r="N275" s="5">
        <v>2</v>
      </c>
      <c r="O275" s="5">
        <v>2</v>
      </c>
      <c r="Q275" s="5" t="s">
        <v>34</v>
      </c>
      <c r="R275" s="5" t="s">
        <v>34</v>
      </c>
      <c r="S275" s="5" t="s">
        <v>34</v>
      </c>
      <c r="T275" s="7" t="s">
        <v>34</v>
      </c>
      <c r="U275" s="5" t="s">
        <v>34</v>
      </c>
      <c r="V275" s="7" t="s">
        <v>34</v>
      </c>
      <c r="W275" s="5" t="s">
        <v>34</v>
      </c>
      <c r="X275" s="5">
        <v>13.782505342588466</v>
      </c>
      <c r="Y275" s="5">
        <v>12.870283185487422</v>
      </c>
      <c r="Z275" s="5" t="s">
        <v>34</v>
      </c>
      <c r="AA275" s="5">
        <v>7.8093784242730075</v>
      </c>
      <c r="AB275" s="5" t="s">
        <v>34</v>
      </c>
      <c r="AC275" s="5" t="s">
        <v>34</v>
      </c>
      <c r="AD275" s="5" t="s">
        <v>34</v>
      </c>
    </row>
    <row r="276" spans="1:30" ht="15.55" x14ac:dyDescent="0.3">
      <c r="A276" s="4">
        <v>1000000003537</v>
      </c>
      <c r="B276" s="5" t="s">
        <v>848</v>
      </c>
      <c r="C276" s="4">
        <v>3000000000238</v>
      </c>
      <c r="D276" s="5" t="s">
        <v>134</v>
      </c>
      <c r="E276" s="5" t="s">
        <v>86</v>
      </c>
      <c r="F276" s="5" t="s">
        <v>63</v>
      </c>
      <c r="G276" s="10" cm="1">
        <f t="array" ref="G276">IF(OR($A276="",$L276=""),"",_xlfn.LET(_xlpm.cat,UPPER($E276),_xlpm.wt,IFERROR(VALUE(LEFT($L276,FIND(" ",$L276&amp;" ")-1)),$L276),_xlpm.ppk,_xlfn.SWITCH(TRUE,_xlpm.cat="GAMEFOWL",62,_xlpm.cat="POULTRY",45,_xlpm.cat="SWINE",48,_xlpm.cat="HOGS",48,_xlpm.cat="RABBIT",40,45),_xlpm.code,IFERROR(VALUE(LEFT($A276,FIND(" ",$A276&amp;" ")-1)),0),_xlpm.v,1+MOD(_xlpm.code,13)/100,ROUND(_xlpm.ppk*_xlpm.wt*_xlpm.v,0)))</f>
        <v>1434</v>
      </c>
      <c r="H276" s="6" cm="1">
        <f t="array" ref="H276">IF(OR($A276="",$L276=""),"",_xlfn.LET(_xlpm.cat,UPPER($E276),_xlpm.base,_xlfn.SWITCH(TRUE,_xlpm.cat="GAMEFOWL",0.22,_xlpm.cat="POULTRY",0.18,_xlpm.cat="SWINE",0.16,_xlpm.cat="HOGS",0.16,_xlpm.cat="RABBIT",0.15,0.17),_xlpm.code,IFERROR(VALUE(LEFT($A276,FIND(" ",$A276&amp;" ")-1)),0),_xlpm.v,MOD(_xlpm.code,9)/1000,MIN(0.3,MAX(0.1,_xlpm.base+_xlpm.v))))</f>
        <v>0.221</v>
      </c>
      <c r="I276" s="5" t="s">
        <v>106</v>
      </c>
      <c r="J276" s="5">
        <v>4</v>
      </c>
      <c r="K276" s="5">
        <v>0.33</v>
      </c>
      <c r="L276" s="5">
        <v>22.679600000000001</v>
      </c>
      <c r="M276" s="5">
        <v>4</v>
      </c>
      <c r="N276" s="5">
        <v>2</v>
      </c>
      <c r="O276" s="5">
        <v>2</v>
      </c>
      <c r="Q276" s="5" t="s">
        <v>34</v>
      </c>
      <c r="R276" s="5" t="s">
        <v>34</v>
      </c>
      <c r="S276" s="5" t="s">
        <v>34</v>
      </c>
      <c r="T276" s="7" t="s">
        <v>34</v>
      </c>
      <c r="U276" s="5" t="s">
        <v>34</v>
      </c>
      <c r="V276" s="7" t="s">
        <v>34</v>
      </c>
      <c r="W276" s="5" t="s">
        <v>34</v>
      </c>
      <c r="X276" s="5" t="s">
        <v>34</v>
      </c>
      <c r="Y276" s="5">
        <v>13.257850616884644</v>
      </c>
      <c r="Z276" s="5">
        <v>7.2707210847457642</v>
      </c>
      <c r="AA276" s="5" t="s">
        <v>34</v>
      </c>
      <c r="AB276" s="5" t="s">
        <v>34</v>
      </c>
      <c r="AC276" s="5">
        <v>7.0324996736962637</v>
      </c>
      <c r="AD276" s="5" t="s">
        <v>34</v>
      </c>
    </row>
    <row r="277" spans="1:30" ht="15.55" x14ac:dyDescent="0.3">
      <c r="A277" s="4">
        <v>1000000003538</v>
      </c>
      <c r="B277" s="5" t="s">
        <v>849</v>
      </c>
      <c r="C277" s="4">
        <v>3000000000246</v>
      </c>
      <c r="D277" s="5" t="s">
        <v>395</v>
      </c>
      <c r="E277" s="5" t="s">
        <v>86</v>
      </c>
      <c r="F277" s="5" t="s">
        <v>63</v>
      </c>
      <c r="G277" s="10" cm="1">
        <f t="array" ref="G277">IF(OR($A277="",$L277=""),"",_xlfn.LET(_xlpm.cat,UPPER($E277),_xlpm.wt,IFERROR(VALUE(LEFT($L277,FIND(" ",$L277&amp;" ")-1)),$L277),_xlpm.ppk,_xlfn.SWITCH(TRUE,_xlpm.cat="GAMEFOWL",62,_xlpm.cat="POULTRY",45,_xlpm.cat="SWINE",48,_xlpm.cat="HOGS",48,_xlpm.cat="RABBIT",40,45),_xlpm.code,IFERROR(VALUE(LEFT($A277,FIND(" ",$A277&amp;" ")-1)),0),_xlpm.v,1+MOD(_xlpm.code,13)/100,ROUND(_xlpm.ppk*_xlpm.wt*_xlpm.v,0)))</f>
        <v>1448</v>
      </c>
      <c r="H277" s="6" cm="1">
        <f t="array" ref="H277">IF(OR($A277="",$L277=""),"",_xlfn.LET(_xlpm.cat,UPPER($E277),_xlpm.base,_xlfn.SWITCH(TRUE,_xlpm.cat="GAMEFOWL",0.22,_xlpm.cat="POULTRY",0.18,_xlpm.cat="SWINE",0.16,_xlpm.cat="HOGS",0.16,_xlpm.cat="RABBIT",0.15,0.17),_xlpm.code,IFERROR(VALUE(LEFT($A277,FIND(" ",$A277&amp;" ")-1)),0),_xlpm.v,MOD(_xlpm.code,9)/1000,MIN(0.3,MAX(0.1,_xlpm.base+_xlpm.v))))</f>
        <v>0.222</v>
      </c>
      <c r="I277" s="5" t="s">
        <v>122</v>
      </c>
      <c r="J277" s="5">
        <v>3</v>
      </c>
      <c r="K277" s="5">
        <v>0</v>
      </c>
      <c r="L277" s="5">
        <v>22.679600000000001</v>
      </c>
      <c r="M277" s="5">
        <v>0.8</v>
      </c>
      <c r="P277" s="5">
        <v>0.8</v>
      </c>
      <c r="Q277" s="5" t="s">
        <v>34</v>
      </c>
      <c r="R277" s="5" t="s">
        <v>34</v>
      </c>
      <c r="S277" s="5" t="s">
        <v>34</v>
      </c>
      <c r="T277" s="7" t="s">
        <v>34</v>
      </c>
      <c r="U277" s="5" t="s">
        <v>34</v>
      </c>
      <c r="V277" s="7" t="s">
        <v>34</v>
      </c>
      <c r="W277" s="5" t="s">
        <v>34</v>
      </c>
      <c r="X277" s="5" t="s">
        <v>34</v>
      </c>
      <c r="Y277" s="5" t="s">
        <v>34</v>
      </c>
      <c r="Z277" s="5" t="s">
        <v>34</v>
      </c>
      <c r="AA277" s="5" t="s">
        <v>34</v>
      </c>
      <c r="AB277" s="5">
        <v>20.116558976308134</v>
      </c>
      <c r="AC277" s="5" t="s">
        <v>34</v>
      </c>
      <c r="AD277" s="5" t="s">
        <v>34</v>
      </c>
    </row>
    <row r="278" spans="1:30" ht="15.55" x14ac:dyDescent="0.3">
      <c r="A278" s="4">
        <v>1000000003539</v>
      </c>
      <c r="B278" s="5" t="s">
        <v>850</v>
      </c>
      <c r="C278" s="4">
        <v>3000000000234</v>
      </c>
      <c r="D278" s="5" t="s">
        <v>138</v>
      </c>
      <c r="E278" s="5" t="s">
        <v>86</v>
      </c>
      <c r="F278" s="5" t="s">
        <v>63</v>
      </c>
      <c r="G278" s="10" cm="1">
        <f t="array" ref="G278">IF(OR($A278="",$L278=""),"",_xlfn.LET(_xlpm.cat,UPPER($E278),_xlpm.wt,IFERROR(VALUE(LEFT($L278,FIND(" ",$L278&amp;" ")-1)),$L278),_xlpm.ppk,_xlfn.SWITCH(TRUE,_xlpm.cat="GAMEFOWL",62,_xlpm.cat="POULTRY",45,_xlpm.cat="SWINE",48,_xlpm.cat="HOGS",48,_xlpm.cat="RABBIT",40,45),_xlpm.code,IFERROR(VALUE(LEFT($A278,FIND(" ",$A278&amp;" ")-1)),0),_xlpm.v,1+MOD(_xlpm.code,13)/100,ROUND(_xlpm.ppk*_xlpm.wt*_xlpm.v,0)))</f>
        <v>1462</v>
      </c>
      <c r="H278" s="6" cm="1">
        <f t="array" ref="H278">IF(OR($A278="",$L278=""),"",_xlfn.LET(_xlpm.cat,UPPER($E278),_xlpm.base,_xlfn.SWITCH(TRUE,_xlpm.cat="GAMEFOWL",0.22,_xlpm.cat="POULTRY",0.18,_xlpm.cat="SWINE",0.16,_xlpm.cat="HOGS",0.16,_xlpm.cat="RABBIT",0.15,0.17),_xlpm.code,IFERROR(VALUE(LEFT($A278,FIND(" ",$A278&amp;" ")-1)),0),_xlpm.v,MOD(_xlpm.code,9)/1000,MIN(0.3,MAX(0.1,_xlpm.base+_xlpm.v))))</f>
        <v>0.223</v>
      </c>
      <c r="I278" s="5" t="s">
        <v>139</v>
      </c>
      <c r="J278" s="5">
        <v>3</v>
      </c>
      <c r="K278" s="5">
        <v>0.17</v>
      </c>
      <c r="L278" s="5">
        <v>22.679600000000001</v>
      </c>
      <c r="M278" s="5">
        <v>4</v>
      </c>
      <c r="N278" s="5">
        <v>2</v>
      </c>
      <c r="O278" s="5">
        <v>2</v>
      </c>
      <c r="Q278" s="5" t="s">
        <v>34</v>
      </c>
      <c r="R278" s="5" t="s">
        <v>34</v>
      </c>
      <c r="S278" s="5" t="s">
        <v>34</v>
      </c>
      <c r="T278" s="7" t="s">
        <v>34</v>
      </c>
      <c r="U278" s="5" t="s">
        <v>34</v>
      </c>
      <c r="V278" s="7" t="s">
        <v>34</v>
      </c>
      <c r="W278" s="5" t="s">
        <v>34</v>
      </c>
      <c r="X278" s="5">
        <v>18.959690047375933</v>
      </c>
      <c r="Y278" s="5" t="s">
        <v>34</v>
      </c>
      <c r="Z278" s="5" t="s">
        <v>34</v>
      </c>
      <c r="AA278" s="5" t="s">
        <v>34</v>
      </c>
      <c r="AB278" s="5" t="s">
        <v>34</v>
      </c>
      <c r="AC278" s="5" t="s">
        <v>34</v>
      </c>
      <c r="AD278" s="5" t="s">
        <v>34</v>
      </c>
    </row>
    <row r="279" spans="1:30" ht="15.55" x14ac:dyDescent="0.3">
      <c r="A279" s="4">
        <v>1000000003540</v>
      </c>
      <c r="B279" s="5" t="s">
        <v>851</v>
      </c>
      <c r="C279" s="4">
        <v>3000000000242</v>
      </c>
      <c r="D279" s="5" t="s">
        <v>153</v>
      </c>
      <c r="E279" s="5" t="s">
        <v>86</v>
      </c>
      <c r="F279" s="5" t="s">
        <v>63</v>
      </c>
      <c r="G279" s="10" cm="1">
        <f t="array" ref="G279">IF(OR($A279="",$L279=""),"",_xlfn.LET(_xlpm.cat,UPPER($E279),_xlpm.wt,IFERROR(VALUE(LEFT($L279,FIND(" ",$L279&amp;" ")-1)),$L279),_xlpm.ppk,_xlfn.SWITCH(TRUE,_xlpm.cat="GAMEFOWL",62,_xlpm.cat="POULTRY",45,_xlpm.cat="SWINE",48,_xlpm.cat="HOGS",48,_xlpm.cat="RABBIT",40,45),_xlpm.code,IFERROR(VALUE(LEFT($A279,FIND(" ",$A279&amp;" ")-1)),0),_xlpm.v,1+MOD(_xlpm.code,13)/100,ROUND(_xlpm.ppk*_xlpm.wt*_xlpm.v,0)))</f>
        <v>1476</v>
      </c>
      <c r="H279" s="6" cm="1">
        <f t="array" ref="H279">IF(OR($A279="",$L279=""),"",_xlfn.LET(_xlpm.cat,UPPER($E279),_xlpm.base,_xlfn.SWITCH(TRUE,_xlpm.cat="GAMEFOWL",0.22,_xlpm.cat="POULTRY",0.18,_xlpm.cat="SWINE",0.16,_xlpm.cat="HOGS",0.16,_xlpm.cat="RABBIT",0.15,0.17),_xlpm.code,IFERROR(VALUE(LEFT($A279,FIND(" ",$A279&amp;" ")-1)),0),_xlpm.v,MOD(_xlpm.code,9)/1000,MIN(0.3,MAX(0.1,_xlpm.base+_xlpm.v))))</f>
        <v>0.224</v>
      </c>
      <c r="I279" s="5" t="s">
        <v>139</v>
      </c>
      <c r="J279" s="5">
        <v>3</v>
      </c>
      <c r="K279" s="5">
        <v>0.17</v>
      </c>
      <c r="L279" s="5">
        <v>22.679600000000001</v>
      </c>
      <c r="M279" s="5">
        <v>3</v>
      </c>
      <c r="N279" s="5">
        <v>2</v>
      </c>
      <c r="O279" s="5">
        <v>2</v>
      </c>
      <c r="Q279" s="5" t="s">
        <v>34</v>
      </c>
      <c r="R279" s="5" t="s">
        <v>34</v>
      </c>
      <c r="S279" s="5" t="s">
        <v>34</v>
      </c>
      <c r="T279" s="7" t="s">
        <v>34</v>
      </c>
      <c r="U279" s="5" t="s">
        <v>34</v>
      </c>
      <c r="V279" s="7" t="s">
        <v>34</v>
      </c>
      <c r="W279" s="5" t="s">
        <v>34</v>
      </c>
      <c r="X279" s="5">
        <v>19.513631257519059</v>
      </c>
      <c r="Y279" s="5" t="s">
        <v>34</v>
      </c>
      <c r="Z279" s="5" t="s">
        <v>34</v>
      </c>
      <c r="AA279" s="5" t="s">
        <v>34</v>
      </c>
      <c r="AB279" s="5" t="s">
        <v>34</v>
      </c>
      <c r="AC279" s="5" t="s">
        <v>34</v>
      </c>
      <c r="AD279" s="5" t="s">
        <v>34</v>
      </c>
    </row>
    <row r="280" spans="1:30" ht="15.55" x14ac:dyDescent="0.3">
      <c r="A280" s="4">
        <v>1000000003551</v>
      </c>
      <c r="B280" s="5" t="s">
        <v>852</v>
      </c>
      <c r="C280" s="4">
        <v>3000000000573</v>
      </c>
      <c r="D280" s="5" t="s">
        <v>343</v>
      </c>
      <c r="E280" s="5" t="s">
        <v>31</v>
      </c>
      <c r="F280" s="5" t="s">
        <v>32</v>
      </c>
      <c r="G280" s="10" cm="1">
        <f t="array" ref="G280">IF(OR($A280="",$L280=""),"",_xlfn.LET(_xlpm.cat,UPPER($E280),_xlpm.wt,IFERROR(VALUE(LEFT($L280,FIND(" ",$L280&amp;" ")-1)),$L280),_xlpm.ppk,_xlfn.SWITCH(TRUE,_xlpm.cat="GAMEFOWL",62,_xlpm.cat="POULTRY",45,_xlpm.cat="SWINE",48,_xlpm.cat="HOGS",48,_xlpm.cat="RABBIT",40,45),_xlpm.code,IFERROR(VALUE(LEFT($A280,FIND(" ",$A280&amp;" ")-1)),0),_xlpm.v,1+MOD(_xlpm.code,13)/100,ROUND(_xlpm.ppk*_xlpm.wt*_xlpm.v,0)))</f>
        <v>1121</v>
      </c>
      <c r="H280" s="6" cm="1">
        <f t="array" ref="H280">IF(OR($A280="",$L280=""),"",_xlfn.LET(_xlpm.cat,UPPER($E280),_xlpm.base,_xlfn.SWITCH(TRUE,_xlpm.cat="GAMEFOWL",0.22,_xlpm.cat="POULTRY",0.18,_xlpm.cat="SWINE",0.16,_xlpm.cat="HOGS",0.16,_xlpm.cat="RABBIT",0.15,0.17),_xlpm.code,IFERROR(VALUE(LEFT($A280,FIND(" ",$A280&amp;" ")-1)),0),_xlpm.v,MOD(_xlpm.code,9)/1000,MIN(0.3,MAX(0.1,_xlpm.base+_xlpm.v))))</f>
        <v>0.16600000000000001</v>
      </c>
      <c r="I280" s="5" t="s">
        <v>33</v>
      </c>
      <c r="J280" s="5">
        <v>4</v>
      </c>
      <c r="K280" s="5">
        <v>0.17</v>
      </c>
      <c r="L280" s="5">
        <v>22.679600000000001</v>
      </c>
      <c r="M280" s="5">
        <v>4</v>
      </c>
      <c r="N280" s="5">
        <v>2</v>
      </c>
      <c r="O280" s="5">
        <v>2</v>
      </c>
      <c r="Q280" s="5" t="s">
        <v>34</v>
      </c>
      <c r="R280" s="5" t="s">
        <v>34</v>
      </c>
      <c r="S280" s="5" t="s">
        <v>34</v>
      </c>
      <c r="T280" s="7" t="s">
        <v>34</v>
      </c>
      <c r="U280" s="5" t="s">
        <v>34</v>
      </c>
      <c r="V280" s="7" t="s">
        <v>34</v>
      </c>
      <c r="W280" s="5" t="s">
        <v>34</v>
      </c>
      <c r="X280" s="5" t="s">
        <v>34</v>
      </c>
      <c r="Y280" s="5">
        <v>20.158269557932371</v>
      </c>
      <c r="Z280" s="5" t="s">
        <v>34</v>
      </c>
      <c r="AA280" s="5" t="s">
        <v>34</v>
      </c>
      <c r="AB280" s="5" t="s">
        <v>34</v>
      </c>
      <c r="AC280" s="5" t="s">
        <v>34</v>
      </c>
      <c r="AD280" s="5" t="s">
        <v>34</v>
      </c>
    </row>
    <row r="281" spans="1:30" ht="15.55" x14ac:dyDescent="0.3">
      <c r="A281" s="4">
        <v>1000000003552</v>
      </c>
      <c r="B281" s="5" t="s">
        <v>853</v>
      </c>
      <c r="C281" s="4">
        <v>3000000000611</v>
      </c>
      <c r="D281" s="5" t="s">
        <v>43</v>
      </c>
      <c r="E281" s="5" t="s">
        <v>31</v>
      </c>
      <c r="F281" s="5" t="s">
        <v>32</v>
      </c>
      <c r="G281" s="10" cm="1">
        <f t="array" ref="G281">IF(OR($A281="",$L281=""),"",_xlfn.LET(_xlpm.cat,UPPER($E281),_xlpm.wt,IFERROR(VALUE(LEFT($L281,FIND(" ",$L281&amp;" ")-1)),$L281),_xlpm.ppk,_xlfn.SWITCH(TRUE,_xlpm.cat="GAMEFOWL",62,_xlpm.cat="POULTRY",45,_xlpm.cat="SWINE",48,_xlpm.cat="HOGS",48,_xlpm.cat="RABBIT",40,45),_xlpm.code,IFERROR(VALUE(LEFT($A281,FIND(" ",$A281&amp;" ")-1)),0),_xlpm.v,1+MOD(_xlpm.code,13)/100,ROUND(_xlpm.ppk*_xlpm.wt*_xlpm.v,0)))</f>
        <v>1132</v>
      </c>
      <c r="H281" s="6" cm="1">
        <f t="array" ref="H281">IF(OR($A281="",$L281=""),"",_xlfn.LET(_xlpm.cat,UPPER($E281),_xlpm.base,_xlfn.SWITCH(TRUE,_xlpm.cat="GAMEFOWL",0.22,_xlpm.cat="POULTRY",0.18,_xlpm.cat="SWINE",0.16,_xlpm.cat="HOGS",0.16,_xlpm.cat="RABBIT",0.15,0.17),_xlpm.code,IFERROR(VALUE(LEFT($A281,FIND(" ",$A281&amp;" ")-1)),0),_xlpm.v,MOD(_xlpm.code,9)/1000,MIN(0.3,MAX(0.1,_xlpm.base+_xlpm.v))))</f>
        <v>0.16700000000000001</v>
      </c>
      <c r="I281" s="5" t="s">
        <v>33</v>
      </c>
      <c r="J281" s="5">
        <v>4</v>
      </c>
      <c r="K281" s="5">
        <v>0.17</v>
      </c>
      <c r="L281" s="5">
        <v>22.679600000000001</v>
      </c>
      <c r="M281" s="5">
        <v>4</v>
      </c>
      <c r="N281" s="5">
        <v>2</v>
      </c>
      <c r="O281" s="5">
        <v>2</v>
      </c>
      <c r="Q281" s="5" t="s">
        <v>34</v>
      </c>
      <c r="R281" s="5" t="s">
        <v>34</v>
      </c>
      <c r="S281" s="5" t="s">
        <v>34</v>
      </c>
      <c r="T281" s="7" t="s">
        <v>34</v>
      </c>
      <c r="U281" s="5" t="s">
        <v>34</v>
      </c>
      <c r="V281" s="7" t="s">
        <v>34</v>
      </c>
      <c r="W281" s="5" t="s">
        <v>34</v>
      </c>
      <c r="X281" s="5">
        <v>20.223424719101121</v>
      </c>
      <c r="Y281" s="5">
        <v>20.152829595667814</v>
      </c>
      <c r="Z281" s="5" t="s">
        <v>34</v>
      </c>
      <c r="AA281" s="5" t="s">
        <v>34</v>
      </c>
      <c r="AB281" s="5" t="s">
        <v>34</v>
      </c>
      <c r="AC281" s="5" t="s">
        <v>34</v>
      </c>
      <c r="AD281" s="5" t="s">
        <v>34</v>
      </c>
    </row>
    <row r="282" spans="1:30" ht="15.55" x14ac:dyDescent="0.3">
      <c r="A282" s="4">
        <v>1000000003554</v>
      </c>
      <c r="B282" s="5" t="s">
        <v>854</v>
      </c>
      <c r="C282" s="4">
        <v>3000000000607</v>
      </c>
      <c r="D282" s="5" t="s">
        <v>855</v>
      </c>
      <c r="E282" s="5" t="s">
        <v>391</v>
      </c>
      <c r="F282" s="5" t="s">
        <v>314</v>
      </c>
      <c r="G282" s="10" cm="1">
        <f t="array" ref="G282">IF(OR($A282="",$L282=""),"",_xlfn.LET(_xlpm.cat,UPPER($E282),_xlpm.wt,IFERROR(VALUE(LEFT($L282,FIND(" ",$L282&amp;" ")-1)),$L282),_xlpm.ppk,_xlfn.SWITCH(TRUE,_xlpm.cat="GAMEFOWL",62,_xlpm.cat="POULTRY",45,_xlpm.cat="SWINE",48,_xlpm.cat="HOGS",48,_xlpm.cat="RABBIT",40,45),_xlpm.code,IFERROR(VALUE(LEFT($A282,FIND(" ",$A282&amp;" ")-1)),0),_xlpm.v,1+MOD(_xlpm.code,13)/100,ROUND(_xlpm.ppk*_xlpm.wt*_xlpm.v,0)))</f>
        <v>962</v>
      </c>
      <c r="H282" s="6" cm="1">
        <f t="array" ref="H282">IF(OR($A282="",$L282=""),"",_xlfn.LET(_xlpm.cat,UPPER($E282),_xlpm.base,_xlfn.SWITCH(TRUE,_xlpm.cat="GAMEFOWL",0.22,_xlpm.cat="POULTRY",0.18,_xlpm.cat="SWINE",0.16,_xlpm.cat="HOGS",0.16,_xlpm.cat="RABBIT",0.15,0.17),_xlpm.code,IFERROR(VALUE(LEFT($A282,FIND(" ",$A282&amp;" ")-1)),0),_xlpm.v,MOD(_xlpm.code,9)/1000,MIN(0.3,MAX(0.1,_xlpm.base+_xlpm.v))))</f>
        <v>0.15</v>
      </c>
      <c r="I282" s="5" t="s">
        <v>33</v>
      </c>
      <c r="J282" s="5">
        <v>4</v>
      </c>
      <c r="K282" s="5">
        <v>0.17</v>
      </c>
      <c r="L282" s="5">
        <v>22.679600000000001</v>
      </c>
      <c r="M282" s="5">
        <v>4</v>
      </c>
      <c r="N282" s="5">
        <v>1.5</v>
      </c>
      <c r="O282" s="5">
        <v>1.5</v>
      </c>
      <c r="Q282" s="5" t="s">
        <v>34</v>
      </c>
      <c r="R282" s="5" t="s">
        <v>34</v>
      </c>
      <c r="S282" s="5" t="s">
        <v>34</v>
      </c>
      <c r="T282" s="7" t="s">
        <v>34</v>
      </c>
      <c r="U282" s="5" t="s">
        <v>34</v>
      </c>
      <c r="V282" s="7" t="s">
        <v>34</v>
      </c>
      <c r="W282" s="5" t="s">
        <v>34</v>
      </c>
      <c r="X282" s="5" t="s">
        <v>34</v>
      </c>
      <c r="Y282" s="5" t="s">
        <v>34</v>
      </c>
      <c r="Z282" s="5">
        <v>6.4433175048231517</v>
      </c>
      <c r="AA282" s="5" t="s">
        <v>34</v>
      </c>
      <c r="AB282" s="5" t="s">
        <v>34</v>
      </c>
      <c r="AC282" s="5">
        <v>6.1153110743801644</v>
      </c>
      <c r="AD282" s="5" t="s">
        <v>34</v>
      </c>
    </row>
    <row r="283" spans="1:30" ht="15.55" x14ac:dyDescent="0.3">
      <c r="A283" s="4">
        <v>1000000003555</v>
      </c>
      <c r="B283" s="5" t="s">
        <v>856</v>
      </c>
      <c r="C283" s="4">
        <v>3000000000609</v>
      </c>
      <c r="D283" s="5" t="s">
        <v>857</v>
      </c>
      <c r="E283" s="5" t="s">
        <v>391</v>
      </c>
      <c r="F283" s="5" t="s">
        <v>314</v>
      </c>
      <c r="G283" s="10" cm="1">
        <f t="array" ref="G283">IF(OR($A283="",$L283=""),"",_xlfn.LET(_xlpm.cat,UPPER($E283),_xlpm.wt,IFERROR(VALUE(LEFT($L283,FIND(" ",$L283&amp;" ")-1)),$L283),_xlpm.ppk,_xlfn.SWITCH(TRUE,_xlpm.cat="GAMEFOWL",62,_xlpm.cat="POULTRY",45,_xlpm.cat="SWINE",48,_xlpm.cat="HOGS",48,_xlpm.cat="RABBIT",40,45),_xlpm.code,IFERROR(VALUE(LEFT($A283,FIND(" ",$A283&amp;" ")-1)),0),_xlpm.v,1+MOD(_xlpm.code,13)/100,ROUND(_xlpm.ppk*_xlpm.wt*_xlpm.v,0)))</f>
        <v>971</v>
      </c>
      <c r="H283" s="6" cm="1">
        <f t="array" ref="H283">IF(OR($A283="",$L283=""),"",_xlfn.LET(_xlpm.cat,UPPER($E283),_xlpm.base,_xlfn.SWITCH(TRUE,_xlpm.cat="GAMEFOWL",0.22,_xlpm.cat="POULTRY",0.18,_xlpm.cat="SWINE",0.16,_xlpm.cat="HOGS",0.16,_xlpm.cat="RABBIT",0.15,0.17),_xlpm.code,IFERROR(VALUE(LEFT($A283,FIND(" ",$A283&amp;" ")-1)),0),_xlpm.v,MOD(_xlpm.code,9)/1000,MIN(0.3,MAX(0.1,_xlpm.base+_xlpm.v))))</f>
        <v>0.151</v>
      </c>
      <c r="I283" s="5" t="s">
        <v>33</v>
      </c>
      <c r="J283" s="5">
        <v>4</v>
      </c>
      <c r="K283" s="5">
        <v>0.17</v>
      </c>
      <c r="L283" s="5">
        <v>22.679600000000001</v>
      </c>
      <c r="M283" s="5">
        <v>4</v>
      </c>
      <c r="N283" s="5">
        <v>1.5</v>
      </c>
      <c r="O283" s="5">
        <v>1.5</v>
      </c>
      <c r="Q283" s="5" t="s">
        <v>34</v>
      </c>
      <c r="R283" s="5" t="s">
        <v>34</v>
      </c>
      <c r="S283" s="5" t="s">
        <v>34</v>
      </c>
      <c r="T283" s="7" t="s">
        <v>34</v>
      </c>
      <c r="U283" s="5" t="s">
        <v>34</v>
      </c>
      <c r="V283" s="7" t="s">
        <v>34</v>
      </c>
      <c r="W283" s="5" t="s">
        <v>34</v>
      </c>
      <c r="X283" s="5" t="s">
        <v>34</v>
      </c>
      <c r="Y283" s="5" t="s">
        <v>34</v>
      </c>
      <c r="Z283" s="5">
        <v>6.2064993103448174</v>
      </c>
      <c r="AA283" s="5" t="s">
        <v>34</v>
      </c>
      <c r="AB283" s="5" t="s">
        <v>34</v>
      </c>
      <c r="AC283" s="5">
        <v>6.0919177846153874</v>
      </c>
      <c r="AD283" s="5" t="s">
        <v>34</v>
      </c>
    </row>
    <row r="284" spans="1:30" ht="15.55" x14ac:dyDescent="0.3">
      <c r="A284" s="4">
        <v>1000000003556</v>
      </c>
      <c r="B284" s="5" t="s">
        <v>858</v>
      </c>
      <c r="C284" s="4">
        <v>3000000000393</v>
      </c>
      <c r="D284" s="5" t="s">
        <v>61</v>
      </c>
      <c r="E284" s="5" t="s">
        <v>62</v>
      </c>
      <c r="F284" s="5" t="s">
        <v>63</v>
      </c>
      <c r="G284" s="10" cm="1">
        <f t="array" ref="G284">IF(OR($A284="",$L284=""),"",_xlfn.LET(_xlpm.cat,UPPER($E284),_xlpm.wt,IFERROR(VALUE(LEFT($L284,FIND(" ",$L284&amp;" ")-1)),$L284),_xlpm.ppk,_xlfn.SWITCH(TRUE,_xlpm.cat="GAMEFOWL",62,_xlpm.cat="POULTRY",45,_xlpm.cat="SWINE",48,_xlpm.cat="HOGS",48,_xlpm.cat="RABBIT",40,45),_xlpm.code,IFERROR(VALUE(LEFT($A284,FIND(" ",$A284&amp;" ")-1)),0),_xlpm.v,1+MOD(_xlpm.code,13)/100,ROUND(_xlpm.ppk*_xlpm.wt*_xlpm.v,0)))</f>
        <v>1102</v>
      </c>
      <c r="H284" s="6" cm="1">
        <f t="array" ref="H284">IF(OR($A284="",$L284=""),"",_xlfn.LET(_xlpm.cat,UPPER($E284),_xlpm.base,_xlfn.SWITCH(TRUE,_xlpm.cat="GAMEFOWL",0.22,_xlpm.cat="POULTRY",0.18,_xlpm.cat="SWINE",0.16,_xlpm.cat="HOGS",0.16,_xlpm.cat="RABBIT",0.15,0.17),_xlpm.code,IFERROR(VALUE(LEFT($A284,FIND(" ",$A284&amp;" ")-1)),0),_xlpm.v,MOD(_xlpm.code,9)/1000,MIN(0.3,MAX(0.1,_xlpm.base+_xlpm.v))))</f>
        <v>0.182</v>
      </c>
      <c r="I284" s="5" t="s">
        <v>64</v>
      </c>
      <c r="J284" s="5">
        <v>4</v>
      </c>
      <c r="K284" s="5">
        <v>0.33</v>
      </c>
      <c r="L284" s="5">
        <v>22.679600000000001</v>
      </c>
      <c r="M284" s="5">
        <v>4</v>
      </c>
      <c r="N284" s="5">
        <v>2</v>
      </c>
      <c r="O284" s="5">
        <v>2</v>
      </c>
      <c r="Q284" s="5" t="s">
        <v>34</v>
      </c>
      <c r="R284" s="5" t="s">
        <v>34</v>
      </c>
      <c r="S284" s="5" t="s">
        <v>34</v>
      </c>
      <c r="T284" s="7" t="s">
        <v>34</v>
      </c>
      <c r="U284" s="5" t="s">
        <v>34</v>
      </c>
      <c r="V284" s="7" t="s">
        <v>34</v>
      </c>
      <c r="W284" s="5" t="s">
        <v>34</v>
      </c>
      <c r="X284" s="5" t="s">
        <v>34</v>
      </c>
      <c r="Y284" s="5" t="s">
        <v>34</v>
      </c>
      <c r="Z284" s="5" t="s">
        <v>34</v>
      </c>
      <c r="AA284" s="5">
        <v>8.3128253458483758</v>
      </c>
      <c r="AB284" s="5" t="s">
        <v>34</v>
      </c>
      <c r="AC284" s="5" t="s">
        <v>34</v>
      </c>
      <c r="AD284" s="5" t="s">
        <v>34</v>
      </c>
    </row>
    <row r="285" spans="1:30" ht="15.55" x14ac:dyDescent="0.3">
      <c r="A285" s="4">
        <v>1000000003557</v>
      </c>
      <c r="B285" s="5" t="s">
        <v>859</v>
      </c>
      <c r="C285" s="4">
        <v>3000000000824</v>
      </c>
      <c r="D285" s="5" t="s">
        <v>68</v>
      </c>
      <c r="E285" s="5" t="s">
        <v>62</v>
      </c>
      <c r="F285" s="5" t="s">
        <v>63</v>
      </c>
      <c r="G285" s="10" cm="1">
        <f t="array" ref="G285">IF(OR($A285="",$L285=""),"",_xlfn.LET(_xlpm.cat,UPPER($E285),_xlpm.wt,IFERROR(VALUE(LEFT($L285,FIND(" ",$L285&amp;" ")-1)),$L285),_xlpm.ppk,_xlfn.SWITCH(TRUE,_xlpm.cat="GAMEFOWL",62,_xlpm.cat="POULTRY",45,_xlpm.cat="SWINE",48,_xlpm.cat="HOGS",48,_xlpm.cat="RABBIT",40,45),_xlpm.code,IFERROR(VALUE(LEFT($A285,FIND(" ",$A285&amp;" ")-1)),0),_xlpm.v,1+MOD(_xlpm.code,13)/100,ROUND(_xlpm.ppk*_xlpm.wt*_xlpm.v,0)))</f>
        <v>1112</v>
      </c>
      <c r="H285" s="6" cm="1">
        <f t="array" ref="H285">IF(OR($A285="",$L285=""),"",_xlfn.LET(_xlpm.cat,UPPER($E285),_xlpm.base,_xlfn.SWITCH(TRUE,_xlpm.cat="GAMEFOWL",0.22,_xlpm.cat="POULTRY",0.18,_xlpm.cat="SWINE",0.16,_xlpm.cat="HOGS",0.16,_xlpm.cat="RABBIT",0.15,0.17),_xlpm.code,IFERROR(VALUE(LEFT($A285,FIND(" ",$A285&amp;" ")-1)),0),_xlpm.v,MOD(_xlpm.code,9)/1000,MIN(0.3,MAX(0.1,_xlpm.base+_xlpm.v))))</f>
        <v>0.183</v>
      </c>
      <c r="I285" s="5" t="s">
        <v>64</v>
      </c>
      <c r="J285" s="5">
        <v>4</v>
      </c>
      <c r="K285" s="5">
        <v>0.33</v>
      </c>
      <c r="L285" s="5">
        <v>22.679600000000001</v>
      </c>
      <c r="M285" s="5">
        <v>4</v>
      </c>
      <c r="N285" s="5">
        <v>2</v>
      </c>
      <c r="O285" s="5">
        <v>2</v>
      </c>
      <c r="Q285" s="5" t="s">
        <v>34</v>
      </c>
      <c r="R285" s="5" t="s">
        <v>34</v>
      </c>
      <c r="S285" s="5" t="s">
        <v>34</v>
      </c>
      <c r="T285" s="7" t="s">
        <v>34</v>
      </c>
      <c r="U285" s="5" t="s">
        <v>34</v>
      </c>
      <c r="V285" s="7" t="s">
        <v>34</v>
      </c>
      <c r="W285" s="5" t="s">
        <v>34</v>
      </c>
      <c r="X285" s="5" t="s">
        <v>34</v>
      </c>
      <c r="Y285" s="5" t="s">
        <v>34</v>
      </c>
      <c r="Z285" s="5" t="s">
        <v>34</v>
      </c>
      <c r="AA285" s="5">
        <v>7.7475821833234795</v>
      </c>
      <c r="AB285" s="5" t="s">
        <v>34</v>
      </c>
      <c r="AC285" s="5" t="s">
        <v>34</v>
      </c>
      <c r="AD285" s="5" t="s">
        <v>34</v>
      </c>
    </row>
    <row r="286" spans="1:30" ht="15.55" x14ac:dyDescent="0.3">
      <c r="A286" s="4">
        <v>1000000003558</v>
      </c>
      <c r="B286" s="5" t="s">
        <v>858</v>
      </c>
      <c r="C286" s="4">
        <v>3000000000393</v>
      </c>
      <c r="D286" s="5" t="s">
        <v>61</v>
      </c>
      <c r="E286" s="5" t="s">
        <v>62</v>
      </c>
      <c r="F286" s="5" t="s">
        <v>63</v>
      </c>
      <c r="G286" s="10" cm="1">
        <f t="array" ref="G286">IF(OR($A286="",$L286=""),"",_xlfn.LET(_xlpm.cat,UPPER($E286),_xlpm.wt,IFERROR(VALUE(LEFT($L286,FIND(" ",$L286&amp;" ")-1)),$L286),_xlpm.ppk,_xlfn.SWITCH(TRUE,_xlpm.cat="GAMEFOWL",62,_xlpm.cat="POULTRY",45,_xlpm.cat="SWINE",48,_xlpm.cat="HOGS",48,_xlpm.cat="RABBIT",40,45),_xlpm.code,IFERROR(VALUE(LEFT($A286,FIND(" ",$A286&amp;" ")-1)),0),_xlpm.v,1+MOD(_xlpm.code,13)/100,ROUND(_xlpm.ppk*_xlpm.wt*_xlpm.v,0)))</f>
        <v>1123</v>
      </c>
      <c r="H286" s="6" cm="1">
        <f t="array" ref="H286">IF(OR($A286="",$L286=""),"",_xlfn.LET(_xlpm.cat,UPPER($E286),_xlpm.base,_xlfn.SWITCH(TRUE,_xlpm.cat="GAMEFOWL",0.22,_xlpm.cat="POULTRY",0.18,_xlpm.cat="SWINE",0.16,_xlpm.cat="HOGS",0.16,_xlpm.cat="RABBIT",0.15,0.17),_xlpm.code,IFERROR(VALUE(LEFT($A286,FIND(" ",$A286&amp;" ")-1)),0),_xlpm.v,MOD(_xlpm.code,9)/1000,MIN(0.3,MAX(0.1,_xlpm.base+_xlpm.v))))</f>
        <v>0.184</v>
      </c>
      <c r="I286" s="5" t="s">
        <v>64</v>
      </c>
      <c r="J286" s="5">
        <v>4</v>
      </c>
      <c r="K286" s="5">
        <v>0.33</v>
      </c>
      <c r="L286" s="5">
        <v>22.679600000000001</v>
      </c>
      <c r="M286" s="5">
        <v>4</v>
      </c>
      <c r="N286" s="5">
        <v>2</v>
      </c>
      <c r="O286" s="5">
        <v>2</v>
      </c>
      <c r="Q286" s="5" t="s">
        <v>34</v>
      </c>
      <c r="R286" s="5" t="s">
        <v>34</v>
      </c>
      <c r="S286" s="5" t="s">
        <v>34</v>
      </c>
      <c r="T286" s="7" t="s">
        <v>34</v>
      </c>
      <c r="U286" s="5" t="s">
        <v>34</v>
      </c>
      <c r="V286" s="7" t="s">
        <v>34</v>
      </c>
      <c r="W286" s="5" t="s">
        <v>34</v>
      </c>
      <c r="X286" s="5" t="s">
        <v>34</v>
      </c>
      <c r="Y286" s="5" t="s">
        <v>34</v>
      </c>
      <c r="Z286" s="5" t="s">
        <v>34</v>
      </c>
      <c r="AA286" s="5">
        <v>8.3128253458483758</v>
      </c>
      <c r="AB286" s="5" t="s">
        <v>34</v>
      </c>
      <c r="AC286" s="5" t="s">
        <v>34</v>
      </c>
      <c r="AD286" s="5" t="s">
        <v>34</v>
      </c>
    </row>
    <row r="287" spans="1:30" ht="15.55" x14ac:dyDescent="0.3">
      <c r="A287" s="4">
        <v>1000000003559</v>
      </c>
      <c r="B287" s="5" t="s">
        <v>860</v>
      </c>
      <c r="C287" s="4">
        <v>3000000000826</v>
      </c>
      <c r="D287" s="5" t="s">
        <v>76</v>
      </c>
      <c r="E287" s="5" t="s">
        <v>62</v>
      </c>
      <c r="F287" s="5" t="s">
        <v>63</v>
      </c>
      <c r="G287" s="10" cm="1">
        <f t="array" ref="G287">IF(OR($A287="",$L287=""),"",_xlfn.LET(_xlpm.cat,UPPER($E287),_xlpm.wt,IFERROR(VALUE(LEFT($L287,FIND(" ",$L287&amp;" ")-1)),$L287),_xlpm.ppk,_xlfn.SWITCH(TRUE,_xlpm.cat="GAMEFOWL",62,_xlpm.cat="POULTRY",45,_xlpm.cat="SWINE",48,_xlpm.cat="HOGS",48,_xlpm.cat="RABBIT",40,45),_xlpm.code,IFERROR(VALUE(LEFT($A287,FIND(" ",$A287&amp;" ")-1)),0),_xlpm.v,1+MOD(_xlpm.code,13)/100,ROUND(_xlpm.ppk*_xlpm.wt*_xlpm.v,0)))</f>
        <v>1133</v>
      </c>
      <c r="H287" s="6" cm="1">
        <f t="array" ref="H287">IF(OR($A287="",$L287=""),"",_xlfn.LET(_xlpm.cat,UPPER($E287),_xlpm.base,_xlfn.SWITCH(TRUE,_xlpm.cat="GAMEFOWL",0.22,_xlpm.cat="POULTRY",0.18,_xlpm.cat="SWINE",0.16,_xlpm.cat="HOGS",0.16,_xlpm.cat="RABBIT",0.15,0.17),_xlpm.code,IFERROR(VALUE(LEFT($A287,FIND(" ",$A287&amp;" ")-1)),0),_xlpm.v,MOD(_xlpm.code,9)/1000,MIN(0.3,MAX(0.1,_xlpm.base+_xlpm.v))))</f>
        <v>0.185</v>
      </c>
      <c r="I287" s="5" t="s">
        <v>77</v>
      </c>
      <c r="J287" s="5">
        <v>4</v>
      </c>
      <c r="K287" s="5">
        <v>0.33</v>
      </c>
      <c r="L287" s="5">
        <v>22.679600000000001</v>
      </c>
      <c r="M287" s="5">
        <v>4</v>
      </c>
      <c r="N287" s="5">
        <v>2</v>
      </c>
      <c r="O287" s="5">
        <v>2</v>
      </c>
      <c r="Q287" s="5" t="s">
        <v>34</v>
      </c>
      <c r="R287" s="5" t="s">
        <v>34</v>
      </c>
      <c r="S287" s="5" t="s">
        <v>34</v>
      </c>
      <c r="T287" s="7" t="s">
        <v>34</v>
      </c>
      <c r="U287" s="5" t="s">
        <v>34</v>
      </c>
      <c r="V287" s="7" t="s">
        <v>34</v>
      </c>
      <c r="W287" s="5" t="s">
        <v>34</v>
      </c>
      <c r="X287" s="5" t="s">
        <v>34</v>
      </c>
      <c r="Y287" s="5" t="s">
        <v>34</v>
      </c>
      <c r="Z287" s="5" t="s">
        <v>34</v>
      </c>
      <c r="AA287" s="5" t="s">
        <v>34</v>
      </c>
      <c r="AB287" s="5" t="s">
        <v>34</v>
      </c>
      <c r="AC287" s="5" t="s">
        <v>34</v>
      </c>
      <c r="AD287" s="5" t="s">
        <v>34</v>
      </c>
    </row>
    <row r="288" spans="1:30" ht="15.55" x14ac:dyDescent="0.3">
      <c r="A288" s="4">
        <v>1000000003560</v>
      </c>
      <c r="B288" s="5" t="s">
        <v>861</v>
      </c>
      <c r="C288" s="4">
        <v>3000000000397</v>
      </c>
      <c r="D288" s="5" t="s">
        <v>294</v>
      </c>
      <c r="E288" s="5" t="s">
        <v>62</v>
      </c>
      <c r="F288" s="5" t="s">
        <v>63</v>
      </c>
      <c r="G288" s="10" cm="1">
        <f t="array" ref="G288">IF(OR($A288="",$L288=""),"",_xlfn.LET(_xlpm.cat,UPPER($E288),_xlpm.wt,IFERROR(VALUE(LEFT($L288,FIND(" ",$L288&amp;" ")-1)),$L288),_xlpm.ppk,_xlfn.SWITCH(TRUE,_xlpm.cat="GAMEFOWL",62,_xlpm.cat="POULTRY",45,_xlpm.cat="SWINE",48,_xlpm.cat="HOGS",48,_xlpm.cat="RABBIT",40,45),_xlpm.code,IFERROR(VALUE(LEFT($A288,FIND(" ",$A288&amp;" ")-1)),0),_xlpm.v,1+MOD(_xlpm.code,13)/100,ROUND(_xlpm.ppk*_xlpm.wt*_xlpm.v,0)))</f>
        <v>1143</v>
      </c>
      <c r="H288" s="6" cm="1">
        <f t="array" ref="H288">IF(OR($A288="",$L288=""),"",_xlfn.LET(_xlpm.cat,UPPER($E288),_xlpm.base,_xlfn.SWITCH(TRUE,_xlpm.cat="GAMEFOWL",0.22,_xlpm.cat="POULTRY",0.18,_xlpm.cat="SWINE",0.16,_xlpm.cat="HOGS",0.16,_xlpm.cat="RABBIT",0.15,0.17),_xlpm.code,IFERROR(VALUE(LEFT($A288,FIND(" ",$A288&amp;" ")-1)),0),_xlpm.v,MOD(_xlpm.code,9)/1000,MIN(0.3,MAX(0.1,_xlpm.base+_xlpm.v))))</f>
        <v>0.186</v>
      </c>
      <c r="I288" s="5" t="s">
        <v>106</v>
      </c>
      <c r="J288" s="5">
        <v>4</v>
      </c>
      <c r="K288" s="5">
        <v>0.33</v>
      </c>
      <c r="L288" s="5">
        <v>22.679600000000001</v>
      </c>
      <c r="M288" s="5">
        <v>4</v>
      </c>
      <c r="N288" s="5">
        <v>2</v>
      </c>
      <c r="O288" s="5">
        <v>2</v>
      </c>
      <c r="Q288" s="5" t="s">
        <v>34</v>
      </c>
      <c r="R288" s="5" t="s">
        <v>34</v>
      </c>
      <c r="S288" s="5" t="s">
        <v>34</v>
      </c>
      <c r="T288" s="7" t="s">
        <v>34</v>
      </c>
      <c r="U288" s="5" t="s">
        <v>34</v>
      </c>
      <c r="V288" s="7" t="s">
        <v>34</v>
      </c>
      <c r="W288" s="5" t="s">
        <v>34</v>
      </c>
      <c r="X288" s="5" t="s">
        <v>34</v>
      </c>
      <c r="Y288" s="5" t="s">
        <v>34</v>
      </c>
      <c r="Z288" s="5">
        <v>7.1647390389536545</v>
      </c>
      <c r="AA288" s="5">
        <v>7.8445342372881344</v>
      </c>
      <c r="AB288" s="5" t="s">
        <v>34</v>
      </c>
      <c r="AC288" s="5">
        <v>6.9909565616045821</v>
      </c>
      <c r="AD288" s="5" t="s">
        <v>34</v>
      </c>
    </row>
    <row r="289" spans="1:30" ht="15.55" x14ac:dyDescent="0.3">
      <c r="A289" s="4">
        <v>1000000003561</v>
      </c>
      <c r="B289" s="5" t="s">
        <v>862</v>
      </c>
      <c r="C289" s="4">
        <v>3000000000391</v>
      </c>
      <c r="D289" s="5" t="s">
        <v>212</v>
      </c>
      <c r="E289" s="5" t="s">
        <v>62</v>
      </c>
      <c r="F289" s="5" t="s">
        <v>63</v>
      </c>
      <c r="G289" s="10" cm="1">
        <f t="array" ref="G289">IF(OR($A289="",$L289=""),"",_xlfn.LET(_xlpm.cat,UPPER($E289),_xlpm.wt,IFERROR(VALUE(LEFT($L289,FIND(" ",$L289&amp;" ")-1)),$L289),_xlpm.ppk,_xlfn.SWITCH(TRUE,_xlpm.cat="GAMEFOWL",62,_xlpm.cat="POULTRY",45,_xlpm.cat="SWINE",48,_xlpm.cat="HOGS",48,_xlpm.cat="RABBIT",40,45),_xlpm.code,IFERROR(VALUE(LEFT($A289,FIND(" ",$A289&amp;" ")-1)),0),_xlpm.v,1+MOD(_xlpm.code,13)/100,ROUND(_xlpm.ppk*_xlpm.wt*_xlpm.v,0)))</f>
        <v>1021</v>
      </c>
      <c r="H289" s="6" cm="1">
        <f t="array" ref="H289">IF(OR($A289="",$L289=""),"",_xlfn.LET(_xlpm.cat,UPPER($E289),_xlpm.base,_xlfn.SWITCH(TRUE,_xlpm.cat="GAMEFOWL",0.22,_xlpm.cat="POULTRY",0.18,_xlpm.cat="SWINE",0.16,_xlpm.cat="HOGS",0.16,_xlpm.cat="RABBIT",0.15,0.17),_xlpm.code,IFERROR(VALUE(LEFT($A289,FIND(" ",$A289&amp;" ")-1)),0),_xlpm.v,MOD(_xlpm.code,9)/1000,MIN(0.3,MAX(0.1,_xlpm.base+_xlpm.v))))</f>
        <v>0.187</v>
      </c>
      <c r="I289" s="5" t="s">
        <v>77</v>
      </c>
      <c r="J289" s="5">
        <v>4</v>
      </c>
      <c r="K289" s="5">
        <v>0.33</v>
      </c>
      <c r="L289" s="5">
        <v>22.679600000000001</v>
      </c>
      <c r="M289" s="5">
        <v>4</v>
      </c>
      <c r="N289" s="5">
        <v>2</v>
      </c>
      <c r="O289" s="5">
        <v>2</v>
      </c>
      <c r="Q289" s="5" t="s">
        <v>34</v>
      </c>
      <c r="R289" s="5" t="s">
        <v>34</v>
      </c>
      <c r="S289" s="5" t="s">
        <v>34</v>
      </c>
      <c r="T289" s="7" t="s">
        <v>34</v>
      </c>
      <c r="U289" s="5" t="s">
        <v>34</v>
      </c>
      <c r="V289" s="7" t="s">
        <v>34</v>
      </c>
      <c r="W289" s="5" t="s">
        <v>34</v>
      </c>
      <c r="X289" s="5" t="s">
        <v>34</v>
      </c>
      <c r="Y289" s="5" t="s">
        <v>34</v>
      </c>
      <c r="Z289" s="5" t="s">
        <v>34</v>
      </c>
      <c r="AA289" s="5">
        <v>7.9994880000000101</v>
      </c>
      <c r="AB289" s="5" t="s">
        <v>34</v>
      </c>
      <c r="AC289" s="5" t="s">
        <v>34</v>
      </c>
      <c r="AD289" s="5" t="s">
        <v>34</v>
      </c>
    </row>
    <row r="290" spans="1:30" ht="15.55" x14ac:dyDescent="0.3">
      <c r="A290" s="4">
        <v>1000000003562</v>
      </c>
      <c r="B290" s="5" t="s">
        <v>863</v>
      </c>
      <c r="C290" s="4">
        <v>3000000000399</v>
      </c>
      <c r="D290" s="5" t="s">
        <v>279</v>
      </c>
      <c r="E290" s="5" t="s">
        <v>62</v>
      </c>
      <c r="F290" s="5" t="s">
        <v>63</v>
      </c>
      <c r="G290" s="10" cm="1">
        <f t="array" ref="G290">IF(OR($A290="",$L290=""),"",_xlfn.LET(_xlpm.cat,UPPER($E290),_xlpm.wt,IFERROR(VALUE(LEFT($L290,FIND(" ",$L290&amp;" ")-1)),$L290),_xlpm.ppk,_xlfn.SWITCH(TRUE,_xlpm.cat="GAMEFOWL",62,_xlpm.cat="POULTRY",45,_xlpm.cat="SWINE",48,_xlpm.cat="HOGS",48,_xlpm.cat="RABBIT",40,45),_xlpm.code,IFERROR(VALUE(LEFT($A290,FIND(" ",$A290&amp;" ")-1)),0),_xlpm.v,1+MOD(_xlpm.code,13)/100,ROUND(_xlpm.ppk*_xlpm.wt*_xlpm.v,0)))</f>
        <v>1031</v>
      </c>
      <c r="H290" s="6" cm="1">
        <f t="array" ref="H290">IF(OR($A290="",$L290=""),"",_xlfn.LET(_xlpm.cat,UPPER($E290),_xlpm.base,_xlfn.SWITCH(TRUE,_xlpm.cat="GAMEFOWL",0.22,_xlpm.cat="POULTRY",0.18,_xlpm.cat="SWINE",0.16,_xlpm.cat="HOGS",0.16,_xlpm.cat="RABBIT",0.15,0.17),_xlpm.code,IFERROR(VALUE(LEFT($A290,FIND(" ",$A290&amp;" ")-1)),0),_xlpm.v,MOD(_xlpm.code,9)/1000,MIN(0.3,MAX(0.1,_xlpm.base+_xlpm.v))))</f>
        <v>0.188</v>
      </c>
      <c r="I290" s="5" t="s">
        <v>77</v>
      </c>
      <c r="J290" s="5">
        <v>4</v>
      </c>
      <c r="K290" s="5">
        <v>0.33</v>
      </c>
      <c r="L290" s="5">
        <v>22.679600000000001</v>
      </c>
      <c r="M290" s="5">
        <v>4</v>
      </c>
      <c r="N290" s="5">
        <v>2</v>
      </c>
      <c r="O290" s="5">
        <v>2</v>
      </c>
      <c r="Q290" s="5" t="s">
        <v>34</v>
      </c>
      <c r="R290" s="5" t="s">
        <v>34</v>
      </c>
      <c r="S290" s="5" t="s">
        <v>34</v>
      </c>
      <c r="T290" s="7" t="s">
        <v>34</v>
      </c>
      <c r="U290" s="5" t="s">
        <v>34</v>
      </c>
      <c r="V290" s="7" t="s">
        <v>34</v>
      </c>
      <c r="W290" s="5" t="s">
        <v>34</v>
      </c>
      <c r="X290" s="5" t="s">
        <v>34</v>
      </c>
      <c r="Y290" s="5" t="s">
        <v>34</v>
      </c>
      <c r="Z290" s="5">
        <v>7.7236435862068973</v>
      </c>
      <c r="AA290" s="5">
        <v>8.6042009157667394</v>
      </c>
      <c r="AB290" s="5" t="s">
        <v>34</v>
      </c>
      <c r="AC290" s="5">
        <v>8.0800880784242182</v>
      </c>
      <c r="AD290" s="5" t="s">
        <v>34</v>
      </c>
    </row>
    <row r="291" spans="1:30" ht="15.55" x14ac:dyDescent="0.3">
      <c r="A291" s="4">
        <v>1000000003563</v>
      </c>
      <c r="B291" s="5" t="s">
        <v>864</v>
      </c>
      <c r="C291" s="4">
        <v>3000000000262</v>
      </c>
      <c r="D291" s="5" t="s">
        <v>865</v>
      </c>
      <c r="E291" s="5" t="s">
        <v>62</v>
      </c>
      <c r="F291" s="5" t="s">
        <v>63</v>
      </c>
      <c r="G291" s="10" cm="1">
        <f t="array" ref="G291">IF(OR($A291="",$L291=""),"",_xlfn.LET(_xlpm.cat,UPPER($E291),_xlpm.wt,IFERROR(VALUE(LEFT($L291,FIND(" ",$L291&amp;" ")-1)),$L291),_xlpm.ppk,_xlfn.SWITCH(TRUE,_xlpm.cat="GAMEFOWL",62,_xlpm.cat="POULTRY",45,_xlpm.cat="SWINE",48,_xlpm.cat="HOGS",48,_xlpm.cat="RABBIT",40,45),_xlpm.code,IFERROR(VALUE(LEFT($A291,FIND(" ",$A291&amp;" ")-1)),0),_xlpm.v,1+MOD(_xlpm.code,13)/100,ROUND(_xlpm.ppk*_xlpm.wt*_xlpm.v,0)))</f>
        <v>1041</v>
      </c>
      <c r="H291" s="6" cm="1">
        <f t="array" ref="H291">IF(OR($A291="",$L291=""),"",_xlfn.LET(_xlpm.cat,UPPER($E291),_xlpm.base,_xlfn.SWITCH(TRUE,_xlpm.cat="GAMEFOWL",0.22,_xlpm.cat="POULTRY",0.18,_xlpm.cat="SWINE",0.16,_xlpm.cat="HOGS",0.16,_xlpm.cat="RABBIT",0.15,0.17),_xlpm.code,IFERROR(VALUE(LEFT($A291,FIND(" ",$A291&amp;" ")-1)),0),_xlpm.v,MOD(_xlpm.code,9)/1000,MIN(0.3,MAX(0.1,_xlpm.base+_xlpm.v))))</f>
        <v>0.18</v>
      </c>
      <c r="I291" s="5" t="s">
        <v>77</v>
      </c>
      <c r="J291" s="5">
        <v>4</v>
      </c>
      <c r="K291" s="5">
        <v>0.33</v>
      </c>
      <c r="L291" s="5">
        <v>22.679600000000001</v>
      </c>
      <c r="M291" s="5">
        <v>4</v>
      </c>
      <c r="N291" s="5">
        <v>2</v>
      </c>
      <c r="O291" s="5">
        <v>2</v>
      </c>
      <c r="Q291" s="5" t="s">
        <v>34</v>
      </c>
      <c r="R291" s="5" t="s">
        <v>34</v>
      </c>
      <c r="S291" s="5" t="s">
        <v>34</v>
      </c>
      <c r="T291" s="7" t="s">
        <v>34</v>
      </c>
      <c r="U291" s="5" t="s">
        <v>34</v>
      </c>
      <c r="V291" s="7" t="s">
        <v>34</v>
      </c>
      <c r="W291" s="5" t="s">
        <v>34</v>
      </c>
      <c r="X291" s="5" t="s">
        <v>34</v>
      </c>
      <c r="Y291" s="5" t="s">
        <v>34</v>
      </c>
      <c r="Z291" s="5">
        <v>7.4361437746478876</v>
      </c>
      <c r="AA291" s="5">
        <v>8.2459177251184865</v>
      </c>
      <c r="AB291" s="5" t="s">
        <v>34</v>
      </c>
      <c r="AC291" s="5">
        <v>8.0336009552238803</v>
      </c>
      <c r="AD291" s="5" t="s">
        <v>34</v>
      </c>
    </row>
    <row r="292" spans="1:30" ht="15.55" x14ac:dyDescent="0.3">
      <c r="A292" s="4">
        <v>1000000003628</v>
      </c>
      <c r="B292" s="5" t="s">
        <v>866</v>
      </c>
      <c r="C292" s="4">
        <v>3000000001942</v>
      </c>
      <c r="D292" s="5" t="s">
        <v>867</v>
      </c>
      <c r="E292" s="5" t="s">
        <v>62</v>
      </c>
      <c r="F292" s="5" t="s">
        <v>63</v>
      </c>
      <c r="G292" s="10" cm="1">
        <f t="array" ref="G292">IF(OR($A292="",$L292=""),"",_xlfn.LET(_xlpm.cat,UPPER($E292),_xlpm.wt,IFERROR(VALUE(LEFT($L292,FIND(" ",$L292&amp;" ")-1)),$L292),_xlpm.ppk,_xlfn.SWITCH(TRUE,_xlpm.cat="GAMEFOWL",62,_xlpm.cat="POULTRY",45,_xlpm.cat="SWINE",48,_xlpm.cat="HOGS",48,_xlpm.cat="RABBIT",40,45),_xlpm.code,IFERROR(VALUE(LEFT($A292,FIND(" ",$A292&amp;" ")-1)),0),_xlpm.v,1+MOD(_xlpm.code,13)/100,ROUND(_xlpm.ppk*_xlpm.wt*_xlpm.v,0)))</f>
        <v>2295</v>
      </c>
      <c r="H292" s="6" cm="1">
        <f t="array" ref="H292">IF(OR($A292="",$L292=""),"",_xlfn.LET(_xlpm.cat,UPPER($E292),_xlpm.base,_xlfn.SWITCH(TRUE,_xlpm.cat="GAMEFOWL",0.22,_xlpm.cat="POULTRY",0.18,_xlpm.cat="SWINE",0.16,_xlpm.cat="HOGS",0.16,_xlpm.cat="RABBIT",0.15,0.17),_xlpm.code,IFERROR(VALUE(LEFT($A292,FIND(" ",$A292&amp;" ")-1)),0),_xlpm.v,MOD(_xlpm.code,9)/1000,MIN(0.3,MAX(0.1,_xlpm.base+_xlpm.v))))</f>
        <v>0.182</v>
      </c>
      <c r="I292" s="5" t="s">
        <v>77</v>
      </c>
      <c r="J292" s="5">
        <v>4</v>
      </c>
      <c r="K292" s="5">
        <v>0.33</v>
      </c>
      <c r="L292" s="5">
        <v>50</v>
      </c>
      <c r="M292" s="5">
        <v>4</v>
      </c>
      <c r="N292" s="5">
        <v>2</v>
      </c>
      <c r="O292" s="5">
        <v>2</v>
      </c>
      <c r="Q292" s="5" t="s">
        <v>34</v>
      </c>
      <c r="R292" s="5" t="s">
        <v>34</v>
      </c>
      <c r="S292" s="5" t="s">
        <v>34</v>
      </c>
      <c r="T292" s="7" t="s">
        <v>34</v>
      </c>
      <c r="U292" s="5" t="s">
        <v>34</v>
      </c>
      <c r="V292" s="7" t="s">
        <v>34</v>
      </c>
      <c r="W292" s="5" t="s">
        <v>34</v>
      </c>
      <c r="X292" s="5" t="s">
        <v>34</v>
      </c>
      <c r="Y292" s="5" t="s">
        <v>34</v>
      </c>
      <c r="Z292" s="5" t="s">
        <v>34</v>
      </c>
      <c r="AA292" s="5" t="s">
        <v>34</v>
      </c>
      <c r="AB292" s="5" t="s">
        <v>34</v>
      </c>
      <c r="AC292" s="5" t="s">
        <v>34</v>
      </c>
      <c r="AD292" s="5" t="s">
        <v>34</v>
      </c>
    </row>
    <row r="293" spans="1:30" ht="15.55" x14ac:dyDescent="0.3">
      <c r="A293" s="4"/>
      <c r="C293" s="4">
        <v>3000000000015</v>
      </c>
      <c r="D293" s="5" t="s">
        <v>868</v>
      </c>
      <c r="E293" s="5" t="s">
        <v>34</v>
      </c>
      <c r="F293" s="5" t="s">
        <v>34</v>
      </c>
      <c r="G293" s="10" t="str" cm="1">
        <f t="array" ref="G293">IF(OR($A293="",$L293=""),"",_xlfn.LET(_xlpm.cat,UPPER($E293),_xlpm.wt,IFERROR(VALUE(LEFT($L293,FIND(" ",$L293&amp;" ")-1)),$L293),_xlpm.ppk,_xlfn.SWITCH(TRUE,_xlpm.cat="GAMEFOWL",62,_xlpm.cat="POULTRY",45,_xlpm.cat="SWINE",48,_xlpm.cat="HOGS",48,_xlpm.cat="RABBIT",40,45),_xlpm.code,IFERROR(VALUE(LEFT($A293,FIND(" ",$A293&amp;" ")-1)),0),_xlpm.v,1+MOD(_xlpm.code,13)/100,ROUND(_xlpm.ppk*_xlpm.wt*_xlpm.v,0)))</f>
        <v/>
      </c>
      <c r="H293" s="6" t="str" cm="1">
        <f t="array" ref="H293">IF(OR($A293="",$L293=""),"",_xlfn.LET(_xlpm.cat,UPPER($E293),_xlpm.base,_xlfn.SWITCH(TRUE,_xlpm.cat="GAMEFOWL",0.22,_xlpm.cat="POULTRY",0.18,_xlpm.cat="SWINE",0.16,_xlpm.cat="HOGS",0.16,_xlpm.cat="RABBIT",0.15,0.17),_xlpm.code,IFERROR(VALUE(LEFT($A293,FIND(" ",$A293&amp;" ")-1)),0),_xlpm.v,MOD(_xlpm.code,9)/1000,MIN(0.3,MAX(0.1,_xlpm.base+_xlpm.v))))</f>
        <v/>
      </c>
      <c r="I293" s="5" t="s">
        <v>57</v>
      </c>
      <c r="K293" s="5">
        <v>0</v>
      </c>
      <c r="Q293" s="5" t="s">
        <v>34</v>
      </c>
      <c r="R293" s="5" t="s">
        <v>34</v>
      </c>
      <c r="S293" s="5" t="s">
        <v>34</v>
      </c>
      <c r="T293" s="7" t="s">
        <v>34</v>
      </c>
      <c r="U293" s="5" t="s">
        <v>34</v>
      </c>
      <c r="V293" s="7" t="s">
        <v>34</v>
      </c>
      <c r="W293" s="5" t="s">
        <v>34</v>
      </c>
      <c r="X293" s="5" t="s">
        <v>34</v>
      </c>
      <c r="Y293" s="5" t="s">
        <v>34</v>
      </c>
      <c r="Z293" s="5" t="s">
        <v>34</v>
      </c>
      <c r="AA293" s="5" t="s">
        <v>34</v>
      </c>
      <c r="AB293" s="5" t="s">
        <v>34</v>
      </c>
      <c r="AC293" s="5" t="s">
        <v>34</v>
      </c>
      <c r="AD293" s="5" t="s">
        <v>34</v>
      </c>
    </row>
    <row r="294" spans="1:30" ht="15.55" x14ac:dyDescent="0.3">
      <c r="A294" s="4"/>
      <c r="C294" s="4">
        <v>3000000000014</v>
      </c>
      <c r="D294" s="5" t="s">
        <v>869</v>
      </c>
      <c r="E294" s="5" t="s">
        <v>34</v>
      </c>
      <c r="F294" s="5" t="s">
        <v>34</v>
      </c>
      <c r="G294" s="10" t="str" cm="1">
        <f t="array" ref="G294">IF(OR($A294="",$L294=""),"",_xlfn.LET(_xlpm.cat,UPPER($E294),_xlpm.wt,IFERROR(VALUE(LEFT($L294,FIND(" ",$L294&amp;" ")-1)),$L294),_xlpm.ppk,_xlfn.SWITCH(TRUE,_xlpm.cat="GAMEFOWL",62,_xlpm.cat="POULTRY",45,_xlpm.cat="SWINE",48,_xlpm.cat="HOGS",48,_xlpm.cat="RABBIT",40,45),_xlpm.code,IFERROR(VALUE(LEFT($A294,FIND(" ",$A294&amp;" ")-1)),0),_xlpm.v,1+MOD(_xlpm.code,13)/100,ROUND(_xlpm.ppk*_xlpm.wt*_xlpm.v,0)))</f>
        <v/>
      </c>
      <c r="H294" s="6" t="str" cm="1">
        <f t="array" ref="H294">IF(OR($A294="",$L294=""),"",_xlfn.LET(_xlpm.cat,UPPER($E294),_xlpm.base,_xlfn.SWITCH(TRUE,_xlpm.cat="GAMEFOWL",0.22,_xlpm.cat="POULTRY",0.18,_xlpm.cat="SWINE",0.16,_xlpm.cat="HOGS",0.16,_xlpm.cat="RABBIT",0.15,0.17),_xlpm.code,IFERROR(VALUE(LEFT($A294,FIND(" ",$A294&amp;" ")-1)),0),_xlpm.v,MOD(_xlpm.code,9)/1000,MIN(0.3,MAX(0.1,_xlpm.base+_xlpm.v))))</f>
        <v/>
      </c>
      <c r="I294" s="5" t="s">
        <v>57</v>
      </c>
      <c r="K294" s="5">
        <v>0</v>
      </c>
      <c r="Q294" s="5" t="s">
        <v>34</v>
      </c>
      <c r="R294" s="5" t="s">
        <v>34</v>
      </c>
      <c r="S294" s="5" t="s">
        <v>34</v>
      </c>
      <c r="T294" s="7" t="s">
        <v>34</v>
      </c>
      <c r="U294" s="5" t="s">
        <v>34</v>
      </c>
      <c r="V294" s="7" t="s">
        <v>34</v>
      </c>
      <c r="W294" s="5" t="s">
        <v>34</v>
      </c>
      <c r="X294" s="5" t="s">
        <v>34</v>
      </c>
      <c r="Y294" s="5" t="s">
        <v>34</v>
      </c>
      <c r="Z294" s="5" t="s">
        <v>34</v>
      </c>
      <c r="AA294" s="5" t="s">
        <v>34</v>
      </c>
      <c r="AB294" s="5">
        <v>7.500000000000008</v>
      </c>
      <c r="AC294" s="5" t="s">
        <v>34</v>
      </c>
      <c r="AD294" s="5" t="s">
        <v>34</v>
      </c>
    </row>
    <row r="295" spans="1:30" ht="15.55" x14ac:dyDescent="0.3">
      <c r="A295" s="4">
        <v>1000000003702</v>
      </c>
      <c r="B295" s="5" t="s">
        <v>870</v>
      </c>
      <c r="C295" s="4">
        <v>3000000001972</v>
      </c>
      <c r="D295" s="5" t="s">
        <v>871</v>
      </c>
      <c r="E295" s="5" t="s">
        <v>62</v>
      </c>
      <c r="F295" s="5" t="s">
        <v>63</v>
      </c>
      <c r="G295" s="10" cm="1">
        <f t="array" ref="G295">IF(OR($A295="",$L295=""),"",_xlfn.LET(_xlpm.cat,UPPER($E295),_xlpm.wt,IFERROR(VALUE(LEFT($L295,FIND(" ",$L295&amp;" ")-1)),$L295),_xlpm.ppk,_xlfn.SWITCH(TRUE,_xlpm.cat="GAMEFOWL",62,_xlpm.cat="POULTRY",45,_xlpm.cat="SWINE",48,_xlpm.cat="HOGS",48,_xlpm.cat="RABBIT",40,45),_xlpm.code,IFERROR(VALUE(LEFT($A295,FIND(" ",$A295&amp;" ")-1)),0),_xlpm.v,1+MOD(_xlpm.code,13)/100,ROUND(_xlpm.ppk*_xlpm.wt*_xlpm.v,0)))</f>
        <v>2498</v>
      </c>
      <c r="H295" s="6" cm="1">
        <f t="array" ref="H295">IF(OR($A295="",$L295=""),"",_xlfn.LET(_xlpm.cat,UPPER($E295),_xlpm.base,_xlfn.SWITCH(TRUE,_xlpm.cat="GAMEFOWL",0.22,_xlpm.cat="POULTRY",0.18,_xlpm.cat="SWINE",0.16,_xlpm.cat="HOGS",0.16,_xlpm.cat="RABBIT",0.15,0.17),_xlpm.code,IFERROR(VALUE(LEFT($A295,FIND(" ",$A295&amp;" ")-1)),0),_xlpm.v,MOD(_xlpm.code,9)/1000,MIN(0.3,MAX(0.1,_xlpm.base+_xlpm.v))))</f>
        <v>0.184</v>
      </c>
      <c r="I295" s="5" t="s">
        <v>77</v>
      </c>
      <c r="J295" s="5">
        <v>4</v>
      </c>
      <c r="K295" s="5">
        <v>0.33</v>
      </c>
      <c r="L295" s="5">
        <v>50</v>
      </c>
      <c r="M295" s="5">
        <v>4</v>
      </c>
      <c r="N295" s="5">
        <v>2</v>
      </c>
      <c r="O295" s="5">
        <v>2</v>
      </c>
      <c r="Q295" s="5">
        <v>3702</v>
      </c>
      <c r="R295" s="5" t="s">
        <v>34</v>
      </c>
      <c r="S295" s="5" t="s">
        <v>39</v>
      </c>
      <c r="T295" s="7">
        <v>5000000000561</v>
      </c>
      <c r="U295" s="5" t="s">
        <v>98</v>
      </c>
      <c r="V295" s="7">
        <v>5000000000125</v>
      </c>
      <c r="W295" s="5" t="s">
        <v>872</v>
      </c>
      <c r="X295" s="5" t="s">
        <v>34</v>
      </c>
      <c r="Y295" s="5" t="s">
        <v>34</v>
      </c>
      <c r="Z295" s="5" t="s">
        <v>34</v>
      </c>
      <c r="AA295" s="5">
        <v>8.4700461176470636</v>
      </c>
      <c r="AB295" s="5" t="s">
        <v>34</v>
      </c>
      <c r="AC295" s="5" t="s">
        <v>34</v>
      </c>
      <c r="AD295" s="5" t="s">
        <v>34</v>
      </c>
    </row>
    <row r="296" spans="1:30" ht="15.55" x14ac:dyDescent="0.3">
      <c r="A296" s="4">
        <v>1000000003706</v>
      </c>
      <c r="B296" s="5" t="s">
        <v>873</v>
      </c>
      <c r="C296" s="4">
        <v>3000000001973</v>
      </c>
      <c r="D296" s="5" t="s">
        <v>874</v>
      </c>
      <c r="E296" s="5" t="s">
        <v>62</v>
      </c>
      <c r="F296" s="5" t="s">
        <v>63</v>
      </c>
      <c r="G296" s="10" cm="1">
        <f t="array" ref="G296">IF(OR($A296="",$L296=""),"",_xlfn.LET(_xlpm.cat,UPPER($E296),_xlpm.wt,IFERROR(VALUE(LEFT($L296,FIND(" ",$L296&amp;" ")-1)),$L296),_xlpm.ppk,_xlfn.SWITCH(TRUE,_xlpm.cat="GAMEFOWL",62,_xlpm.cat="POULTRY",45,_xlpm.cat="SWINE",48,_xlpm.cat="HOGS",48,_xlpm.cat="RABBIT",40,45),_xlpm.code,IFERROR(VALUE(LEFT($A296,FIND(" ",$A296&amp;" ")-1)),0),_xlpm.v,1+MOD(_xlpm.code,13)/100,ROUND(_xlpm.ppk*_xlpm.wt*_xlpm.v,0)))</f>
        <v>2295</v>
      </c>
      <c r="H296" s="6" cm="1">
        <f t="array" ref="H296">IF(OR($A296="",$L296=""),"",_xlfn.LET(_xlpm.cat,UPPER($E296),_xlpm.base,_xlfn.SWITCH(TRUE,_xlpm.cat="GAMEFOWL",0.22,_xlpm.cat="POULTRY",0.18,_xlpm.cat="SWINE",0.16,_xlpm.cat="HOGS",0.16,_xlpm.cat="RABBIT",0.15,0.17),_xlpm.code,IFERROR(VALUE(LEFT($A296,FIND(" ",$A296&amp;" ")-1)),0),_xlpm.v,MOD(_xlpm.code,9)/1000,MIN(0.3,MAX(0.1,_xlpm.base+_xlpm.v))))</f>
        <v>0.188</v>
      </c>
      <c r="I296" s="5" t="s">
        <v>77</v>
      </c>
      <c r="J296" s="5">
        <v>4</v>
      </c>
      <c r="K296" s="5">
        <v>0.33</v>
      </c>
      <c r="L296" s="5">
        <v>50</v>
      </c>
      <c r="M296" s="5">
        <v>4</v>
      </c>
      <c r="N296" s="5">
        <v>2</v>
      </c>
      <c r="O296" s="5">
        <v>2</v>
      </c>
      <c r="Q296" s="5" t="s">
        <v>875</v>
      </c>
      <c r="R296" s="5" t="s">
        <v>34</v>
      </c>
      <c r="S296" s="5" t="s">
        <v>149</v>
      </c>
      <c r="T296" s="7">
        <v>5000000000562</v>
      </c>
      <c r="U296" s="5" t="s">
        <v>108</v>
      </c>
      <c r="V296" s="7">
        <v>5000000000122</v>
      </c>
      <c r="W296" s="5" t="s">
        <v>876</v>
      </c>
      <c r="X296" s="5" t="s">
        <v>34</v>
      </c>
      <c r="Y296" s="5" t="s">
        <v>34</v>
      </c>
      <c r="Z296" s="5" t="s">
        <v>34</v>
      </c>
      <c r="AA296" s="5">
        <v>7.872512000000004</v>
      </c>
      <c r="AB296" s="5" t="s">
        <v>34</v>
      </c>
      <c r="AC296" s="5" t="s">
        <v>34</v>
      </c>
      <c r="AD296" s="5" t="s">
        <v>34</v>
      </c>
    </row>
    <row r="297" spans="1:30" ht="15.55" x14ac:dyDescent="0.3">
      <c r="A297" s="4">
        <v>1000000003703</v>
      </c>
      <c r="B297" s="5" t="s">
        <v>877</v>
      </c>
      <c r="C297" s="4">
        <v>3000000001974</v>
      </c>
      <c r="D297" s="5" t="s">
        <v>878</v>
      </c>
      <c r="E297" s="5" t="s">
        <v>62</v>
      </c>
      <c r="F297" s="5" t="s">
        <v>63</v>
      </c>
      <c r="G297" s="10" cm="1">
        <f t="array" ref="G297">IF(OR($A297="",$L297=""),"",_xlfn.LET(_xlpm.cat,UPPER($E297),_xlpm.wt,IFERROR(VALUE(LEFT($L297,FIND(" ",$L297&amp;" ")-1)),$L297),_xlpm.ppk,_xlfn.SWITCH(TRUE,_xlpm.cat="GAMEFOWL",62,_xlpm.cat="POULTRY",45,_xlpm.cat="SWINE",48,_xlpm.cat="HOGS",48,_xlpm.cat="RABBIT",40,45),_xlpm.code,IFERROR(VALUE(LEFT($A297,FIND(" ",$A297&amp;" ")-1)),0),_xlpm.v,1+MOD(_xlpm.code,13)/100,ROUND(_xlpm.ppk*_xlpm.wt*_xlpm.v,0)))</f>
        <v>2520</v>
      </c>
      <c r="H297" s="6" cm="1">
        <f t="array" ref="H297">IF(OR($A297="",$L297=""),"",_xlfn.LET(_xlpm.cat,UPPER($E297),_xlpm.base,_xlfn.SWITCH(TRUE,_xlpm.cat="GAMEFOWL",0.22,_xlpm.cat="POULTRY",0.18,_xlpm.cat="SWINE",0.16,_xlpm.cat="HOGS",0.16,_xlpm.cat="RABBIT",0.15,0.17),_xlpm.code,IFERROR(VALUE(LEFT($A297,FIND(" ",$A297&amp;" ")-1)),0),_xlpm.v,MOD(_xlpm.code,9)/1000,MIN(0.3,MAX(0.1,_xlpm.base+_xlpm.v))))</f>
        <v>0.185</v>
      </c>
      <c r="I297" s="5" t="s">
        <v>77</v>
      </c>
      <c r="J297" s="5">
        <v>4</v>
      </c>
      <c r="K297" s="5">
        <v>0.33</v>
      </c>
      <c r="L297" s="5">
        <v>50</v>
      </c>
      <c r="M297" s="5">
        <v>4</v>
      </c>
      <c r="N297" s="5">
        <v>2</v>
      </c>
      <c r="O297" s="5">
        <v>2</v>
      </c>
      <c r="Q297" s="5" t="s">
        <v>879</v>
      </c>
      <c r="R297" s="5" t="s">
        <v>34</v>
      </c>
      <c r="S297" s="5" t="s">
        <v>39</v>
      </c>
      <c r="T297" s="7">
        <v>5000000000563</v>
      </c>
      <c r="U297" s="5" t="s">
        <v>779</v>
      </c>
      <c r="V297" s="7">
        <v>5000000000615</v>
      </c>
      <c r="W297" s="5" t="s">
        <v>780</v>
      </c>
      <c r="X297" s="5" t="s">
        <v>34</v>
      </c>
      <c r="Y297" s="5" t="s">
        <v>34</v>
      </c>
      <c r="Z297" s="5" t="s">
        <v>34</v>
      </c>
      <c r="AA297" s="5">
        <v>7.3658651881188151</v>
      </c>
      <c r="AB297" s="5" t="s">
        <v>34</v>
      </c>
      <c r="AC297" s="5" t="s">
        <v>34</v>
      </c>
      <c r="AD297" s="5" t="s">
        <v>34</v>
      </c>
    </row>
    <row r="298" spans="1:30" ht="15.55" x14ac:dyDescent="0.3">
      <c r="A298" s="4">
        <v>1000000003707</v>
      </c>
      <c r="B298" s="5" t="s">
        <v>880</v>
      </c>
      <c r="C298" s="4">
        <v>3000000001975</v>
      </c>
      <c r="D298" s="5" t="s">
        <v>881</v>
      </c>
      <c r="E298" s="5" t="s">
        <v>62</v>
      </c>
      <c r="F298" s="5" t="s">
        <v>63</v>
      </c>
      <c r="G298" s="10" cm="1">
        <f t="array" ref="G298">IF(OR($A298="",$L298=""),"",_xlfn.LET(_xlpm.cat,UPPER($E298),_xlpm.wt,IFERROR(VALUE(LEFT($L298,FIND(" ",$L298&amp;" ")-1)),$L298),_xlpm.ppk,_xlfn.SWITCH(TRUE,_xlpm.cat="GAMEFOWL",62,_xlpm.cat="POULTRY",45,_xlpm.cat="SWINE",48,_xlpm.cat="HOGS",48,_xlpm.cat="RABBIT",40,45),_xlpm.code,IFERROR(VALUE(LEFT($A298,FIND(" ",$A298&amp;" ")-1)),0),_xlpm.v,1+MOD(_xlpm.code,13)/100,ROUND(_xlpm.ppk*_xlpm.wt*_xlpm.v,0)))</f>
        <v>2318</v>
      </c>
      <c r="H298" s="6" cm="1">
        <f t="array" ref="H298">IF(OR($A298="",$L298=""),"",_xlfn.LET(_xlpm.cat,UPPER($E298),_xlpm.base,_xlfn.SWITCH(TRUE,_xlpm.cat="GAMEFOWL",0.22,_xlpm.cat="POULTRY",0.18,_xlpm.cat="SWINE",0.16,_xlpm.cat="HOGS",0.16,_xlpm.cat="RABBIT",0.15,0.17),_xlpm.code,IFERROR(VALUE(LEFT($A298,FIND(" ",$A298&amp;" ")-1)),0),_xlpm.v,MOD(_xlpm.code,9)/1000,MIN(0.3,MAX(0.1,_xlpm.base+_xlpm.v))))</f>
        <v>0.18</v>
      </c>
      <c r="I298" s="5" t="s">
        <v>77</v>
      </c>
      <c r="J298" s="5">
        <v>4</v>
      </c>
      <c r="K298" s="5">
        <v>0.33</v>
      </c>
      <c r="L298" s="5">
        <v>50</v>
      </c>
      <c r="M298" s="5">
        <v>4</v>
      </c>
      <c r="N298" s="5">
        <v>2</v>
      </c>
      <c r="O298" s="5">
        <v>2</v>
      </c>
      <c r="Q298" s="5" t="s">
        <v>882</v>
      </c>
      <c r="R298" s="5" t="s">
        <v>34</v>
      </c>
      <c r="S298" s="5" t="s">
        <v>39</v>
      </c>
      <c r="T298" s="7">
        <v>5000000000555</v>
      </c>
      <c r="U298" s="5" t="s">
        <v>883</v>
      </c>
      <c r="V298" s="7">
        <v>5000000000614</v>
      </c>
      <c r="W298" s="5" t="s">
        <v>884</v>
      </c>
      <c r="X298" s="5" t="s">
        <v>34</v>
      </c>
      <c r="Y298" s="5" t="s">
        <v>34</v>
      </c>
      <c r="Z298" s="5" t="s">
        <v>34</v>
      </c>
      <c r="AA298" s="5">
        <v>7.9379534769230782</v>
      </c>
      <c r="AB298" s="5" t="s">
        <v>34</v>
      </c>
      <c r="AC298" s="5" t="s">
        <v>34</v>
      </c>
      <c r="AD298" s="5" t="s">
        <v>34</v>
      </c>
    </row>
    <row r="299" spans="1:30" ht="15.55" x14ac:dyDescent="0.3">
      <c r="A299" s="4">
        <v>1000000003704</v>
      </c>
      <c r="B299" s="5" t="s">
        <v>885</v>
      </c>
      <c r="C299" s="4">
        <v>3000000001976</v>
      </c>
      <c r="D299" s="5" t="s">
        <v>886</v>
      </c>
      <c r="E299" s="5" t="s">
        <v>62</v>
      </c>
      <c r="F299" s="5" t="s">
        <v>63</v>
      </c>
      <c r="G299" s="10" cm="1">
        <f t="array" ref="G299">IF(OR($A299="",$L299=""),"",_xlfn.LET(_xlpm.cat,UPPER($E299),_xlpm.wt,IFERROR(VALUE(LEFT($L299,FIND(" ",$L299&amp;" ")-1)),$L299),_xlpm.ppk,_xlfn.SWITCH(TRUE,_xlpm.cat="GAMEFOWL",62,_xlpm.cat="POULTRY",45,_xlpm.cat="SWINE",48,_xlpm.cat="HOGS",48,_xlpm.cat="RABBIT",40,45),_xlpm.code,IFERROR(VALUE(LEFT($A299,FIND(" ",$A299&amp;" ")-1)),0),_xlpm.v,1+MOD(_xlpm.code,13)/100,ROUND(_xlpm.ppk*_xlpm.wt*_xlpm.v,0)))</f>
        <v>2250</v>
      </c>
      <c r="H299" s="6" cm="1">
        <f t="array" ref="H299">IF(OR($A299="",$L299=""),"",_xlfn.LET(_xlpm.cat,UPPER($E299),_xlpm.base,_xlfn.SWITCH(TRUE,_xlpm.cat="GAMEFOWL",0.22,_xlpm.cat="POULTRY",0.18,_xlpm.cat="SWINE",0.16,_xlpm.cat="HOGS",0.16,_xlpm.cat="RABBIT",0.15,0.17),_xlpm.code,IFERROR(VALUE(LEFT($A299,FIND(" ",$A299&amp;" ")-1)),0),_xlpm.v,MOD(_xlpm.code,9)/1000,MIN(0.3,MAX(0.1,_xlpm.base+_xlpm.v))))</f>
        <v>0.186</v>
      </c>
      <c r="I299" s="5" t="s">
        <v>77</v>
      </c>
      <c r="J299" s="5">
        <v>4</v>
      </c>
      <c r="K299" s="5">
        <v>0.33</v>
      </c>
      <c r="L299" s="5">
        <v>50</v>
      </c>
      <c r="M299" s="5">
        <v>4</v>
      </c>
      <c r="N299" s="5">
        <v>2</v>
      </c>
      <c r="O299" s="5">
        <v>2</v>
      </c>
      <c r="Q299" s="5">
        <v>3704</v>
      </c>
      <c r="R299" s="5" t="s">
        <v>34</v>
      </c>
      <c r="S299" s="5" t="s">
        <v>39</v>
      </c>
      <c r="T299" s="7">
        <v>5000000000983</v>
      </c>
      <c r="U299" s="5" t="s">
        <v>887</v>
      </c>
      <c r="V299" s="7">
        <v>5000000000117</v>
      </c>
      <c r="W299" s="5" t="s">
        <v>613</v>
      </c>
      <c r="X299" s="5" t="s">
        <v>34</v>
      </c>
      <c r="Y299" s="5" t="s">
        <v>34</v>
      </c>
      <c r="Z299" s="5" t="s">
        <v>34</v>
      </c>
      <c r="AA299" s="5" t="s">
        <v>34</v>
      </c>
      <c r="AB299" s="5" t="s">
        <v>34</v>
      </c>
      <c r="AC299" s="5" t="s">
        <v>34</v>
      </c>
      <c r="AD299" s="5" t="s">
        <v>34</v>
      </c>
    </row>
    <row r="300" spans="1:30" ht="15.55" x14ac:dyDescent="0.3">
      <c r="A300" s="4">
        <v>1000000003705</v>
      </c>
      <c r="B300" s="5" t="s">
        <v>888</v>
      </c>
      <c r="C300" s="4">
        <v>3000000001977</v>
      </c>
      <c r="D300" s="5" t="s">
        <v>889</v>
      </c>
      <c r="E300" s="5" t="s">
        <v>62</v>
      </c>
      <c r="F300" s="5" t="s">
        <v>63</v>
      </c>
      <c r="G300" s="10" cm="1">
        <f t="array" ref="G300">IF(OR($A300="",$L300=""),"",_xlfn.LET(_xlpm.cat,UPPER($E300),_xlpm.wt,IFERROR(VALUE(LEFT($L300,FIND(" ",$L300&amp;" ")-1)),$L300),_xlpm.ppk,_xlfn.SWITCH(TRUE,_xlpm.cat="GAMEFOWL",62,_xlpm.cat="POULTRY",45,_xlpm.cat="SWINE",48,_xlpm.cat="HOGS",48,_xlpm.cat="RABBIT",40,45),_xlpm.code,IFERROR(VALUE(LEFT($A300,FIND(" ",$A300&amp;" ")-1)),0),_xlpm.v,1+MOD(_xlpm.code,13)/100,ROUND(_xlpm.ppk*_xlpm.wt*_xlpm.v,0)))</f>
        <v>2273</v>
      </c>
      <c r="H300" s="6" cm="1">
        <f t="array" ref="H300">IF(OR($A300="",$L300=""),"",_xlfn.LET(_xlpm.cat,UPPER($E300),_xlpm.base,_xlfn.SWITCH(TRUE,_xlpm.cat="GAMEFOWL",0.22,_xlpm.cat="POULTRY",0.18,_xlpm.cat="SWINE",0.16,_xlpm.cat="HOGS",0.16,_xlpm.cat="RABBIT",0.15,0.17),_xlpm.code,IFERROR(VALUE(LEFT($A300,FIND(" ",$A300&amp;" ")-1)),0),_xlpm.v,MOD(_xlpm.code,9)/1000,MIN(0.3,MAX(0.1,_xlpm.base+_xlpm.v))))</f>
        <v>0.187</v>
      </c>
      <c r="I300" s="5" t="s">
        <v>77</v>
      </c>
      <c r="J300" s="5">
        <v>4</v>
      </c>
      <c r="K300" s="5">
        <v>0.33</v>
      </c>
      <c r="L300" s="5">
        <v>50</v>
      </c>
      <c r="M300" s="5">
        <v>4</v>
      </c>
      <c r="N300" s="5">
        <v>2</v>
      </c>
      <c r="O300" s="5">
        <v>2</v>
      </c>
      <c r="Q300" s="5">
        <v>3705</v>
      </c>
      <c r="R300" s="5" t="s">
        <v>34</v>
      </c>
      <c r="S300" s="5" t="s">
        <v>39</v>
      </c>
      <c r="T300" s="7">
        <v>5000000000556</v>
      </c>
      <c r="U300" s="5" t="s">
        <v>890</v>
      </c>
      <c r="V300" s="7">
        <v>5000000000498</v>
      </c>
      <c r="W300" s="5" t="s">
        <v>462</v>
      </c>
      <c r="X300" s="5" t="s">
        <v>34</v>
      </c>
      <c r="Y300" s="5" t="s">
        <v>34</v>
      </c>
      <c r="Z300" s="5" t="s">
        <v>34</v>
      </c>
      <c r="AA300" s="5" t="s">
        <v>34</v>
      </c>
      <c r="AB300" s="5" t="s">
        <v>34</v>
      </c>
      <c r="AC300" s="5" t="s">
        <v>34</v>
      </c>
      <c r="AD300" s="5" t="s">
        <v>34</v>
      </c>
    </row>
    <row r="301" spans="1:30" ht="15.55" x14ac:dyDescent="0.3">
      <c r="A301" s="4">
        <v>1000000003692</v>
      </c>
      <c r="B301" s="5" t="s">
        <v>891</v>
      </c>
      <c r="C301" s="4">
        <v>3000000001968</v>
      </c>
      <c r="D301" s="5" t="s">
        <v>892</v>
      </c>
      <c r="E301" s="5" t="s">
        <v>62</v>
      </c>
      <c r="F301" s="5" t="s">
        <v>34</v>
      </c>
      <c r="G301" s="10" cm="1">
        <f t="array" ref="G301">IF(OR($A301="",$L301=""),"",_xlfn.LET(_xlpm.cat,UPPER($E301),_xlpm.wt,IFERROR(VALUE(LEFT($L301,FIND(" ",$L301&amp;" ")-1)),$L301),_xlpm.ppk,_xlfn.SWITCH(TRUE,_xlpm.cat="GAMEFOWL",62,_xlpm.cat="POULTRY",45,_xlpm.cat="SWINE",48,_xlpm.cat="HOGS",48,_xlpm.cat="RABBIT",40,45),_xlpm.code,IFERROR(VALUE(LEFT($A301,FIND(" ",$A301&amp;" ")-1)),0),_xlpm.v,1+MOD(_xlpm.code,13)/100,ROUND(_xlpm.ppk*_xlpm.wt*_xlpm.v,0)))</f>
        <v>34088</v>
      </c>
      <c r="H301" s="6" cm="1">
        <f t="array" ref="H301">IF(OR($A301="",$L301=""),"",_xlfn.LET(_xlpm.cat,UPPER($E301),_xlpm.base,_xlfn.SWITCH(TRUE,_xlpm.cat="GAMEFOWL",0.22,_xlpm.cat="POULTRY",0.18,_xlpm.cat="SWINE",0.16,_xlpm.cat="HOGS",0.16,_xlpm.cat="RABBIT",0.15,0.17),_xlpm.code,IFERROR(VALUE(LEFT($A301,FIND(" ",$A301&amp;" ")-1)),0),_xlpm.v,MOD(_xlpm.code,9)/1000,MIN(0.3,MAX(0.1,_xlpm.base+_xlpm.v))))</f>
        <v>0.183</v>
      </c>
      <c r="I301" s="5" t="s">
        <v>57</v>
      </c>
      <c r="K301" s="5">
        <v>0</v>
      </c>
      <c r="L301" s="5">
        <v>750</v>
      </c>
      <c r="M301" s="5">
        <v>4</v>
      </c>
      <c r="N301" s="5">
        <v>2</v>
      </c>
      <c r="O301" s="5">
        <v>2</v>
      </c>
      <c r="Q301" s="5" t="s">
        <v>34</v>
      </c>
      <c r="R301" s="5" t="s">
        <v>34</v>
      </c>
      <c r="S301" s="5" t="s">
        <v>34</v>
      </c>
      <c r="T301" s="7" t="s">
        <v>34</v>
      </c>
      <c r="U301" s="5" t="s">
        <v>34</v>
      </c>
      <c r="V301" s="7" t="s">
        <v>34</v>
      </c>
      <c r="W301" s="5" t="s">
        <v>34</v>
      </c>
      <c r="X301" s="5" t="s">
        <v>34</v>
      </c>
      <c r="Y301" s="5" t="s">
        <v>34</v>
      </c>
      <c r="Z301" s="5" t="s">
        <v>34</v>
      </c>
      <c r="AA301" s="5" t="s">
        <v>34</v>
      </c>
      <c r="AB301" s="5" t="s">
        <v>34</v>
      </c>
      <c r="AC301" s="5" t="s">
        <v>34</v>
      </c>
      <c r="AD301" s="5" t="s">
        <v>34</v>
      </c>
    </row>
    <row r="302" spans="1:30" ht="15.55" x14ac:dyDescent="0.3">
      <c r="A302" s="4">
        <v>1000000003693</v>
      </c>
      <c r="B302" s="5" t="s">
        <v>893</v>
      </c>
      <c r="C302" s="4">
        <v>3000000001969</v>
      </c>
      <c r="D302" s="5" t="s">
        <v>894</v>
      </c>
      <c r="E302" s="5" t="s">
        <v>62</v>
      </c>
      <c r="F302" s="5" t="s">
        <v>34</v>
      </c>
      <c r="G302" s="10" cm="1">
        <f t="array" ref="G302">IF(OR($A302="",$L302=""),"",_xlfn.LET(_xlpm.cat,UPPER($E302),_xlpm.wt,IFERROR(VALUE(LEFT($L302,FIND(" ",$L302&amp;" ")-1)),$L302),_xlpm.ppk,_xlfn.SWITCH(TRUE,_xlpm.cat="GAMEFOWL",62,_xlpm.cat="POULTRY",45,_xlpm.cat="SWINE",48,_xlpm.cat="HOGS",48,_xlpm.cat="RABBIT",40,45),_xlpm.code,IFERROR(VALUE(LEFT($A302,FIND(" ",$A302&amp;" ")-1)),0),_xlpm.v,1+MOD(_xlpm.code,13)/100,ROUND(_xlpm.ppk*_xlpm.wt*_xlpm.v,0)))</f>
        <v>34425</v>
      </c>
      <c r="H302" s="6" cm="1">
        <f t="array" ref="H302">IF(OR($A302="",$L302=""),"",_xlfn.LET(_xlpm.cat,UPPER($E302),_xlpm.base,_xlfn.SWITCH(TRUE,_xlpm.cat="GAMEFOWL",0.22,_xlpm.cat="POULTRY",0.18,_xlpm.cat="SWINE",0.16,_xlpm.cat="HOGS",0.16,_xlpm.cat="RABBIT",0.15,0.17),_xlpm.code,IFERROR(VALUE(LEFT($A302,FIND(" ",$A302&amp;" ")-1)),0),_xlpm.v,MOD(_xlpm.code,9)/1000,MIN(0.3,MAX(0.1,_xlpm.base+_xlpm.v))))</f>
        <v>0.184</v>
      </c>
      <c r="I302" s="5" t="s">
        <v>57</v>
      </c>
      <c r="K302" s="5">
        <v>0</v>
      </c>
      <c r="L302" s="5">
        <v>750</v>
      </c>
      <c r="M302" s="5">
        <v>4</v>
      </c>
      <c r="N302" s="5">
        <v>2</v>
      </c>
      <c r="O302" s="5">
        <v>2</v>
      </c>
      <c r="Q302" s="5" t="s">
        <v>34</v>
      </c>
      <c r="R302" s="5" t="s">
        <v>34</v>
      </c>
      <c r="S302" s="5" t="s">
        <v>34</v>
      </c>
      <c r="T302" s="7" t="s">
        <v>34</v>
      </c>
      <c r="U302" s="5" t="s">
        <v>34</v>
      </c>
      <c r="V302" s="7" t="s">
        <v>34</v>
      </c>
      <c r="W302" s="5" t="s">
        <v>34</v>
      </c>
      <c r="X302" s="5" t="s">
        <v>34</v>
      </c>
      <c r="Y302" s="5" t="s">
        <v>34</v>
      </c>
      <c r="Z302" s="5" t="s">
        <v>34</v>
      </c>
      <c r="AA302" s="5" t="s">
        <v>34</v>
      </c>
      <c r="AB302" s="5" t="s">
        <v>34</v>
      </c>
      <c r="AC302" s="5" t="s">
        <v>34</v>
      </c>
      <c r="AD302" s="5" t="s">
        <v>34</v>
      </c>
    </row>
    <row r="303" spans="1:30" ht="15.55" x14ac:dyDescent="0.3">
      <c r="A303" s="4">
        <v>1000000003694</v>
      </c>
      <c r="B303" s="5" t="s">
        <v>895</v>
      </c>
      <c r="C303" s="4">
        <v>3000000001970</v>
      </c>
      <c r="D303" s="5" t="s">
        <v>896</v>
      </c>
      <c r="E303" s="5" t="s">
        <v>62</v>
      </c>
      <c r="F303" s="5" t="s">
        <v>34</v>
      </c>
      <c r="G303" s="10" cm="1">
        <f t="array" ref="G303">IF(OR($A303="",$L303=""),"",_xlfn.LET(_xlpm.cat,UPPER($E303),_xlpm.wt,IFERROR(VALUE(LEFT($L303,FIND(" ",$L303&amp;" ")-1)),$L303),_xlpm.ppk,_xlfn.SWITCH(TRUE,_xlpm.cat="GAMEFOWL",62,_xlpm.cat="POULTRY",45,_xlpm.cat="SWINE",48,_xlpm.cat="HOGS",48,_xlpm.cat="RABBIT",40,45),_xlpm.code,IFERROR(VALUE(LEFT($A303,FIND(" ",$A303&amp;" ")-1)),0),_xlpm.v,1+MOD(_xlpm.code,13)/100,ROUND(_xlpm.ppk*_xlpm.wt*_xlpm.v,0)))</f>
        <v>34763</v>
      </c>
      <c r="H303" s="6" cm="1">
        <f t="array" ref="H303">IF(OR($A303="",$L303=""),"",_xlfn.LET(_xlpm.cat,UPPER($E303),_xlpm.base,_xlfn.SWITCH(TRUE,_xlpm.cat="GAMEFOWL",0.22,_xlpm.cat="POULTRY",0.18,_xlpm.cat="SWINE",0.16,_xlpm.cat="HOGS",0.16,_xlpm.cat="RABBIT",0.15,0.17),_xlpm.code,IFERROR(VALUE(LEFT($A303,FIND(" ",$A303&amp;" ")-1)),0),_xlpm.v,MOD(_xlpm.code,9)/1000,MIN(0.3,MAX(0.1,_xlpm.base+_xlpm.v))))</f>
        <v>0.185</v>
      </c>
      <c r="I303" s="5" t="s">
        <v>57</v>
      </c>
      <c r="K303" s="5">
        <v>0</v>
      </c>
      <c r="L303" s="5">
        <v>750</v>
      </c>
      <c r="M303" s="5">
        <v>4</v>
      </c>
      <c r="N303" s="5">
        <v>2</v>
      </c>
      <c r="O303" s="5">
        <v>2</v>
      </c>
      <c r="Q303" s="5" t="s">
        <v>34</v>
      </c>
      <c r="R303" s="5" t="s">
        <v>34</v>
      </c>
      <c r="S303" s="5" t="s">
        <v>34</v>
      </c>
      <c r="T303" s="7" t="s">
        <v>34</v>
      </c>
      <c r="U303" s="5" t="s">
        <v>34</v>
      </c>
      <c r="V303" s="7" t="s">
        <v>34</v>
      </c>
      <c r="W303" s="5" t="s">
        <v>34</v>
      </c>
      <c r="X303" s="5" t="s">
        <v>34</v>
      </c>
      <c r="Y303" s="5" t="s">
        <v>34</v>
      </c>
      <c r="Z303" s="5" t="s">
        <v>34</v>
      </c>
      <c r="AA303" s="5" t="s">
        <v>34</v>
      </c>
      <c r="AB303" s="5" t="s">
        <v>34</v>
      </c>
      <c r="AC303" s="5" t="s">
        <v>34</v>
      </c>
      <c r="AD303" s="5" t="s">
        <v>34</v>
      </c>
    </row>
    <row r="304" spans="1:30" ht="15.55" x14ac:dyDescent="0.3">
      <c r="A304" s="4">
        <v>1000000003697</v>
      </c>
      <c r="B304" s="5" t="s">
        <v>897</v>
      </c>
      <c r="C304" s="4">
        <v>3000000001981</v>
      </c>
      <c r="D304" s="5" t="s">
        <v>898</v>
      </c>
      <c r="E304" s="5" t="s">
        <v>62</v>
      </c>
      <c r="F304" s="5" t="s">
        <v>63</v>
      </c>
      <c r="G304" s="10" cm="1">
        <f t="array" ref="G304">IF(OR($A304="",$L304=""),"",_xlfn.LET(_xlpm.cat,UPPER($E304),_xlpm.wt,IFERROR(VALUE(LEFT($L304,FIND(" ",$L304&amp;" ")-1)),$L304),_xlpm.ppk,_xlfn.SWITCH(TRUE,_xlpm.cat="GAMEFOWL",62,_xlpm.cat="POULTRY",45,_xlpm.cat="SWINE",48,_xlpm.cat="HOGS",48,_xlpm.cat="RABBIT",40,45),_xlpm.code,IFERROR(VALUE(LEFT($A304,FIND(" ",$A304&amp;" ")-1)),0),_xlpm.v,1+MOD(_xlpm.code,13)/100,ROUND(_xlpm.ppk*_xlpm.wt*_xlpm.v,0)))</f>
        <v>35775</v>
      </c>
      <c r="H304" s="6" cm="1">
        <f t="array" ref="H304">IF(OR($A304="",$L304=""),"",_xlfn.LET(_xlpm.cat,UPPER($E304),_xlpm.base,_xlfn.SWITCH(TRUE,_xlpm.cat="GAMEFOWL",0.22,_xlpm.cat="POULTRY",0.18,_xlpm.cat="SWINE",0.16,_xlpm.cat="HOGS",0.16,_xlpm.cat="RABBIT",0.15,0.17),_xlpm.code,IFERROR(VALUE(LEFT($A304,FIND(" ",$A304&amp;" ")-1)),0),_xlpm.v,MOD(_xlpm.code,9)/1000,MIN(0.3,MAX(0.1,_xlpm.base+_xlpm.v))))</f>
        <v>0.188</v>
      </c>
      <c r="I304" s="5" t="s">
        <v>77</v>
      </c>
      <c r="J304" s="5">
        <v>4</v>
      </c>
      <c r="K304" s="5">
        <v>0.33</v>
      </c>
      <c r="L304" s="5">
        <v>750</v>
      </c>
      <c r="M304" s="5">
        <v>4</v>
      </c>
      <c r="N304" s="5">
        <v>2</v>
      </c>
      <c r="O304" s="5">
        <v>2</v>
      </c>
      <c r="Q304" s="5" t="s">
        <v>34</v>
      </c>
      <c r="R304" s="5" t="s">
        <v>34</v>
      </c>
      <c r="S304" s="5" t="s">
        <v>34</v>
      </c>
      <c r="T304" s="7" t="s">
        <v>34</v>
      </c>
      <c r="U304" s="5" t="s">
        <v>34</v>
      </c>
      <c r="V304" s="7" t="s">
        <v>34</v>
      </c>
      <c r="W304" s="5" t="s">
        <v>34</v>
      </c>
      <c r="X304" s="5" t="s">
        <v>34</v>
      </c>
      <c r="Y304" s="5" t="s">
        <v>34</v>
      </c>
      <c r="Z304" s="5" t="s">
        <v>34</v>
      </c>
      <c r="AA304" s="5" t="s">
        <v>34</v>
      </c>
      <c r="AB304" s="5" t="s">
        <v>34</v>
      </c>
      <c r="AC304" s="5" t="s">
        <v>34</v>
      </c>
      <c r="AD304" s="5" t="s">
        <v>34</v>
      </c>
    </row>
    <row r="305" spans="1:30" ht="15.55" x14ac:dyDescent="0.3">
      <c r="A305" s="4">
        <v>1000000003698</v>
      </c>
      <c r="B305" s="5" t="s">
        <v>899</v>
      </c>
      <c r="C305" s="4">
        <v>3000000001982</v>
      </c>
      <c r="D305" s="5" t="s">
        <v>900</v>
      </c>
      <c r="E305" s="5" t="s">
        <v>62</v>
      </c>
      <c r="F305" s="5" t="s">
        <v>63</v>
      </c>
      <c r="G305" s="10" cm="1">
        <f t="array" ref="G305">IF(OR($A305="",$L305=""),"",_xlfn.LET(_xlpm.cat,UPPER($E305),_xlpm.wt,IFERROR(VALUE(LEFT($L305,FIND(" ",$L305&amp;" ")-1)),$L305),_xlpm.ppk,_xlfn.SWITCH(TRUE,_xlpm.cat="GAMEFOWL",62,_xlpm.cat="POULTRY",45,_xlpm.cat="SWINE",48,_xlpm.cat="HOGS",48,_xlpm.cat="RABBIT",40,45),_xlpm.code,IFERROR(VALUE(LEFT($A305,FIND(" ",$A305&amp;" ")-1)),0),_xlpm.v,1+MOD(_xlpm.code,13)/100,ROUND(_xlpm.ppk*_xlpm.wt*_xlpm.v,0)))</f>
        <v>36113</v>
      </c>
      <c r="H305" s="6" cm="1">
        <f t="array" ref="H305">IF(OR($A305="",$L305=""),"",_xlfn.LET(_xlpm.cat,UPPER($E305),_xlpm.base,_xlfn.SWITCH(TRUE,_xlpm.cat="GAMEFOWL",0.22,_xlpm.cat="POULTRY",0.18,_xlpm.cat="SWINE",0.16,_xlpm.cat="HOGS",0.16,_xlpm.cat="RABBIT",0.15,0.17),_xlpm.code,IFERROR(VALUE(LEFT($A305,FIND(" ",$A305&amp;" ")-1)),0),_xlpm.v,MOD(_xlpm.code,9)/1000,MIN(0.3,MAX(0.1,_xlpm.base+_xlpm.v))))</f>
        <v>0.18</v>
      </c>
      <c r="I305" s="5" t="s">
        <v>77</v>
      </c>
      <c r="J305" s="5">
        <v>4</v>
      </c>
      <c r="K305" s="5">
        <v>0.33</v>
      </c>
      <c r="L305" s="5">
        <v>750</v>
      </c>
      <c r="M305" s="5">
        <v>4</v>
      </c>
      <c r="N305" s="5">
        <v>2</v>
      </c>
      <c r="O305" s="5">
        <v>2</v>
      </c>
      <c r="Q305" s="5" t="s">
        <v>34</v>
      </c>
      <c r="R305" s="5" t="s">
        <v>34</v>
      </c>
      <c r="S305" s="5" t="s">
        <v>34</v>
      </c>
      <c r="T305" s="7" t="s">
        <v>34</v>
      </c>
      <c r="U305" s="5" t="s">
        <v>34</v>
      </c>
      <c r="V305" s="7" t="s">
        <v>34</v>
      </c>
      <c r="W305" s="5" t="s">
        <v>34</v>
      </c>
      <c r="X305" s="5" t="s">
        <v>34</v>
      </c>
      <c r="Y305" s="5" t="s">
        <v>34</v>
      </c>
      <c r="Z305" s="5" t="s">
        <v>34</v>
      </c>
      <c r="AA305" s="5">
        <v>7.4375404958677711</v>
      </c>
      <c r="AB305" s="5" t="s">
        <v>34</v>
      </c>
      <c r="AC305" s="5" t="s">
        <v>34</v>
      </c>
      <c r="AD305" s="5" t="s">
        <v>34</v>
      </c>
    </row>
    <row r="306" spans="1:30" ht="15.55" x14ac:dyDescent="0.3">
      <c r="A306" s="4">
        <v>1000000003699</v>
      </c>
      <c r="B306" s="5" t="s">
        <v>901</v>
      </c>
      <c r="C306" s="4">
        <v>3000000001983</v>
      </c>
      <c r="D306" s="5" t="s">
        <v>902</v>
      </c>
      <c r="E306" s="5" t="s">
        <v>62</v>
      </c>
      <c r="F306" s="5" t="s">
        <v>63</v>
      </c>
      <c r="G306" s="10" cm="1">
        <f t="array" ref="G306">IF(OR($A306="",$L306=""),"",_xlfn.LET(_xlpm.cat,UPPER($E306),_xlpm.wt,IFERROR(VALUE(LEFT($L306,FIND(" ",$L306&amp;" ")-1)),$L306),_xlpm.ppk,_xlfn.SWITCH(TRUE,_xlpm.cat="GAMEFOWL",62,_xlpm.cat="POULTRY",45,_xlpm.cat="SWINE",48,_xlpm.cat="HOGS",48,_xlpm.cat="RABBIT",40,45),_xlpm.code,IFERROR(VALUE(LEFT($A306,FIND(" ",$A306&amp;" ")-1)),0),_xlpm.v,1+MOD(_xlpm.code,13)/100,ROUND(_xlpm.ppk*_xlpm.wt*_xlpm.v,0)))</f>
        <v>36450</v>
      </c>
      <c r="H306" s="6" cm="1">
        <f t="array" ref="H306">IF(OR($A306="",$L306=""),"",_xlfn.LET(_xlpm.cat,UPPER($E306),_xlpm.base,_xlfn.SWITCH(TRUE,_xlpm.cat="GAMEFOWL",0.22,_xlpm.cat="POULTRY",0.18,_xlpm.cat="SWINE",0.16,_xlpm.cat="HOGS",0.16,_xlpm.cat="RABBIT",0.15,0.17),_xlpm.code,IFERROR(VALUE(LEFT($A306,FIND(" ",$A306&amp;" ")-1)),0),_xlpm.v,MOD(_xlpm.code,9)/1000,MIN(0.3,MAX(0.1,_xlpm.base+_xlpm.v))))</f>
        <v>0.18099999999999999</v>
      </c>
      <c r="I306" s="5" t="s">
        <v>77</v>
      </c>
      <c r="J306" s="5">
        <v>4</v>
      </c>
      <c r="K306" s="5">
        <v>0.33</v>
      </c>
      <c r="L306" s="5">
        <v>750</v>
      </c>
      <c r="M306" s="5">
        <v>4</v>
      </c>
      <c r="N306" s="5">
        <v>2</v>
      </c>
      <c r="O306" s="5">
        <v>2</v>
      </c>
      <c r="Q306" s="5" t="s">
        <v>34</v>
      </c>
      <c r="R306" s="5" t="s">
        <v>34</v>
      </c>
      <c r="S306" s="5" t="s">
        <v>903</v>
      </c>
      <c r="T306" s="7" t="s">
        <v>34</v>
      </c>
      <c r="U306" s="5" t="s">
        <v>34</v>
      </c>
      <c r="V306" s="7" t="s">
        <v>34</v>
      </c>
      <c r="W306" s="5" t="s">
        <v>34</v>
      </c>
      <c r="X306" s="5" t="s">
        <v>34</v>
      </c>
      <c r="Y306" s="5" t="s">
        <v>34</v>
      </c>
      <c r="Z306" s="5" t="s">
        <v>34</v>
      </c>
      <c r="AA306" s="5" t="s">
        <v>34</v>
      </c>
      <c r="AB306" s="5" t="s">
        <v>34</v>
      </c>
      <c r="AC306" s="5">
        <v>7.0973553953544828</v>
      </c>
      <c r="AD306" s="5" t="s">
        <v>34</v>
      </c>
    </row>
    <row r="307" spans="1:30" ht="15.55" x14ac:dyDescent="0.3">
      <c r="A307" s="4">
        <v>1000000003738</v>
      </c>
      <c r="B307" s="5" t="s">
        <v>904</v>
      </c>
      <c r="C307" s="4">
        <v>3000000002008</v>
      </c>
      <c r="D307" s="5" t="s">
        <v>905</v>
      </c>
      <c r="E307" s="5" t="s">
        <v>62</v>
      </c>
      <c r="F307" s="5" t="s">
        <v>63</v>
      </c>
      <c r="G307" s="10" cm="1">
        <f t="array" ref="G307">IF(OR($A307="",$L307=""),"",_xlfn.LET(_xlpm.cat,UPPER($E307),_xlpm.wt,IFERROR(VALUE(LEFT($L307,FIND(" ",$L307&amp;" ")-1)),$L307),_xlpm.ppk,_xlfn.SWITCH(TRUE,_xlpm.cat="GAMEFOWL",62,_xlpm.cat="POULTRY",45,_xlpm.cat="SWINE",48,_xlpm.cat="HOGS",48,_xlpm.cat="RABBIT",40,45),_xlpm.code,IFERROR(VALUE(LEFT($A307,FIND(" ",$A307&amp;" ")-1)),0),_xlpm.v,1+MOD(_xlpm.code,13)/100,ROUND(_xlpm.ppk*_xlpm.wt*_xlpm.v,0)))</f>
        <v>36450</v>
      </c>
      <c r="H307" s="6" cm="1">
        <f t="array" ref="H307">IF(OR($A307="",$L307=""),"",_xlfn.LET(_xlpm.cat,UPPER($E307),_xlpm.base,_xlfn.SWITCH(TRUE,_xlpm.cat="GAMEFOWL",0.22,_xlpm.cat="POULTRY",0.18,_xlpm.cat="SWINE",0.16,_xlpm.cat="HOGS",0.16,_xlpm.cat="RABBIT",0.15,0.17),_xlpm.code,IFERROR(VALUE(LEFT($A307,FIND(" ",$A307&amp;" ")-1)),0),_xlpm.v,MOD(_xlpm.code,9)/1000,MIN(0.3,MAX(0.1,_xlpm.base+_xlpm.v))))</f>
        <v>0.184</v>
      </c>
      <c r="I307" s="5" t="s">
        <v>77</v>
      </c>
      <c r="J307" s="5">
        <v>4</v>
      </c>
      <c r="K307" s="5">
        <v>0.33</v>
      </c>
      <c r="L307" s="5">
        <v>750</v>
      </c>
      <c r="M307" s="5">
        <v>4</v>
      </c>
      <c r="N307" s="5">
        <v>2</v>
      </c>
      <c r="O307" s="5">
        <v>2</v>
      </c>
      <c r="Q307" s="5" t="s">
        <v>34</v>
      </c>
      <c r="R307" s="5" t="s">
        <v>34</v>
      </c>
      <c r="S307" s="5" t="s">
        <v>906</v>
      </c>
      <c r="T307" s="7">
        <v>5000000000601</v>
      </c>
      <c r="U307" s="5" t="s">
        <v>307</v>
      </c>
      <c r="V307" s="7" t="s">
        <v>34</v>
      </c>
      <c r="W307" s="5" t="s">
        <v>34</v>
      </c>
      <c r="X307" s="5" t="s">
        <v>34</v>
      </c>
      <c r="Y307" s="5" t="s">
        <v>34</v>
      </c>
      <c r="Z307" s="5" t="s">
        <v>34</v>
      </c>
      <c r="AA307" s="5" t="s">
        <v>34</v>
      </c>
      <c r="AB307" s="5" t="s">
        <v>34</v>
      </c>
      <c r="AC307" s="5">
        <v>7.7720144075829376</v>
      </c>
      <c r="AD307" s="5" t="s">
        <v>34</v>
      </c>
    </row>
    <row r="308" spans="1:30" ht="15.55" x14ac:dyDescent="0.3">
      <c r="A308" s="4">
        <v>1000000003739</v>
      </c>
      <c r="B308" s="5" t="s">
        <v>907</v>
      </c>
      <c r="C308" s="4">
        <v>3000000002010</v>
      </c>
      <c r="D308" s="5" t="s">
        <v>908</v>
      </c>
      <c r="E308" s="5" t="s">
        <v>62</v>
      </c>
      <c r="F308" s="5" t="s">
        <v>63</v>
      </c>
      <c r="G308" s="10" cm="1">
        <f t="array" ref="G308">IF(OR($A308="",$L308=""),"",_xlfn.LET(_xlpm.cat,UPPER($E308),_xlpm.wt,IFERROR(VALUE(LEFT($L308,FIND(" ",$L308&amp;" ")-1)),$L308),_xlpm.ppk,_xlfn.SWITCH(TRUE,_xlpm.cat="GAMEFOWL",62,_xlpm.cat="POULTRY",45,_xlpm.cat="SWINE",48,_xlpm.cat="HOGS",48,_xlpm.cat="RABBIT",40,45),_xlpm.code,IFERROR(VALUE(LEFT($A308,FIND(" ",$A308&amp;" ")-1)),0),_xlpm.v,1+MOD(_xlpm.code,13)/100,ROUND(_xlpm.ppk*_xlpm.wt*_xlpm.v,0)))</f>
        <v>36788</v>
      </c>
      <c r="H308" s="6" cm="1">
        <f t="array" ref="H308">IF(OR($A308="",$L308=""),"",_xlfn.LET(_xlpm.cat,UPPER($E308),_xlpm.base,_xlfn.SWITCH(TRUE,_xlpm.cat="GAMEFOWL",0.22,_xlpm.cat="POULTRY",0.18,_xlpm.cat="SWINE",0.16,_xlpm.cat="HOGS",0.16,_xlpm.cat="RABBIT",0.15,0.17),_xlpm.code,IFERROR(VALUE(LEFT($A308,FIND(" ",$A308&amp;" ")-1)),0),_xlpm.v,MOD(_xlpm.code,9)/1000,MIN(0.3,MAX(0.1,_xlpm.base+_xlpm.v))))</f>
        <v>0.185</v>
      </c>
      <c r="I308" s="5" t="s">
        <v>77</v>
      </c>
      <c r="J308" s="5">
        <v>4</v>
      </c>
      <c r="K308" s="5">
        <v>0.33</v>
      </c>
      <c r="L308" s="5">
        <v>750</v>
      </c>
      <c r="M308" s="5">
        <v>4</v>
      </c>
      <c r="N308" s="5">
        <v>2</v>
      </c>
      <c r="O308" s="5">
        <v>2</v>
      </c>
      <c r="Q308" s="5" t="s">
        <v>34</v>
      </c>
      <c r="R308" s="5" t="s">
        <v>34</v>
      </c>
      <c r="S308" s="5" t="s">
        <v>34</v>
      </c>
      <c r="T308" s="7" t="s">
        <v>34</v>
      </c>
      <c r="U308" s="5" t="s">
        <v>34</v>
      </c>
      <c r="V308" s="7" t="s">
        <v>34</v>
      </c>
      <c r="W308" s="5" t="s">
        <v>34</v>
      </c>
      <c r="X308" s="5" t="s">
        <v>34</v>
      </c>
      <c r="Y308" s="5" t="s">
        <v>34</v>
      </c>
      <c r="Z308" s="5" t="s">
        <v>34</v>
      </c>
      <c r="AA308" s="5" t="s">
        <v>34</v>
      </c>
      <c r="AB308" s="5" t="s">
        <v>34</v>
      </c>
      <c r="AC308" s="5" t="s">
        <v>34</v>
      </c>
      <c r="AD308" s="5" t="s">
        <v>34</v>
      </c>
    </row>
    <row r="309" spans="1:30" ht="15.55" x14ac:dyDescent="0.3">
      <c r="A309" s="4">
        <v>1000000003740</v>
      </c>
      <c r="B309" s="5" t="s">
        <v>909</v>
      </c>
      <c r="C309" s="4">
        <v>3000000002011</v>
      </c>
      <c r="D309" s="5" t="s">
        <v>910</v>
      </c>
      <c r="E309" s="5" t="s">
        <v>62</v>
      </c>
      <c r="F309" s="5" t="s">
        <v>63</v>
      </c>
      <c r="G309" s="10" cm="1">
        <f t="array" ref="G309">IF(OR($A309="",$L309=""),"",_xlfn.LET(_xlpm.cat,UPPER($E309),_xlpm.wt,IFERROR(VALUE(LEFT($L309,FIND(" ",$L309&amp;" ")-1)),$L309),_xlpm.ppk,_xlfn.SWITCH(TRUE,_xlpm.cat="GAMEFOWL",62,_xlpm.cat="POULTRY",45,_xlpm.cat="SWINE",48,_xlpm.cat="HOGS",48,_xlpm.cat="RABBIT",40,45),_xlpm.code,IFERROR(VALUE(LEFT($A309,FIND(" ",$A309&amp;" ")-1)),0),_xlpm.v,1+MOD(_xlpm.code,13)/100,ROUND(_xlpm.ppk*_xlpm.wt*_xlpm.v,0)))</f>
        <v>37125</v>
      </c>
      <c r="H309" s="6" cm="1">
        <f t="array" ref="H309">IF(OR($A309="",$L309=""),"",_xlfn.LET(_xlpm.cat,UPPER($E309),_xlpm.base,_xlfn.SWITCH(TRUE,_xlpm.cat="GAMEFOWL",0.22,_xlpm.cat="POULTRY",0.18,_xlpm.cat="SWINE",0.16,_xlpm.cat="HOGS",0.16,_xlpm.cat="RABBIT",0.15,0.17),_xlpm.code,IFERROR(VALUE(LEFT($A309,FIND(" ",$A309&amp;" ")-1)),0),_xlpm.v,MOD(_xlpm.code,9)/1000,MIN(0.3,MAX(0.1,_xlpm.base+_xlpm.v))))</f>
        <v>0.186</v>
      </c>
      <c r="I309" s="5" t="s">
        <v>77</v>
      </c>
      <c r="J309" s="5">
        <v>4</v>
      </c>
      <c r="K309" s="5">
        <v>0.33</v>
      </c>
      <c r="L309" s="5">
        <v>750</v>
      </c>
      <c r="M309" s="5">
        <v>4</v>
      </c>
      <c r="N309" s="5">
        <v>2</v>
      </c>
      <c r="O309" s="5">
        <v>2</v>
      </c>
      <c r="Q309" s="5" t="s">
        <v>34</v>
      </c>
      <c r="R309" s="5" t="s">
        <v>34</v>
      </c>
      <c r="S309" s="5" t="s">
        <v>911</v>
      </c>
      <c r="T309" s="7" t="s">
        <v>34</v>
      </c>
      <c r="U309" s="5" t="s">
        <v>34</v>
      </c>
      <c r="V309" s="7" t="s">
        <v>34</v>
      </c>
      <c r="W309" s="5" t="s">
        <v>34</v>
      </c>
      <c r="X309" s="5" t="s">
        <v>34</v>
      </c>
      <c r="Y309" s="5" t="s">
        <v>34</v>
      </c>
      <c r="Z309" s="5" t="s">
        <v>34</v>
      </c>
      <c r="AA309" s="5" t="s">
        <v>34</v>
      </c>
      <c r="AB309" s="5" t="s">
        <v>34</v>
      </c>
      <c r="AC309" s="5">
        <v>7.7595277988783158</v>
      </c>
      <c r="AD309" s="5" t="s">
        <v>34</v>
      </c>
    </row>
    <row r="310" spans="1:30" ht="15.55" x14ac:dyDescent="0.3">
      <c r="A310" s="4">
        <v>1000000003741</v>
      </c>
      <c r="B310" s="5" t="s">
        <v>912</v>
      </c>
      <c r="C310" s="4">
        <v>3000000002012</v>
      </c>
      <c r="D310" s="5" t="s">
        <v>913</v>
      </c>
      <c r="E310" s="5" t="s">
        <v>62</v>
      </c>
      <c r="F310" s="5" t="s">
        <v>63</v>
      </c>
      <c r="G310" s="10" cm="1">
        <f t="array" ref="G310">IF(OR($A310="",$L310=""),"",_xlfn.LET(_xlpm.cat,UPPER($E310),_xlpm.wt,IFERROR(VALUE(LEFT($L310,FIND(" ",$L310&amp;" ")-1)),$L310),_xlpm.ppk,_xlfn.SWITCH(TRUE,_xlpm.cat="GAMEFOWL",62,_xlpm.cat="POULTRY",45,_xlpm.cat="SWINE",48,_xlpm.cat="HOGS",48,_xlpm.cat="RABBIT",40,45),_xlpm.code,IFERROR(VALUE(LEFT($A310,FIND(" ",$A310&amp;" ")-1)),0),_xlpm.v,1+MOD(_xlpm.code,13)/100,ROUND(_xlpm.ppk*_xlpm.wt*_xlpm.v,0)))</f>
        <v>37463</v>
      </c>
      <c r="H310" s="6" cm="1">
        <f t="array" ref="H310">IF(OR($A310="",$L310=""),"",_xlfn.LET(_xlpm.cat,UPPER($E310),_xlpm.base,_xlfn.SWITCH(TRUE,_xlpm.cat="GAMEFOWL",0.22,_xlpm.cat="POULTRY",0.18,_xlpm.cat="SWINE",0.16,_xlpm.cat="HOGS",0.16,_xlpm.cat="RABBIT",0.15,0.17),_xlpm.code,IFERROR(VALUE(LEFT($A310,FIND(" ",$A310&amp;" ")-1)),0),_xlpm.v,MOD(_xlpm.code,9)/1000,MIN(0.3,MAX(0.1,_xlpm.base+_xlpm.v))))</f>
        <v>0.187</v>
      </c>
      <c r="I310" s="5" t="s">
        <v>77</v>
      </c>
      <c r="J310" s="5">
        <v>4</v>
      </c>
      <c r="K310" s="5">
        <v>0.33</v>
      </c>
      <c r="L310" s="5">
        <v>750</v>
      </c>
      <c r="M310" s="5">
        <v>4</v>
      </c>
      <c r="N310" s="5">
        <v>2</v>
      </c>
      <c r="O310" s="5">
        <v>2</v>
      </c>
      <c r="Q310" s="5" t="s">
        <v>34</v>
      </c>
      <c r="R310" s="5" t="s">
        <v>34</v>
      </c>
      <c r="S310" s="5" t="s">
        <v>914</v>
      </c>
      <c r="T310" s="7">
        <v>5000000000601</v>
      </c>
      <c r="U310" s="5" t="s">
        <v>307</v>
      </c>
      <c r="V310" s="7" t="s">
        <v>34</v>
      </c>
      <c r="W310" s="5" t="s">
        <v>34</v>
      </c>
      <c r="X310" s="5" t="s">
        <v>34</v>
      </c>
      <c r="Y310" s="5" t="s">
        <v>34</v>
      </c>
      <c r="Z310" s="5" t="s">
        <v>34</v>
      </c>
      <c r="AA310" s="5" t="s">
        <v>34</v>
      </c>
      <c r="AB310" s="5" t="s">
        <v>34</v>
      </c>
      <c r="AC310" s="5">
        <v>8.2048942080000007</v>
      </c>
      <c r="AD310" s="5" t="s">
        <v>34</v>
      </c>
    </row>
    <row r="311" spans="1:30" ht="15.55" x14ac:dyDescent="0.3">
      <c r="A311" s="4">
        <v>1000000003742</v>
      </c>
      <c r="B311" s="5" t="s">
        <v>915</v>
      </c>
      <c r="C311" s="4">
        <v>3000000002013</v>
      </c>
      <c r="D311" s="5" t="s">
        <v>916</v>
      </c>
      <c r="E311" s="5" t="s">
        <v>62</v>
      </c>
      <c r="F311" s="5" t="s">
        <v>63</v>
      </c>
      <c r="G311" s="10" cm="1">
        <f t="array" ref="G311">IF(OR($A311="",$L311=""),"",_xlfn.LET(_xlpm.cat,UPPER($E311),_xlpm.wt,IFERROR(VALUE(LEFT($L311,FIND(" ",$L311&amp;" ")-1)),$L311),_xlpm.ppk,_xlfn.SWITCH(TRUE,_xlpm.cat="GAMEFOWL",62,_xlpm.cat="POULTRY",45,_xlpm.cat="SWINE",48,_xlpm.cat="HOGS",48,_xlpm.cat="RABBIT",40,45),_xlpm.code,IFERROR(VALUE(LEFT($A311,FIND(" ",$A311&amp;" ")-1)),0),_xlpm.v,1+MOD(_xlpm.code,13)/100,ROUND(_xlpm.ppk*_xlpm.wt*_xlpm.v,0)))</f>
        <v>37800</v>
      </c>
      <c r="H311" s="6" cm="1">
        <f t="array" ref="H311">IF(OR($A311="",$L311=""),"",_xlfn.LET(_xlpm.cat,UPPER($E311),_xlpm.base,_xlfn.SWITCH(TRUE,_xlpm.cat="GAMEFOWL",0.22,_xlpm.cat="POULTRY",0.18,_xlpm.cat="SWINE",0.16,_xlpm.cat="HOGS",0.16,_xlpm.cat="RABBIT",0.15,0.17),_xlpm.code,IFERROR(VALUE(LEFT($A311,FIND(" ",$A311&amp;" ")-1)),0),_xlpm.v,MOD(_xlpm.code,9)/1000,MIN(0.3,MAX(0.1,_xlpm.base+_xlpm.v))))</f>
        <v>0.188</v>
      </c>
      <c r="I311" s="5" t="s">
        <v>77</v>
      </c>
      <c r="J311" s="5">
        <v>4</v>
      </c>
      <c r="K311" s="5">
        <v>0.33</v>
      </c>
      <c r="L311" s="5">
        <v>750</v>
      </c>
      <c r="M311" s="5">
        <v>4</v>
      </c>
      <c r="N311" s="5">
        <v>2</v>
      </c>
      <c r="O311" s="5">
        <v>2</v>
      </c>
      <c r="Q311" s="5" t="s">
        <v>34</v>
      </c>
      <c r="R311" s="5" t="s">
        <v>34</v>
      </c>
      <c r="S311" s="5" t="s">
        <v>34</v>
      </c>
      <c r="T311" s="7" t="s">
        <v>34</v>
      </c>
      <c r="U311" s="5" t="s">
        <v>34</v>
      </c>
      <c r="V311" s="7" t="s">
        <v>34</v>
      </c>
      <c r="W311" s="5" t="s">
        <v>34</v>
      </c>
      <c r="X311" s="5" t="s">
        <v>34</v>
      </c>
      <c r="Y311" s="5" t="s">
        <v>34</v>
      </c>
      <c r="Z311" s="5" t="s">
        <v>34</v>
      </c>
      <c r="AA311" s="5" t="s">
        <v>34</v>
      </c>
      <c r="AB311" s="5" t="s">
        <v>34</v>
      </c>
      <c r="AC311" s="5" t="s">
        <v>34</v>
      </c>
      <c r="AD311" s="5" t="s">
        <v>34</v>
      </c>
    </row>
    <row r="312" spans="1:30" ht="15.55" x14ac:dyDescent="0.3">
      <c r="A312" s="4">
        <v>1000000003821</v>
      </c>
      <c r="B312" s="5" t="s">
        <v>917</v>
      </c>
      <c r="C312" s="4">
        <v>3000000002062</v>
      </c>
      <c r="D312" s="5" t="s">
        <v>918</v>
      </c>
      <c r="E312" s="5" t="s">
        <v>62</v>
      </c>
      <c r="F312" s="5" t="s">
        <v>63</v>
      </c>
      <c r="G312" s="10" cm="1">
        <f t="array" ref="G312">IF(OR($A312="",$L312=""),"",_xlfn.LET(_xlpm.cat,UPPER($E312),_xlpm.wt,IFERROR(VALUE(LEFT($L312,FIND(" ",$L312&amp;" ")-1)),$L312),_xlpm.ppk,_xlfn.SWITCH(TRUE,_xlpm.cat="GAMEFOWL",62,_xlpm.cat="POULTRY",45,_xlpm.cat="SWINE",48,_xlpm.cat="HOGS",48,_xlpm.cat="RABBIT",40,45),_xlpm.code,IFERROR(VALUE(LEFT($A312,FIND(" ",$A312&amp;" ")-1)),0),_xlpm.v,1+MOD(_xlpm.code,13)/100,ROUND(_xlpm.ppk*_xlpm.wt*_xlpm.v,0)))</f>
        <v>2250</v>
      </c>
      <c r="H312" s="6" cm="1">
        <f t="array" ref="H312">IF(OR($A312="",$L312=""),"",_xlfn.LET(_xlpm.cat,UPPER($E312),_xlpm.base,_xlfn.SWITCH(TRUE,_xlpm.cat="GAMEFOWL",0.22,_xlpm.cat="POULTRY",0.18,_xlpm.cat="SWINE",0.16,_xlpm.cat="HOGS",0.16,_xlpm.cat="RABBIT",0.15,0.17),_xlpm.code,IFERROR(VALUE(LEFT($A312,FIND(" ",$A312&amp;" ")-1)),0),_xlpm.v,MOD(_xlpm.code,9)/1000,MIN(0.3,MAX(0.1,_xlpm.base+_xlpm.v))))</f>
        <v>0.186</v>
      </c>
      <c r="I312" s="5" t="s">
        <v>64</v>
      </c>
      <c r="J312" s="5">
        <v>4</v>
      </c>
      <c r="K312" s="5">
        <v>0.33</v>
      </c>
      <c r="L312" s="5">
        <v>50</v>
      </c>
      <c r="M312" s="5">
        <v>4</v>
      </c>
      <c r="N312" s="5">
        <v>2</v>
      </c>
      <c r="O312" s="5">
        <v>2</v>
      </c>
      <c r="Q312" s="5" t="s">
        <v>34</v>
      </c>
      <c r="R312" s="5" t="s">
        <v>34</v>
      </c>
      <c r="S312" s="5" t="s">
        <v>34</v>
      </c>
      <c r="T312" s="7" t="s">
        <v>34</v>
      </c>
      <c r="U312" s="5" t="s">
        <v>34</v>
      </c>
      <c r="V312" s="7" t="s">
        <v>34</v>
      </c>
      <c r="W312" s="5" t="s">
        <v>34</v>
      </c>
      <c r="X312" s="5" t="s">
        <v>34</v>
      </c>
      <c r="Y312" s="5" t="s">
        <v>34</v>
      </c>
      <c r="Z312" s="5" t="s">
        <v>34</v>
      </c>
      <c r="AA312" s="5" t="s">
        <v>34</v>
      </c>
      <c r="AB312" s="5" t="s">
        <v>34</v>
      </c>
      <c r="AC312" s="5" t="s">
        <v>34</v>
      </c>
      <c r="AD312" s="5" t="s">
        <v>34</v>
      </c>
    </row>
    <row r="313" spans="1:30" ht="15.55" x14ac:dyDescent="0.3">
      <c r="A313" s="4">
        <v>1000000003822</v>
      </c>
      <c r="B313" s="5" t="s">
        <v>919</v>
      </c>
      <c r="C313" s="4">
        <v>3000000002063</v>
      </c>
      <c r="D313" s="5" t="s">
        <v>920</v>
      </c>
      <c r="E313" s="5" t="s">
        <v>62</v>
      </c>
      <c r="F313" s="5" t="s">
        <v>63</v>
      </c>
      <c r="G313" s="10" cm="1">
        <f t="array" ref="G313">IF(OR($A313="",$L313=""),"",_xlfn.LET(_xlpm.cat,UPPER($E313),_xlpm.wt,IFERROR(VALUE(LEFT($L313,FIND(" ",$L313&amp;" ")-1)),$L313),_xlpm.ppk,_xlfn.SWITCH(TRUE,_xlpm.cat="GAMEFOWL",62,_xlpm.cat="POULTRY",45,_xlpm.cat="SWINE",48,_xlpm.cat="HOGS",48,_xlpm.cat="RABBIT",40,45),_xlpm.code,IFERROR(VALUE(LEFT($A313,FIND(" ",$A313&amp;" ")-1)),0),_xlpm.v,1+MOD(_xlpm.code,13)/100,ROUND(_xlpm.ppk*_xlpm.wt*_xlpm.v,0)))</f>
        <v>2273</v>
      </c>
      <c r="H313" s="6" cm="1">
        <f t="array" ref="H313">IF(OR($A313="",$L313=""),"",_xlfn.LET(_xlpm.cat,UPPER($E313),_xlpm.base,_xlfn.SWITCH(TRUE,_xlpm.cat="GAMEFOWL",0.22,_xlpm.cat="POULTRY",0.18,_xlpm.cat="SWINE",0.16,_xlpm.cat="HOGS",0.16,_xlpm.cat="RABBIT",0.15,0.17),_xlpm.code,IFERROR(VALUE(LEFT($A313,FIND(" ",$A313&amp;" ")-1)),0),_xlpm.v,MOD(_xlpm.code,9)/1000,MIN(0.3,MAX(0.1,_xlpm.base+_xlpm.v))))</f>
        <v>0.187</v>
      </c>
      <c r="I313" s="5" t="s">
        <v>139</v>
      </c>
      <c r="J313" s="5">
        <v>3</v>
      </c>
      <c r="K313" s="5">
        <v>0.17</v>
      </c>
      <c r="L313" s="5">
        <v>50</v>
      </c>
      <c r="M313" s="5">
        <v>3</v>
      </c>
      <c r="N313" s="5">
        <v>2</v>
      </c>
      <c r="O313" s="5">
        <v>2</v>
      </c>
      <c r="Q313" s="5" t="s">
        <v>34</v>
      </c>
      <c r="R313" s="5" t="s">
        <v>34</v>
      </c>
      <c r="S313" s="5" t="s">
        <v>34</v>
      </c>
      <c r="T313" s="7" t="s">
        <v>34</v>
      </c>
      <c r="U313" s="5" t="s">
        <v>34</v>
      </c>
      <c r="V313" s="7" t="s">
        <v>34</v>
      </c>
      <c r="W313" s="5" t="s">
        <v>34</v>
      </c>
      <c r="X313" s="5" t="s">
        <v>34</v>
      </c>
      <c r="Y313" s="5" t="s">
        <v>34</v>
      </c>
      <c r="Z313" s="5" t="s">
        <v>34</v>
      </c>
      <c r="AA313" s="5" t="s">
        <v>34</v>
      </c>
      <c r="AB313" s="5" t="s">
        <v>34</v>
      </c>
      <c r="AC313" s="5" t="s">
        <v>34</v>
      </c>
      <c r="AD313" s="5" t="s">
        <v>34</v>
      </c>
    </row>
    <row r="314" spans="1:30" ht="15.55" x14ac:dyDescent="0.3">
      <c r="A314" s="4">
        <v>1000000003823</v>
      </c>
      <c r="B314" s="5" t="s">
        <v>921</v>
      </c>
      <c r="C314" s="4">
        <v>3000000002064</v>
      </c>
      <c r="D314" s="5" t="s">
        <v>922</v>
      </c>
      <c r="E314" s="5" t="s">
        <v>62</v>
      </c>
      <c r="F314" s="5" t="s">
        <v>63</v>
      </c>
      <c r="G314" s="10" cm="1">
        <f t="array" ref="G314">IF(OR($A314="",$L314=""),"",_xlfn.LET(_xlpm.cat,UPPER($E314),_xlpm.wt,IFERROR(VALUE(LEFT($L314,FIND(" ",$L314&amp;" ")-1)),$L314),_xlpm.ppk,_xlfn.SWITCH(TRUE,_xlpm.cat="GAMEFOWL",62,_xlpm.cat="POULTRY",45,_xlpm.cat="SWINE",48,_xlpm.cat="HOGS",48,_xlpm.cat="RABBIT",40,45),_xlpm.code,IFERROR(VALUE(LEFT($A314,FIND(" ",$A314&amp;" ")-1)),0),_xlpm.v,1+MOD(_xlpm.code,13)/100,ROUND(_xlpm.ppk*_xlpm.wt*_xlpm.v,0)))</f>
        <v>2295</v>
      </c>
      <c r="H314" s="6" cm="1">
        <f t="array" ref="H314">IF(OR($A314="",$L314=""),"",_xlfn.LET(_xlpm.cat,UPPER($E314),_xlpm.base,_xlfn.SWITCH(TRUE,_xlpm.cat="GAMEFOWL",0.22,_xlpm.cat="POULTRY",0.18,_xlpm.cat="SWINE",0.16,_xlpm.cat="HOGS",0.16,_xlpm.cat="RABBIT",0.15,0.17),_xlpm.code,IFERROR(VALUE(LEFT($A314,FIND(" ",$A314&amp;" ")-1)),0),_xlpm.v,MOD(_xlpm.code,9)/1000,MIN(0.3,MAX(0.1,_xlpm.base+_xlpm.v))))</f>
        <v>0.188</v>
      </c>
      <c r="I314" s="5" t="s">
        <v>33</v>
      </c>
      <c r="J314" s="5">
        <v>4</v>
      </c>
      <c r="K314" s="5">
        <v>0.17</v>
      </c>
      <c r="L314" s="5">
        <v>50</v>
      </c>
      <c r="M314" s="5">
        <v>4</v>
      </c>
      <c r="N314" s="5">
        <v>2</v>
      </c>
      <c r="O314" s="5">
        <v>2</v>
      </c>
      <c r="Q314" s="5" t="s">
        <v>34</v>
      </c>
      <c r="R314" s="5" t="s">
        <v>34</v>
      </c>
      <c r="S314" s="5" t="s">
        <v>34</v>
      </c>
      <c r="T314" s="7" t="s">
        <v>34</v>
      </c>
      <c r="U314" s="5" t="s">
        <v>34</v>
      </c>
      <c r="V314" s="7" t="s">
        <v>34</v>
      </c>
      <c r="W314" s="5" t="s">
        <v>34</v>
      </c>
      <c r="X314" s="5" t="s">
        <v>34</v>
      </c>
      <c r="Y314" s="5" t="s">
        <v>34</v>
      </c>
      <c r="Z314" s="5" t="s">
        <v>34</v>
      </c>
      <c r="AA314" s="5" t="s">
        <v>34</v>
      </c>
      <c r="AB314" s="5" t="s">
        <v>34</v>
      </c>
      <c r="AC314" s="5" t="s">
        <v>34</v>
      </c>
      <c r="AD314" s="5" t="s">
        <v>34</v>
      </c>
    </row>
    <row r="315" spans="1:30" ht="15.55" x14ac:dyDescent="0.3">
      <c r="A315" s="4">
        <v>1000000003824</v>
      </c>
      <c r="B315" s="5" t="s">
        <v>923</v>
      </c>
      <c r="C315" s="4">
        <v>3000000002065</v>
      </c>
      <c r="D315" s="5" t="s">
        <v>924</v>
      </c>
      <c r="E315" s="5" t="s">
        <v>62</v>
      </c>
      <c r="F315" s="5" t="s">
        <v>63</v>
      </c>
      <c r="G315" s="10" cm="1">
        <f t="array" ref="G315">IF(OR($A315="",$L315=""),"",_xlfn.LET(_xlpm.cat,UPPER($E315),_xlpm.wt,IFERROR(VALUE(LEFT($L315,FIND(" ",$L315&amp;" ")-1)),$L315),_xlpm.ppk,_xlfn.SWITCH(TRUE,_xlpm.cat="GAMEFOWL",62,_xlpm.cat="POULTRY",45,_xlpm.cat="SWINE",48,_xlpm.cat="HOGS",48,_xlpm.cat="RABBIT",40,45),_xlpm.code,IFERROR(VALUE(LEFT($A315,FIND(" ",$A315&amp;" ")-1)),0),_xlpm.v,1+MOD(_xlpm.code,13)/100,ROUND(_xlpm.ppk*_xlpm.wt*_xlpm.v,0)))</f>
        <v>2318</v>
      </c>
      <c r="H315" s="6" cm="1">
        <f t="array" ref="H315">IF(OR($A315="",$L315=""),"",_xlfn.LET(_xlpm.cat,UPPER($E315),_xlpm.base,_xlfn.SWITCH(TRUE,_xlpm.cat="GAMEFOWL",0.22,_xlpm.cat="POULTRY",0.18,_xlpm.cat="SWINE",0.16,_xlpm.cat="HOGS",0.16,_xlpm.cat="RABBIT",0.15,0.17),_xlpm.code,IFERROR(VALUE(LEFT($A315,FIND(" ",$A315&amp;" ")-1)),0),_xlpm.v,MOD(_xlpm.code,9)/1000,MIN(0.3,MAX(0.1,_xlpm.base+_xlpm.v))))</f>
        <v>0.18</v>
      </c>
      <c r="I315" s="5" t="s">
        <v>33</v>
      </c>
      <c r="J315" s="5">
        <v>4</v>
      </c>
      <c r="K315" s="5">
        <v>0.17</v>
      </c>
      <c r="L315" s="5">
        <v>50</v>
      </c>
      <c r="M315" s="5">
        <v>4</v>
      </c>
      <c r="N315" s="5">
        <v>2</v>
      </c>
      <c r="O315" s="5">
        <v>2</v>
      </c>
      <c r="Q315" s="5" t="s">
        <v>34</v>
      </c>
      <c r="R315" s="5" t="s">
        <v>34</v>
      </c>
      <c r="S315" s="5" t="s">
        <v>34</v>
      </c>
      <c r="T315" s="7" t="s">
        <v>34</v>
      </c>
      <c r="U315" s="5" t="s">
        <v>34</v>
      </c>
      <c r="V315" s="7" t="s">
        <v>34</v>
      </c>
      <c r="W315" s="5" t="s">
        <v>34</v>
      </c>
      <c r="X315" s="5" t="s">
        <v>34</v>
      </c>
      <c r="Y315" s="5" t="s">
        <v>34</v>
      </c>
      <c r="Z315" s="5" t="s">
        <v>34</v>
      </c>
      <c r="AA315" s="5" t="s">
        <v>34</v>
      </c>
      <c r="AB315" s="5" t="s">
        <v>34</v>
      </c>
      <c r="AC315" s="5" t="s">
        <v>34</v>
      </c>
      <c r="AD315" s="5" t="s">
        <v>34</v>
      </c>
    </row>
    <row r="316" spans="1:30" ht="15.55" x14ac:dyDescent="0.3">
      <c r="A316" s="4">
        <v>1000000003883</v>
      </c>
      <c r="B316" s="5" t="s">
        <v>925</v>
      </c>
      <c r="C316" s="4">
        <v>3000000002075</v>
      </c>
      <c r="D316" s="5" t="s">
        <v>926</v>
      </c>
      <c r="E316" s="5" t="s">
        <v>62</v>
      </c>
      <c r="F316" s="5" t="s">
        <v>63</v>
      </c>
      <c r="G316" s="10" cm="1">
        <f t="array" ref="G316">IF(OR($A316="",$L316=""),"",_xlfn.LET(_xlpm.cat,UPPER($E316),_xlpm.wt,IFERROR(VALUE(LEFT($L316,FIND(" ",$L316&amp;" ")-1)),$L316),_xlpm.ppk,_xlfn.SWITCH(TRUE,_xlpm.cat="GAMEFOWL",62,_xlpm.cat="POULTRY",45,_xlpm.cat="SWINE",48,_xlpm.cat="HOGS",48,_xlpm.cat="RABBIT",40,45),_xlpm.code,IFERROR(VALUE(LEFT($A316,FIND(" ",$A316&amp;" ")-1)),0),_xlpm.v,1+MOD(_xlpm.code,13)/100,ROUND(_xlpm.ppk*_xlpm.wt*_xlpm.v,0)))</f>
        <v>2475</v>
      </c>
      <c r="H316" s="6" cm="1">
        <f t="array" ref="H316">IF(OR($A316="",$L316=""),"",_xlfn.LET(_xlpm.cat,UPPER($E316),_xlpm.base,_xlfn.SWITCH(TRUE,_xlpm.cat="GAMEFOWL",0.22,_xlpm.cat="POULTRY",0.18,_xlpm.cat="SWINE",0.16,_xlpm.cat="HOGS",0.16,_xlpm.cat="RABBIT",0.15,0.17),_xlpm.code,IFERROR(VALUE(LEFT($A316,FIND(" ",$A316&amp;" ")-1)),0),_xlpm.v,MOD(_xlpm.code,9)/1000,MIN(0.3,MAX(0.1,_xlpm.base+_xlpm.v))))</f>
        <v>0.185</v>
      </c>
      <c r="I316" s="5" t="s">
        <v>64</v>
      </c>
      <c r="J316" s="5">
        <v>4</v>
      </c>
      <c r="K316" s="5">
        <v>0.33</v>
      </c>
      <c r="L316" s="5">
        <v>50</v>
      </c>
      <c r="M316" s="5">
        <v>4</v>
      </c>
      <c r="N316" s="5">
        <v>2</v>
      </c>
      <c r="O316" s="5">
        <v>2</v>
      </c>
      <c r="Q316" s="5" t="s">
        <v>34</v>
      </c>
      <c r="R316" s="5" t="s">
        <v>34</v>
      </c>
      <c r="S316" s="5" t="s">
        <v>34</v>
      </c>
      <c r="T316" s="7" t="s">
        <v>34</v>
      </c>
      <c r="U316" s="5" t="s">
        <v>34</v>
      </c>
      <c r="V316" s="7" t="s">
        <v>34</v>
      </c>
      <c r="W316" s="5" t="s">
        <v>34</v>
      </c>
      <c r="X316" s="5" t="s">
        <v>34</v>
      </c>
      <c r="Y316" s="5" t="s">
        <v>34</v>
      </c>
      <c r="Z316" s="5" t="s">
        <v>34</v>
      </c>
      <c r="AA316" s="5" t="s">
        <v>34</v>
      </c>
      <c r="AB316" s="5" t="s">
        <v>34</v>
      </c>
      <c r="AC316" s="5" t="s">
        <v>34</v>
      </c>
      <c r="AD316" s="5" t="s">
        <v>34</v>
      </c>
    </row>
    <row r="317" spans="1:30" ht="15.55" x14ac:dyDescent="0.3">
      <c r="A317" s="4">
        <v>1000000003884</v>
      </c>
      <c r="B317" s="5" t="s">
        <v>927</v>
      </c>
      <c r="C317" s="4">
        <v>3000000002076</v>
      </c>
      <c r="D317" s="5" t="s">
        <v>928</v>
      </c>
      <c r="E317" s="5" t="s">
        <v>62</v>
      </c>
      <c r="F317" s="5" t="s">
        <v>63</v>
      </c>
      <c r="G317" s="10" cm="1">
        <f t="array" ref="G317">IF(OR($A317="",$L317=""),"",_xlfn.LET(_xlpm.cat,UPPER($E317),_xlpm.wt,IFERROR(VALUE(LEFT($L317,FIND(" ",$L317&amp;" ")-1)),$L317),_xlpm.ppk,_xlfn.SWITCH(TRUE,_xlpm.cat="GAMEFOWL",62,_xlpm.cat="POULTRY",45,_xlpm.cat="SWINE",48,_xlpm.cat="HOGS",48,_xlpm.cat="RABBIT",40,45),_xlpm.code,IFERROR(VALUE(LEFT($A317,FIND(" ",$A317&amp;" ")-1)),0),_xlpm.v,1+MOD(_xlpm.code,13)/100,ROUND(_xlpm.ppk*_xlpm.wt*_xlpm.v,0)))</f>
        <v>2498</v>
      </c>
      <c r="H317" s="6" cm="1">
        <f t="array" ref="H317">IF(OR($A317="",$L317=""),"",_xlfn.LET(_xlpm.cat,UPPER($E317),_xlpm.base,_xlfn.SWITCH(TRUE,_xlpm.cat="GAMEFOWL",0.22,_xlpm.cat="POULTRY",0.18,_xlpm.cat="SWINE",0.16,_xlpm.cat="HOGS",0.16,_xlpm.cat="RABBIT",0.15,0.17),_xlpm.code,IFERROR(VALUE(LEFT($A317,FIND(" ",$A317&amp;" ")-1)),0),_xlpm.v,MOD(_xlpm.code,9)/1000,MIN(0.3,MAX(0.1,_xlpm.base+_xlpm.v))))</f>
        <v>0.186</v>
      </c>
      <c r="I317" s="5" t="s">
        <v>64</v>
      </c>
      <c r="J317" s="5">
        <v>4</v>
      </c>
      <c r="K317" s="5">
        <v>0.33</v>
      </c>
      <c r="L317" s="5">
        <v>50</v>
      </c>
      <c r="M317" s="5">
        <v>4</v>
      </c>
      <c r="N317" s="5">
        <v>2</v>
      </c>
      <c r="O317" s="5">
        <v>2</v>
      </c>
      <c r="Q317" s="5" t="s">
        <v>34</v>
      </c>
      <c r="R317" s="5" t="s">
        <v>34</v>
      </c>
      <c r="S317" s="5" t="s">
        <v>34</v>
      </c>
      <c r="T317" s="7" t="s">
        <v>34</v>
      </c>
      <c r="U317" s="5" t="s">
        <v>34</v>
      </c>
      <c r="V317" s="7" t="s">
        <v>34</v>
      </c>
      <c r="W317" s="5" t="s">
        <v>34</v>
      </c>
      <c r="X317" s="5" t="s">
        <v>34</v>
      </c>
      <c r="Y317" s="5" t="s">
        <v>34</v>
      </c>
      <c r="Z317" s="5" t="s">
        <v>34</v>
      </c>
      <c r="AA317" s="5" t="s">
        <v>34</v>
      </c>
      <c r="AB317" s="5" t="s">
        <v>34</v>
      </c>
      <c r="AC317" s="5" t="s">
        <v>34</v>
      </c>
      <c r="AD317" s="5" t="s">
        <v>34</v>
      </c>
    </row>
    <row r="318" spans="1:30" ht="15.55" x14ac:dyDescent="0.3">
      <c r="A318" s="4">
        <v>1000000003885</v>
      </c>
      <c r="B318" s="5" t="s">
        <v>929</v>
      </c>
      <c r="C318" s="4">
        <v>3000000002077</v>
      </c>
      <c r="D318" s="5" t="s">
        <v>930</v>
      </c>
      <c r="E318" s="5" t="s">
        <v>62</v>
      </c>
      <c r="F318" s="5" t="s">
        <v>63</v>
      </c>
      <c r="G318" s="10" cm="1">
        <f t="array" ref="G318">IF(OR($A318="",$L318=""),"",_xlfn.LET(_xlpm.cat,UPPER($E318),_xlpm.wt,IFERROR(VALUE(LEFT($L318,FIND(" ",$L318&amp;" ")-1)),$L318),_xlpm.ppk,_xlfn.SWITCH(TRUE,_xlpm.cat="GAMEFOWL",62,_xlpm.cat="POULTRY",45,_xlpm.cat="SWINE",48,_xlpm.cat="HOGS",48,_xlpm.cat="RABBIT",40,45),_xlpm.code,IFERROR(VALUE(LEFT($A318,FIND(" ",$A318&amp;" ")-1)),0),_xlpm.v,1+MOD(_xlpm.code,13)/100,ROUND(_xlpm.ppk*_xlpm.wt*_xlpm.v,0)))</f>
        <v>2520</v>
      </c>
      <c r="H318" s="6" cm="1">
        <f t="array" ref="H318">IF(OR($A318="",$L318=""),"",_xlfn.LET(_xlpm.cat,UPPER($E318),_xlpm.base,_xlfn.SWITCH(TRUE,_xlpm.cat="GAMEFOWL",0.22,_xlpm.cat="POULTRY",0.18,_xlpm.cat="SWINE",0.16,_xlpm.cat="HOGS",0.16,_xlpm.cat="RABBIT",0.15,0.17),_xlpm.code,IFERROR(VALUE(LEFT($A318,FIND(" ",$A318&amp;" ")-1)),0),_xlpm.v,MOD(_xlpm.code,9)/1000,MIN(0.3,MAX(0.1,_xlpm.base+_xlpm.v))))</f>
        <v>0.187</v>
      </c>
      <c r="I318" s="5" t="s">
        <v>106</v>
      </c>
      <c r="J318" s="5">
        <v>4</v>
      </c>
      <c r="K318" s="5">
        <v>0.33</v>
      </c>
      <c r="L318" s="5">
        <v>50</v>
      </c>
      <c r="M318" s="5">
        <v>4</v>
      </c>
      <c r="N318" s="5">
        <v>2</v>
      </c>
      <c r="O318" s="5">
        <v>2</v>
      </c>
      <c r="Q318" s="5" t="s">
        <v>34</v>
      </c>
      <c r="R318" s="5" t="s">
        <v>34</v>
      </c>
      <c r="S318" s="5" t="s">
        <v>34</v>
      </c>
      <c r="T318" s="7" t="s">
        <v>34</v>
      </c>
      <c r="U318" s="5" t="s">
        <v>34</v>
      </c>
      <c r="V318" s="7" t="s">
        <v>34</v>
      </c>
      <c r="W318" s="5" t="s">
        <v>34</v>
      </c>
      <c r="X318" s="5" t="s">
        <v>34</v>
      </c>
      <c r="Y318" s="5" t="s">
        <v>34</v>
      </c>
      <c r="Z318" s="5" t="s">
        <v>34</v>
      </c>
      <c r="AA318" s="5" t="s">
        <v>34</v>
      </c>
      <c r="AB318" s="5" t="s">
        <v>34</v>
      </c>
      <c r="AC318" s="5" t="s">
        <v>34</v>
      </c>
      <c r="AD318" s="5" t="s">
        <v>34</v>
      </c>
    </row>
    <row r="319" spans="1:30" ht="15.55" x14ac:dyDescent="0.3">
      <c r="A319" s="4">
        <v>1000000003886</v>
      </c>
      <c r="B319" s="5" t="s">
        <v>931</v>
      </c>
      <c r="C319" s="4">
        <v>3000000002078</v>
      </c>
      <c r="D319" s="5" t="s">
        <v>932</v>
      </c>
      <c r="E319" s="5" t="s">
        <v>62</v>
      </c>
      <c r="F319" s="5" t="s">
        <v>63</v>
      </c>
      <c r="G319" s="10" cm="1">
        <f t="array" ref="G319">IF(OR($A319="",$L319=""),"",_xlfn.LET(_xlpm.cat,UPPER($E319),_xlpm.wt,IFERROR(VALUE(LEFT($L319,FIND(" ",$L319&amp;" ")-1)),$L319),_xlpm.ppk,_xlfn.SWITCH(TRUE,_xlpm.cat="GAMEFOWL",62,_xlpm.cat="POULTRY",45,_xlpm.cat="SWINE",48,_xlpm.cat="HOGS",48,_xlpm.cat="RABBIT",40,45),_xlpm.code,IFERROR(VALUE(LEFT($A319,FIND(" ",$A319&amp;" ")-1)),0),_xlpm.v,1+MOD(_xlpm.code,13)/100,ROUND(_xlpm.ppk*_xlpm.wt*_xlpm.v,0)))</f>
        <v>2250</v>
      </c>
      <c r="H319" s="6" cm="1">
        <f t="array" ref="H319">IF(OR($A319="",$L319=""),"",_xlfn.LET(_xlpm.cat,UPPER($E319),_xlpm.base,_xlfn.SWITCH(TRUE,_xlpm.cat="GAMEFOWL",0.22,_xlpm.cat="POULTRY",0.18,_xlpm.cat="SWINE",0.16,_xlpm.cat="HOGS",0.16,_xlpm.cat="RABBIT",0.15,0.17),_xlpm.code,IFERROR(VALUE(LEFT($A319,FIND(" ",$A319&amp;" ")-1)),0),_xlpm.v,MOD(_xlpm.code,9)/1000,MIN(0.3,MAX(0.1,_xlpm.base+_xlpm.v))))</f>
        <v>0.188</v>
      </c>
      <c r="I319" s="5" t="s">
        <v>77</v>
      </c>
      <c r="J319" s="5">
        <v>4</v>
      </c>
      <c r="K319" s="5">
        <v>0.33</v>
      </c>
      <c r="L319" s="5">
        <v>50</v>
      </c>
      <c r="M319" s="5">
        <v>4</v>
      </c>
      <c r="N319" s="5">
        <v>2</v>
      </c>
      <c r="O319" s="5">
        <v>2</v>
      </c>
      <c r="Q319" s="5" t="s">
        <v>34</v>
      </c>
      <c r="R319" s="5" t="s">
        <v>34</v>
      </c>
      <c r="S319" s="5" t="s">
        <v>34</v>
      </c>
      <c r="T319" s="7" t="s">
        <v>34</v>
      </c>
      <c r="U319" s="5" t="s">
        <v>34</v>
      </c>
      <c r="V319" s="7" t="s">
        <v>34</v>
      </c>
      <c r="W319" s="5" t="s">
        <v>34</v>
      </c>
      <c r="X319" s="5" t="s">
        <v>34</v>
      </c>
      <c r="Y319" s="5" t="s">
        <v>34</v>
      </c>
      <c r="Z319" s="5" t="s">
        <v>34</v>
      </c>
      <c r="AA319" s="5" t="s">
        <v>34</v>
      </c>
      <c r="AB319" s="5" t="s">
        <v>34</v>
      </c>
      <c r="AC319" s="5" t="s">
        <v>34</v>
      </c>
      <c r="AD319" s="5" t="s">
        <v>34</v>
      </c>
    </row>
    <row r="320" spans="1:30" ht="15.55" x14ac:dyDescent="0.3">
      <c r="A320" s="4">
        <v>1000000003887</v>
      </c>
      <c r="B320" s="5" t="s">
        <v>933</v>
      </c>
      <c r="C320" s="4">
        <v>3000000002079</v>
      </c>
      <c r="D320" s="5" t="s">
        <v>934</v>
      </c>
      <c r="E320" s="5" t="s">
        <v>62</v>
      </c>
      <c r="F320" s="5" t="s">
        <v>63</v>
      </c>
      <c r="G320" s="10" cm="1">
        <f t="array" ref="G320">IF(OR($A320="",$L320=""),"",_xlfn.LET(_xlpm.cat,UPPER($E320),_xlpm.wt,IFERROR(VALUE(LEFT($L320,FIND(" ",$L320&amp;" ")-1)),$L320),_xlpm.ppk,_xlfn.SWITCH(TRUE,_xlpm.cat="GAMEFOWL",62,_xlpm.cat="POULTRY",45,_xlpm.cat="SWINE",48,_xlpm.cat="HOGS",48,_xlpm.cat="RABBIT",40,45),_xlpm.code,IFERROR(VALUE(LEFT($A320,FIND(" ",$A320&amp;" ")-1)),0),_xlpm.v,1+MOD(_xlpm.code,13)/100,ROUND(_xlpm.ppk*_xlpm.wt*_xlpm.v,0)))</f>
        <v>2273</v>
      </c>
      <c r="H320" s="6" cm="1">
        <f t="array" ref="H320">IF(OR($A320="",$L320=""),"",_xlfn.LET(_xlpm.cat,UPPER($E320),_xlpm.base,_xlfn.SWITCH(TRUE,_xlpm.cat="GAMEFOWL",0.22,_xlpm.cat="POULTRY",0.18,_xlpm.cat="SWINE",0.16,_xlpm.cat="HOGS",0.16,_xlpm.cat="RABBIT",0.15,0.17),_xlpm.code,IFERROR(VALUE(LEFT($A320,FIND(" ",$A320&amp;" ")-1)),0),_xlpm.v,MOD(_xlpm.code,9)/1000,MIN(0.3,MAX(0.1,_xlpm.base+_xlpm.v))))</f>
        <v>0.18</v>
      </c>
      <c r="I320" s="5" t="s">
        <v>77</v>
      </c>
      <c r="J320" s="5">
        <v>4</v>
      </c>
      <c r="K320" s="5">
        <v>0.33</v>
      </c>
      <c r="L320" s="5">
        <v>50</v>
      </c>
      <c r="M320" s="5">
        <v>4</v>
      </c>
      <c r="N320" s="5">
        <v>2</v>
      </c>
      <c r="O320" s="5">
        <v>2</v>
      </c>
      <c r="Q320" s="5" t="s">
        <v>34</v>
      </c>
      <c r="R320" s="5" t="s">
        <v>34</v>
      </c>
      <c r="S320" s="5" t="s">
        <v>34</v>
      </c>
      <c r="T320" s="7" t="s">
        <v>34</v>
      </c>
      <c r="U320" s="5" t="s">
        <v>34</v>
      </c>
      <c r="V320" s="7" t="s">
        <v>34</v>
      </c>
      <c r="W320" s="5" t="s">
        <v>34</v>
      </c>
      <c r="X320" s="5" t="s">
        <v>34</v>
      </c>
      <c r="Y320" s="5" t="s">
        <v>34</v>
      </c>
      <c r="Z320" s="5" t="s">
        <v>34</v>
      </c>
      <c r="AA320" s="5" t="s">
        <v>34</v>
      </c>
      <c r="AB320" s="5" t="s">
        <v>34</v>
      </c>
      <c r="AC320" s="5" t="s">
        <v>34</v>
      </c>
      <c r="AD320" s="5" t="s">
        <v>34</v>
      </c>
    </row>
    <row r="321" spans="1:30" ht="15.55" x14ac:dyDescent="0.3">
      <c r="A321" s="4">
        <v>1000000003888</v>
      </c>
      <c r="B321" s="5" t="s">
        <v>935</v>
      </c>
      <c r="C321" s="4">
        <v>3000000002080</v>
      </c>
      <c r="D321" s="5" t="s">
        <v>936</v>
      </c>
      <c r="E321" s="5" t="s">
        <v>62</v>
      </c>
      <c r="F321" s="5" t="s">
        <v>63</v>
      </c>
      <c r="G321" s="10" cm="1">
        <f t="array" ref="G321">IF(OR($A321="",$L321=""),"",_xlfn.LET(_xlpm.cat,UPPER($E321),_xlpm.wt,IFERROR(VALUE(LEFT($L321,FIND(" ",$L321&amp;" ")-1)),$L321),_xlpm.ppk,_xlfn.SWITCH(TRUE,_xlpm.cat="GAMEFOWL",62,_xlpm.cat="POULTRY",45,_xlpm.cat="SWINE",48,_xlpm.cat="HOGS",48,_xlpm.cat="RABBIT",40,45),_xlpm.code,IFERROR(VALUE(LEFT($A321,FIND(" ",$A321&amp;" ")-1)),0),_xlpm.v,1+MOD(_xlpm.code,13)/100,ROUND(_xlpm.ppk*_xlpm.wt*_xlpm.v,0)))</f>
        <v>2295</v>
      </c>
      <c r="H321" s="6" cm="1">
        <f t="array" ref="H321">IF(OR($A321="",$L321=""),"",_xlfn.LET(_xlpm.cat,UPPER($E321),_xlpm.base,_xlfn.SWITCH(TRUE,_xlpm.cat="GAMEFOWL",0.22,_xlpm.cat="POULTRY",0.18,_xlpm.cat="SWINE",0.16,_xlpm.cat="HOGS",0.16,_xlpm.cat="RABBIT",0.15,0.17),_xlpm.code,IFERROR(VALUE(LEFT($A321,FIND(" ",$A321&amp;" ")-1)),0),_xlpm.v,MOD(_xlpm.code,9)/1000,MIN(0.3,MAX(0.1,_xlpm.base+_xlpm.v))))</f>
        <v>0.18099999999999999</v>
      </c>
      <c r="I321" s="5" t="s">
        <v>77</v>
      </c>
      <c r="J321" s="5">
        <v>4</v>
      </c>
      <c r="K321" s="5">
        <v>0.33</v>
      </c>
      <c r="L321" s="5">
        <v>50</v>
      </c>
      <c r="M321" s="5">
        <v>4</v>
      </c>
      <c r="N321" s="5">
        <v>2</v>
      </c>
      <c r="O321" s="5">
        <v>2</v>
      </c>
      <c r="Q321" s="5" t="s">
        <v>34</v>
      </c>
      <c r="R321" s="5" t="s">
        <v>34</v>
      </c>
      <c r="S321" s="5" t="s">
        <v>34</v>
      </c>
      <c r="T321" s="7" t="s">
        <v>34</v>
      </c>
      <c r="U321" s="5" t="s">
        <v>34</v>
      </c>
      <c r="V321" s="7" t="s">
        <v>34</v>
      </c>
      <c r="W321" s="5" t="s">
        <v>34</v>
      </c>
      <c r="X321" s="5" t="s">
        <v>34</v>
      </c>
      <c r="Y321" s="5" t="s">
        <v>34</v>
      </c>
      <c r="Z321" s="5" t="s">
        <v>34</v>
      </c>
      <c r="AA321" s="5" t="s">
        <v>34</v>
      </c>
      <c r="AB321" s="5" t="s">
        <v>34</v>
      </c>
      <c r="AC321" s="5" t="s">
        <v>34</v>
      </c>
      <c r="AD321" s="5" t="s">
        <v>34</v>
      </c>
    </row>
    <row r="322" spans="1:30" ht="15.55" x14ac:dyDescent="0.3">
      <c r="A322" s="4">
        <v>1000000003889</v>
      </c>
      <c r="B322" s="5" t="s">
        <v>937</v>
      </c>
      <c r="C322" s="4">
        <v>3000000002081</v>
      </c>
      <c r="D322" s="5" t="s">
        <v>938</v>
      </c>
      <c r="E322" s="5" t="s">
        <v>62</v>
      </c>
      <c r="F322" s="5" t="s">
        <v>63</v>
      </c>
      <c r="G322" s="10" cm="1">
        <f t="array" ref="G322">IF(OR($A322="",$L322=""),"",_xlfn.LET(_xlpm.cat,UPPER($E322),_xlpm.wt,IFERROR(VALUE(LEFT($L322,FIND(" ",$L322&amp;" ")-1)),$L322),_xlpm.ppk,_xlfn.SWITCH(TRUE,_xlpm.cat="GAMEFOWL",62,_xlpm.cat="POULTRY",45,_xlpm.cat="SWINE",48,_xlpm.cat="HOGS",48,_xlpm.cat="RABBIT",40,45),_xlpm.code,IFERROR(VALUE(LEFT($A322,FIND(" ",$A322&amp;" ")-1)),0),_xlpm.v,1+MOD(_xlpm.code,13)/100,ROUND(_xlpm.ppk*_xlpm.wt*_xlpm.v,0)))</f>
        <v>2318</v>
      </c>
      <c r="H322" s="6" cm="1">
        <f t="array" ref="H322">IF(OR($A322="",$L322=""),"",_xlfn.LET(_xlpm.cat,UPPER($E322),_xlpm.base,_xlfn.SWITCH(TRUE,_xlpm.cat="GAMEFOWL",0.22,_xlpm.cat="POULTRY",0.18,_xlpm.cat="SWINE",0.16,_xlpm.cat="HOGS",0.16,_xlpm.cat="RABBIT",0.15,0.17),_xlpm.code,IFERROR(VALUE(LEFT($A322,FIND(" ",$A322&amp;" ")-1)),0),_xlpm.v,MOD(_xlpm.code,9)/1000,MIN(0.3,MAX(0.1,_xlpm.base+_xlpm.v))))</f>
        <v>0.182</v>
      </c>
      <c r="I322" s="5" t="s">
        <v>77</v>
      </c>
      <c r="J322" s="5">
        <v>4</v>
      </c>
      <c r="K322" s="5">
        <v>0.33</v>
      </c>
      <c r="L322" s="5">
        <v>50</v>
      </c>
      <c r="M322" s="5">
        <v>4</v>
      </c>
      <c r="N322" s="5">
        <v>2</v>
      </c>
      <c r="O322" s="5">
        <v>2</v>
      </c>
      <c r="Q322" s="5" t="s">
        <v>34</v>
      </c>
      <c r="R322" s="5" t="s">
        <v>34</v>
      </c>
      <c r="S322" s="5" t="s">
        <v>34</v>
      </c>
      <c r="T322" s="7" t="s">
        <v>34</v>
      </c>
      <c r="U322" s="5" t="s">
        <v>34</v>
      </c>
      <c r="V322" s="7" t="s">
        <v>34</v>
      </c>
      <c r="W322" s="5" t="s">
        <v>34</v>
      </c>
      <c r="X322" s="5" t="s">
        <v>34</v>
      </c>
      <c r="Y322" s="5" t="s">
        <v>34</v>
      </c>
      <c r="Z322" s="5" t="s">
        <v>34</v>
      </c>
      <c r="AA322" s="5" t="s">
        <v>34</v>
      </c>
      <c r="AB322" s="5" t="s">
        <v>34</v>
      </c>
      <c r="AC322" s="5" t="s">
        <v>34</v>
      </c>
      <c r="AD322" s="5" t="s">
        <v>34</v>
      </c>
    </row>
    <row r="323" spans="1:30" ht="15.55" x14ac:dyDescent="0.3">
      <c r="A323" s="4">
        <v>1000000003890</v>
      </c>
      <c r="B323" s="5" t="s">
        <v>939</v>
      </c>
      <c r="C323" s="4">
        <v>3000000002082</v>
      </c>
      <c r="D323" s="5" t="s">
        <v>940</v>
      </c>
      <c r="E323" s="5" t="s">
        <v>62</v>
      </c>
      <c r="F323" s="5" t="s">
        <v>63</v>
      </c>
      <c r="G323" s="10" cm="1">
        <f t="array" ref="G323">IF(OR($A323="",$L323=""),"",_xlfn.LET(_xlpm.cat,UPPER($E323),_xlpm.wt,IFERROR(VALUE(LEFT($L323,FIND(" ",$L323&amp;" ")-1)),$L323),_xlpm.ppk,_xlfn.SWITCH(TRUE,_xlpm.cat="GAMEFOWL",62,_xlpm.cat="POULTRY",45,_xlpm.cat="SWINE",48,_xlpm.cat="HOGS",48,_xlpm.cat="RABBIT",40,45),_xlpm.code,IFERROR(VALUE(LEFT($A323,FIND(" ",$A323&amp;" ")-1)),0),_xlpm.v,1+MOD(_xlpm.code,13)/100,ROUND(_xlpm.ppk*_xlpm.wt*_xlpm.v,0)))</f>
        <v>2340</v>
      </c>
      <c r="H323" s="6" cm="1">
        <f t="array" ref="H323">IF(OR($A323="",$L323=""),"",_xlfn.LET(_xlpm.cat,UPPER($E323),_xlpm.base,_xlfn.SWITCH(TRUE,_xlpm.cat="GAMEFOWL",0.22,_xlpm.cat="POULTRY",0.18,_xlpm.cat="SWINE",0.16,_xlpm.cat="HOGS",0.16,_xlpm.cat="RABBIT",0.15,0.17),_xlpm.code,IFERROR(VALUE(LEFT($A323,FIND(" ",$A323&amp;" ")-1)),0),_xlpm.v,MOD(_xlpm.code,9)/1000,MIN(0.3,MAX(0.1,_xlpm.base+_xlpm.v))))</f>
        <v>0.183</v>
      </c>
      <c r="I323" s="5" t="s">
        <v>77</v>
      </c>
      <c r="J323" s="5">
        <v>4</v>
      </c>
      <c r="K323" s="5">
        <v>0.33</v>
      </c>
      <c r="L323" s="5">
        <v>50</v>
      </c>
      <c r="M323" s="5">
        <v>4</v>
      </c>
      <c r="N323" s="5">
        <v>2</v>
      </c>
      <c r="O323" s="5">
        <v>2</v>
      </c>
      <c r="Q323" s="5" t="s">
        <v>34</v>
      </c>
      <c r="R323" s="5" t="s">
        <v>34</v>
      </c>
      <c r="S323" s="5" t="s">
        <v>34</v>
      </c>
      <c r="T323" s="7" t="s">
        <v>34</v>
      </c>
      <c r="U323" s="5" t="s">
        <v>34</v>
      </c>
      <c r="V323" s="7" t="s">
        <v>34</v>
      </c>
      <c r="W323" s="5" t="s">
        <v>34</v>
      </c>
      <c r="X323" s="5" t="s">
        <v>34</v>
      </c>
      <c r="Y323" s="5" t="s">
        <v>34</v>
      </c>
      <c r="Z323" s="5" t="s">
        <v>34</v>
      </c>
      <c r="AA323" s="5" t="s">
        <v>34</v>
      </c>
      <c r="AB323" s="5" t="s">
        <v>34</v>
      </c>
      <c r="AC323" s="5" t="s">
        <v>34</v>
      </c>
      <c r="AD323" s="5" t="s">
        <v>34</v>
      </c>
    </row>
    <row r="324" spans="1:30" ht="15.55" x14ac:dyDescent="0.3">
      <c r="A324" s="4">
        <v>1000000003869</v>
      </c>
      <c r="B324" s="5" t="s">
        <v>941</v>
      </c>
      <c r="C324" s="4">
        <v>3000000002050</v>
      </c>
      <c r="D324" s="5" t="s">
        <v>942</v>
      </c>
      <c r="E324" s="5" t="s">
        <v>62</v>
      </c>
      <c r="F324" s="5" t="s">
        <v>63</v>
      </c>
      <c r="G324" s="10" cm="1">
        <f t="array" ref="G324">IF(OR($A324="",$L324=""),"",_xlfn.LET(_xlpm.cat,UPPER($E324),_xlpm.wt,IFERROR(VALUE(LEFT($L324,FIND(" ",$L324&amp;" ")-1)),$L324),_xlpm.ppk,_xlfn.SWITCH(TRUE,_xlpm.cat="GAMEFOWL",62,_xlpm.cat="POULTRY",45,_xlpm.cat="SWINE",48,_xlpm.cat="HOGS",48,_xlpm.cat="RABBIT",40,45),_xlpm.code,IFERROR(VALUE(LEFT($A324,FIND(" ",$A324&amp;" ")-1)),0),_xlpm.v,1+MOD(_xlpm.code,13)/100,ROUND(_xlpm.ppk*_xlpm.wt*_xlpm.v,0)))</f>
        <v>2453</v>
      </c>
      <c r="H324" s="6" cm="1">
        <f t="array" ref="H324">IF(OR($A324="",$L324=""),"",_xlfn.LET(_xlpm.cat,UPPER($E324),_xlpm.base,_xlfn.SWITCH(TRUE,_xlpm.cat="GAMEFOWL",0.22,_xlpm.cat="POULTRY",0.18,_xlpm.cat="SWINE",0.16,_xlpm.cat="HOGS",0.16,_xlpm.cat="RABBIT",0.15,0.17),_xlpm.code,IFERROR(VALUE(LEFT($A324,FIND(" ",$A324&amp;" ")-1)),0),_xlpm.v,MOD(_xlpm.code,9)/1000,MIN(0.3,MAX(0.1,_xlpm.base+_xlpm.v))))</f>
        <v>0.18</v>
      </c>
      <c r="I324" s="5" t="s">
        <v>139</v>
      </c>
      <c r="J324" s="5">
        <v>3</v>
      </c>
      <c r="K324" s="5">
        <v>0.17</v>
      </c>
      <c r="L324" s="5">
        <v>50</v>
      </c>
      <c r="M324" s="5">
        <v>4</v>
      </c>
      <c r="N324" s="5">
        <v>2</v>
      </c>
      <c r="O324" s="5">
        <v>2</v>
      </c>
      <c r="Q324" s="5" t="s">
        <v>943</v>
      </c>
      <c r="R324" s="5" t="s">
        <v>34</v>
      </c>
      <c r="S324" s="5" t="s">
        <v>670</v>
      </c>
      <c r="T324" s="7">
        <v>5000000000559</v>
      </c>
      <c r="U324" s="5" t="s">
        <v>264</v>
      </c>
      <c r="V324" s="7">
        <v>5000000000115</v>
      </c>
      <c r="W324" s="5" t="s">
        <v>265</v>
      </c>
      <c r="X324" s="5" t="s">
        <v>34</v>
      </c>
      <c r="Y324" s="5" t="s">
        <v>34</v>
      </c>
      <c r="Z324" s="5" t="s">
        <v>34</v>
      </c>
      <c r="AA324" s="5" t="s">
        <v>34</v>
      </c>
      <c r="AB324" s="5" t="s">
        <v>34</v>
      </c>
      <c r="AC324" s="5">
        <v>8.194597463414631</v>
      </c>
      <c r="AD324" s="5">
        <v>8.7214942854391815</v>
      </c>
    </row>
    <row r="325" spans="1:30" ht="15.55" x14ac:dyDescent="0.3">
      <c r="A325" s="4">
        <v>1000000003892</v>
      </c>
      <c r="B325" s="5" t="s">
        <v>944</v>
      </c>
      <c r="C325" s="4">
        <v>3000000002092</v>
      </c>
      <c r="D325" s="5" t="s">
        <v>945</v>
      </c>
      <c r="E325" s="5" t="s">
        <v>62</v>
      </c>
      <c r="F325" s="5" t="s">
        <v>63</v>
      </c>
      <c r="G325" s="10" cm="1">
        <f t="array" ref="G325">IF(OR($A325="",$L325=""),"",_xlfn.LET(_xlpm.cat,UPPER($E325),_xlpm.wt,IFERROR(VALUE(LEFT($L325,FIND(" ",$L325&amp;" ")-1)),$L325),_xlpm.ppk,_xlfn.SWITCH(TRUE,_xlpm.cat="GAMEFOWL",62,_xlpm.cat="POULTRY",45,_xlpm.cat="SWINE",48,_xlpm.cat="HOGS",48,_xlpm.cat="RABBIT",40,45),_xlpm.code,IFERROR(VALUE(LEFT($A325,FIND(" ",$A325&amp;" ")-1)),0),_xlpm.v,1+MOD(_xlpm.code,13)/100,ROUND(_xlpm.ppk*_xlpm.wt*_xlpm.v,0)))</f>
        <v>2385</v>
      </c>
      <c r="H325" s="6" cm="1">
        <f t="array" ref="H325">IF(OR($A325="",$L325=""),"",_xlfn.LET(_xlpm.cat,UPPER($E325),_xlpm.base,_xlfn.SWITCH(TRUE,_xlpm.cat="GAMEFOWL",0.22,_xlpm.cat="POULTRY",0.18,_xlpm.cat="SWINE",0.16,_xlpm.cat="HOGS",0.16,_xlpm.cat="RABBIT",0.15,0.17),_xlpm.code,IFERROR(VALUE(LEFT($A325,FIND(" ",$A325&amp;" ")-1)),0),_xlpm.v,MOD(_xlpm.code,9)/1000,MIN(0.3,MAX(0.1,_xlpm.base+_xlpm.v))))</f>
        <v>0.185</v>
      </c>
      <c r="I325" s="5" t="s">
        <v>106</v>
      </c>
      <c r="J325" s="5">
        <v>4</v>
      </c>
      <c r="K325" s="5">
        <v>0.33</v>
      </c>
      <c r="L325" s="5">
        <v>50</v>
      </c>
      <c r="M325" s="5">
        <v>4</v>
      </c>
      <c r="N325" s="5">
        <v>2</v>
      </c>
      <c r="O325" s="5">
        <v>2</v>
      </c>
      <c r="Q325" s="5" t="s">
        <v>34</v>
      </c>
      <c r="R325" s="5" t="s">
        <v>34</v>
      </c>
      <c r="S325" s="5" t="s">
        <v>34</v>
      </c>
      <c r="T325" s="7" t="s">
        <v>34</v>
      </c>
      <c r="U325" s="5" t="s">
        <v>34</v>
      </c>
      <c r="V325" s="7" t="s">
        <v>34</v>
      </c>
      <c r="W325" s="5" t="s">
        <v>34</v>
      </c>
      <c r="X325" s="5" t="s">
        <v>34</v>
      </c>
      <c r="Y325" s="5" t="s">
        <v>34</v>
      </c>
      <c r="Z325" s="5" t="s">
        <v>34</v>
      </c>
      <c r="AA325" s="5" t="s">
        <v>34</v>
      </c>
      <c r="AB325" s="5" t="s">
        <v>34</v>
      </c>
      <c r="AC325" s="5" t="s">
        <v>34</v>
      </c>
      <c r="AD325" s="5" t="s">
        <v>34</v>
      </c>
    </row>
    <row r="326" spans="1:30" ht="15.55" x14ac:dyDescent="0.3">
      <c r="A326" s="4">
        <v>1000000003879</v>
      </c>
      <c r="B326" s="5" t="s">
        <v>946</v>
      </c>
      <c r="C326" s="4">
        <v>3000000002073</v>
      </c>
      <c r="D326" s="5" t="s">
        <v>947</v>
      </c>
      <c r="E326" s="5" t="s">
        <v>62</v>
      </c>
      <c r="F326" s="5" t="s">
        <v>63</v>
      </c>
      <c r="G326" s="10" cm="1">
        <f t="array" ref="G326">IF(OR($A326="",$L326=""),"",_xlfn.LET(_xlpm.cat,UPPER($E326),_xlpm.wt,IFERROR(VALUE(LEFT($L326,FIND(" ",$L326&amp;" ")-1)),$L326),_xlpm.ppk,_xlfn.SWITCH(TRUE,_xlpm.cat="GAMEFOWL",62,_xlpm.cat="POULTRY",45,_xlpm.cat="SWINE",48,_xlpm.cat="HOGS",48,_xlpm.cat="RABBIT",40,45),_xlpm.code,IFERROR(VALUE(LEFT($A326,FIND(" ",$A326&amp;" ")-1)),0),_xlpm.v,1+MOD(_xlpm.code,13)/100,ROUND(_xlpm.ppk*_xlpm.wt*_xlpm.v,0)))</f>
        <v>2385</v>
      </c>
      <c r="H326" s="6" cm="1">
        <f t="array" ref="H326">IF(OR($A326="",$L326=""),"",_xlfn.LET(_xlpm.cat,UPPER($E326),_xlpm.base,_xlfn.SWITCH(TRUE,_xlpm.cat="GAMEFOWL",0.22,_xlpm.cat="POULTRY",0.18,_xlpm.cat="SWINE",0.16,_xlpm.cat="HOGS",0.16,_xlpm.cat="RABBIT",0.15,0.17),_xlpm.code,IFERROR(VALUE(LEFT($A326,FIND(" ",$A326&amp;" ")-1)),0),_xlpm.v,MOD(_xlpm.code,9)/1000,MIN(0.3,MAX(0.1,_xlpm.base+_xlpm.v))))</f>
        <v>0.18099999999999999</v>
      </c>
      <c r="I326" s="5" t="s">
        <v>106</v>
      </c>
      <c r="J326" s="5">
        <v>4</v>
      </c>
      <c r="K326" s="5">
        <v>0.33</v>
      </c>
      <c r="L326" s="5">
        <v>50</v>
      </c>
      <c r="M326" s="5">
        <v>4</v>
      </c>
      <c r="N326" s="5">
        <v>2</v>
      </c>
      <c r="O326" s="5">
        <v>2</v>
      </c>
      <c r="Q326" s="5" t="s">
        <v>948</v>
      </c>
      <c r="R326" s="5" t="s">
        <v>34</v>
      </c>
      <c r="S326" s="5" t="s">
        <v>670</v>
      </c>
      <c r="T326" s="7">
        <v>5000000000558</v>
      </c>
      <c r="U326" s="5" t="s">
        <v>229</v>
      </c>
      <c r="V326" s="7">
        <v>5000000000113</v>
      </c>
      <c r="W326" s="5" t="s">
        <v>230</v>
      </c>
      <c r="X326" s="5" t="s">
        <v>34</v>
      </c>
      <c r="Y326" s="5" t="s">
        <v>34</v>
      </c>
      <c r="Z326" s="5">
        <v>7.5307940617180993</v>
      </c>
      <c r="AA326" s="5" t="s">
        <v>34</v>
      </c>
      <c r="AB326" s="5" t="s">
        <v>34</v>
      </c>
      <c r="AC326" s="5" t="s">
        <v>34</v>
      </c>
      <c r="AD326" s="5" t="s">
        <v>34</v>
      </c>
    </row>
    <row r="327" spans="1:30" ht="15.55" x14ac:dyDescent="0.3">
      <c r="A327" s="4">
        <v>1000000003880</v>
      </c>
      <c r="B327" s="5" t="s">
        <v>949</v>
      </c>
      <c r="C327" s="4">
        <v>3000000002074</v>
      </c>
      <c r="D327" s="5" t="s">
        <v>950</v>
      </c>
      <c r="E327" s="5" t="s">
        <v>62</v>
      </c>
      <c r="F327" s="5" t="s">
        <v>63</v>
      </c>
      <c r="G327" s="10" cm="1">
        <f t="array" ref="G327">IF(OR($A327="",$L327=""),"",_xlfn.LET(_xlpm.cat,UPPER($E327),_xlpm.wt,IFERROR(VALUE(LEFT($L327,FIND(" ",$L327&amp;" ")-1)),$L327),_xlpm.ppk,_xlfn.SWITCH(TRUE,_xlpm.cat="GAMEFOWL",62,_xlpm.cat="POULTRY",45,_xlpm.cat="SWINE",48,_xlpm.cat="HOGS",48,_xlpm.cat="RABBIT",40,45),_xlpm.code,IFERROR(VALUE(LEFT($A327,FIND(" ",$A327&amp;" ")-1)),0),_xlpm.v,1+MOD(_xlpm.code,13)/100,ROUND(_xlpm.ppk*_xlpm.wt*_xlpm.v,0)))</f>
        <v>2408</v>
      </c>
      <c r="H327" s="6" cm="1">
        <f t="array" ref="H327">IF(OR($A327="",$L327=""),"",_xlfn.LET(_xlpm.cat,UPPER($E327),_xlpm.base,_xlfn.SWITCH(TRUE,_xlpm.cat="GAMEFOWL",0.22,_xlpm.cat="POULTRY",0.18,_xlpm.cat="SWINE",0.16,_xlpm.cat="HOGS",0.16,_xlpm.cat="RABBIT",0.15,0.17),_xlpm.code,IFERROR(VALUE(LEFT($A327,FIND(" ",$A327&amp;" ")-1)),0),_xlpm.v,MOD(_xlpm.code,9)/1000,MIN(0.3,MAX(0.1,_xlpm.base+_xlpm.v))))</f>
        <v>0.182</v>
      </c>
      <c r="I327" s="5" t="s">
        <v>64</v>
      </c>
      <c r="J327" s="5">
        <v>4</v>
      </c>
      <c r="K327" s="5">
        <v>0.33</v>
      </c>
      <c r="L327" s="5">
        <v>50</v>
      </c>
      <c r="M327" s="5">
        <v>4</v>
      </c>
      <c r="N327" s="5">
        <v>2</v>
      </c>
      <c r="O327" s="5">
        <v>2</v>
      </c>
      <c r="Q327" s="5" t="s">
        <v>951</v>
      </c>
      <c r="R327" s="5" t="s">
        <v>34</v>
      </c>
      <c r="S327" s="5" t="s">
        <v>670</v>
      </c>
      <c r="T327" s="7">
        <v>5000000000557</v>
      </c>
      <c r="U327" s="5" t="s">
        <v>285</v>
      </c>
      <c r="V327" s="7">
        <v>5000000000154</v>
      </c>
      <c r="W327" s="5" t="s">
        <v>286</v>
      </c>
      <c r="X327" s="5" t="s">
        <v>34</v>
      </c>
      <c r="Y327" s="5" t="s">
        <v>34</v>
      </c>
      <c r="Z327" s="5" t="s">
        <v>34</v>
      </c>
      <c r="AA327" s="5">
        <v>8.3372782802303274</v>
      </c>
      <c r="AB327" s="5" t="s">
        <v>34</v>
      </c>
      <c r="AC327" s="5" t="s">
        <v>34</v>
      </c>
      <c r="AD327" s="5" t="s">
        <v>34</v>
      </c>
    </row>
    <row r="328" spans="1:30" ht="15.55" x14ac:dyDescent="0.3">
      <c r="A328" s="4">
        <v>1000000003870</v>
      </c>
      <c r="B328" s="5" t="s">
        <v>952</v>
      </c>
      <c r="C328" s="4">
        <v>3000000000607</v>
      </c>
      <c r="D328" s="5" t="s">
        <v>855</v>
      </c>
      <c r="E328" s="5" t="s">
        <v>391</v>
      </c>
      <c r="F328" s="5" t="s">
        <v>314</v>
      </c>
      <c r="G328" s="10" cm="1">
        <f t="array" ref="G328">IF(OR($A328="",$L328=""),"",_xlfn.LET(_xlpm.cat,UPPER($E328),_xlpm.wt,IFERROR(VALUE(LEFT($L328,FIND(" ",$L328&amp;" ")-1)),$L328),_xlpm.ppk,_xlfn.SWITCH(TRUE,_xlpm.cat="GAMEFOWL",62,_xlpm.cat="POULTRY",45,_xlpm.cat="SWINE",48,_xlpm.cat="HOGS",48,_xlpm.cat="RABBIT",40,45),_xlpm.code,IFERROR(VALUE(LEFT($A328,FIND(" ",$A328&amp;" ")-1)),0),_xlpm.v,1+MOD(_xlpm.code,13)/100,ROUND(_xlpm.ppk*_xlpm.wt*_xlpm.v,0)))</f>
        <v>1100</v>
      </c>
      <c r="H328" s="6" cm="1">
        <f t="array" ref="H328">IF(OR($A328="",$L328=""),"",_xlfn.LET(_xlpm.cat,UPPER($E328),_xlpm.base,_xlfn.SWITCH(TRUE,_xlpm.cat="GAMEFOWL",0.22,_xlpm.cat="POULTRY",0.18,_xlpm.cat="SWINE",0.16,_xlpm.cat="HOGS",0.16,_xlpm.cat="RABBIT",0.15,0.17),_xlpm.code,IFERROR(VALUE(LEFT($A328,FIND(" ",$A328&amp;" ")-1)),0),_xlpm.v,MOD(_xlpm.code,9)/1000,MIN(0.3,MAX(0.1,_xlpm.base+_xlpm.v))))</f>
        <v>0.151</v>
      </c>
      <c r="I328" s="5" t="s">
        <v>139</v>
      </c>
      <c r="J328" s="5">
        <v>3</v>
      </c>
      <c r="K328" s="5">
        <v>0.17</v>
      </c>
      <c r="L328" s="5">
        <v>25</v>
      </c>
      <c r="M328" s="5">
        <v>4</v>
      </c>
      <c r="N328" s="5">
        <v>1.5</v>
      </c>
      <c r="O328" s="5">
        <v>1.5</v>
      </c>
      <c r="Q328" s="5" t="s">
        <v>34</v>
      </c>
      <c r="R328" s="5" t="s">
        <v>34</v>
      </c>
      <c r="S328" s="5" t="s">
        <v>63</v>
      </c>
      <c r="T328" s="7">
        <v>5000000000402</v>
      </c>
      <c r="U328" s="5" t="s">
        <v>392</v>
      </c>
      <c r="V328" s="7">
        <v>5000000000442</v>
      </c>
      <c r="W328" s="5" t="s">
        <v>393</v>
      </c>
      <c r="X328" s="5" t="s">
        <v>34</v>
      </c>
      <c r="Y328" s="5" t="s">
        <v>34</v>
      </c>
      <c r="Z328" s="5">
        <v>6.4433175048231517</v>
      </c>
      <c r="AA328" s="5" t="s">
        <v>34</v>
      </c>
      <c r="AB328" s="5" t="s">
        <v>34</v>
      </c>
      <c r="AC328" s="5">
        <v>6.1153110743801644</v>
      </c>
      <c r="AD328" s="5" t="s">
        <v>34</v>
      </c>
    </row>
    <row r="329" spans="1:30" ht="15.55" x14ac:dyDescent="0.3">
      <c r="A329" s="4">
        <v>1000000003891</v>
      </c>
      <c r="B329" s="5" t="s">
        <v>953</v>
      </c>
      <c r="C329" s="4">
        <v>3000000000607</v>
      </c>
      <c r="D329" s="5" t="s">
        <v>855</v>
      </c>
      <c r="E329" s="5" t="s">
        <v>391</v>
      </c>
      <c r="F329" s="5" t="s">
        <v>314</v>
      </c>
      <c r="G329" s="10" cm="1">
        <f t="array" ref="G329">IF(OR($A329="",$L329=""),"",_xlfn.LET(_xlpm.cat,UPPER($E329),_xlpm.wt,IFERROR(VALUE(LEFT($L329,FIND(" ",$L329&amp;" ")-1)),$L329),_xlpm.ppk,_xlfn.SWITCH(TRUE,_xlpm.cat="GAMEFOWL",62,_xlpm.cat="POULTRY",45,_xlpm.cat="SWINE",48,_xlpm.cat="HOGS",48,_xlpm.cat="RABBIT",40,45),_xlpm.code,IFERROR(VALUE(LEFT($A329,FIND(" ",$A329&amp;" ")-1)),0),_xlpm.v,1+MOD(_xlpm.code,13)/100,ROUND(_xlpm.ppk*_xlpm.wt*_xlpm.v,0)))</f>
        <v>1050</v>
      </c>
      <c r="H329" s="6" cm="1">
        <f t="array" ref="H329">IF(OR($A329="",$L329=""),"",_xlfn.LET(_xlpm.cat,UPPER($E329),_xlpm.base,_xlfn.SWITCH(TRUE,_xlpm.cat="GAMEFOWL",0.22,_xlpm.cat="POULTRY",0.18,_xlpm.cat="SWINE",0.16,_xlpm.cat="HOGS",0.16,_xlpm.cat="RABBIT",0.15,0.17),_xlpm.code,IFERROR(VALUE(LEFT($A329,FIND(" ",$A329&amp;" ")-1)),0),_xlpm.v,MOD(_xlpm.code,9)/1000,MIN(0.3,MAX(0.1,_xlpm.base+_xlpm.v))))</f>
        <v>0.154</v>
      </c>
      <c r="I329" s="5" t="s">
        <v>139</v>
      </c>
      <c r="J329" s="5">
        <v>3</v>
      </c>
      <c r="K329" s="5">
        <v>0.17</v>
      </c>
      <c r="L329" s="5">
        <v>25</v>
      </c>
      <c r="M329" s="5">
        <v>4</v>
      </c>
      <c r="N329" s="5">
        <v>1.5</v>
      </c>
      <c r="O329" s="5">
        <v>1.5</v>
      </c>
      <c r="Q329" s="5" t="s">
        <v>34</v>
      </c>
      <c r="R329" s="5" t="s">
        <v>34</v>
      </c>
      <c r="S329" s="5" t="s">
        <v>63</v>
      </c>
      <c r="T329" s="7">
        <v>5000000000401</v>
      </c>
      <c r="U329" s="5" t="s">
        <v>954</v>
      </c>
      <c r="V329" s="7">
        <v>5000000000443</v>
      </c>
      <c r="W329" s="5" t="s">
        <v>955</v>
      </c>
      <c r="X329" s="5" t="s">
        <v>34</v>
      </c>
      <c r="Y329" s="5" t="s">
        <v>34</v>
      </c>
      <c r="Z329" s="5">
        <v>6.4433175048231517</v>
      </c>
      <c r="AA329" s="5" t="s">
        <v>34</v>
      </c>
      <c r="AB329" s="5" t="s">
        <v>34</v>
      </c>
      <c r="AC329" s="5">
        <v>6.1153110743801644</v>
      </c>
      <c r="AD329" s="5" t="s">
        <v>34</v>
      </c>
    </row>
    <row r="330" spans="1:30" ht="15.55" x14ac:dyDescent="0.3">
      <c r="A330" s="4">
        <v>1000000001032</v>
      </c>
      <c r="B330" s="5" t="s">
        <v>956</v>
      </c>
      <c r="C330" s="4">
        <v>3000000000280</v>
      </c>
      <c r="D330" s="5" t="s">
        <v>957</v>
      </c>
      <c r="E330" s="5" t="s">
        <v>62</v>
      </c>
      <c r="F330" s="5" t="s">
        <v>63</v>
      </c>
      <c r="G330" s="10" cm="1">
        <f t="array" ref="G330">IF(OR($A330="",$L330=""),"",_xlfn.LET(_xlpm.cat,UPPER($E330),_xlpm.wt,IFERROR(VALUE(LEFT($L330,FIND(" ",$L330&amp;" ")-1)),$L330),_xlpm.ppk,_xlfn.SWITCH(TRUE,_xlpm.cat="GAMEFOWL",62,_xlpm.cat="POULTRY",45,_xlpm.cat="SWINE",48,_xlpm.cat="HOGS",48,_xlpm.cat="RABBIT",40,45),_xlpm.code,IFERROR(VALUE(LEFT($A330,FIND(" ",$A330&amp;" ")-1)),0),_xlpm.v,1+MOD(_xlpm.code,13)/100,ROUND(_xlpm.ppk*_xlpm.wt*_xlpm.v,0)))</f>
        <v>2385</v>
      </c>
      <c r="H330" s="6" cm="1">
        <f t="array" ref="H330">IF(OR($A330="",$L330=""),"",_xlfn.LET(_xlpm.cat,UPPER($E330),_xlpm.base,_xlfn.SWITCH(TRUE,_xlpm.cat="GAMEFOWL",0.22,_xlpm.cat="POULTRY",0.18,_xlpm.cat="SWINE",0.16,_xlpm.cat="HOGS",0.16,_xlpm.cat="RABBIT",0.15,0.17),_xlpm.code,IFERROR(VALUE(LEFT($A330,FIND(" ",$A330&amp;" ")-1)),0),_xlpm.v,MOD(_xlpm.code,9)/1000,MIN(0.3,MAX(0.1,_xlpm.base+_xlpm.v))))</f>
        <v>0.187</v>
      </c>
      <c r="I330" s="5" t="s">
        <v>64</v>
      </c>
      <c r="J330" s="5">
        <v>4</v>
      </c>
      <c r="K330" s="5">
        <v>0.33</v>
      </c>
      <c r="L330" s="5">
        <v>50</v>
      </c>
      <c r="M330" s="5">
        <v>4</v>
      </c>
      <c r="N330" s="5">
        <v>2</v>
      </c>
      <c r="O330" s="5">
        <v>2</v>
      </c>
      <c r="Q330" s="5" t="s">
        <v>958</v>
      </c>
      <c r="R330" s="5" t="s">
        <v>34</v>
      </c>
      <c r="S330" s="5" t="s">
        <v>959</v>
      </c>
      <c r="T330" s="7">
        <v>5000000000557</v>
      </c>
      <c r="U330" s="5" t="s">
        <v>960</v>
      </c>
      <c r="V330" s="7">
        <v>5000000000154</v>
      </c>
      <c r="W330" s="5" t="s">
        <v>961</v>
      </c>
      <c r="X330" s="5" t="s">
        <v>34</v>
      </c>
      <c r="Y330" s="5" t="s">
        <v>34</v>
      </c>
      <c r="Z330" s="5" t="s">
        <v>34</v>
      </c>
      <c r="AA330" s="5">
        <v>8.1812945454545449</v>
      </c>
      <c r="AB330" s="5" t="s">
        <v>34</v>
      </c>
      <c r="AC330" s="5" t="s">
        <v>34</v>
      </c>
      <c r="AD330" s="5" t="s">
        <v>34</v>
      </c>
    </row>
    <row r="331" spans="1:30" ht="15.55" x14ac:dyDescent="0.3">
      <c r="A331" s="4">
        <v>1000000003956</v>
      </c>
      <c r="B331" s="5" t="s">
        <v>962</v>
      </c>
      <c r="C331" s="4">
        <v>3000000002111</v>
      </c>
      <c r="D331" s="5" t="s">
        <v>963</v>
      </c>
      <c r="E331" s="5" t="s">
        <v>31</v>
      </c>
      <c r="F331" s="5" t="s">
        <v>32</v>
      </c>
      <c r="G331" s="10" cm="1">
        <f t="array" ref="G331">IF(OR($A331="",$L331=""),"",_xlfn.LET(_xlpm.cat,UPPER($E331),_xlpm.wt,IFERROR(VALUE(LEFT($L331,FIND(" ",$L331&amp;" ")-1)),$L331),_xlpm.ppk,_xlfn.SWITCH(TRUE,_xlpm.cat="GAMEFOWL",62,_xlpm.cat="POULTRY",45,_xlpm.cat="SWINE",48,_xlpm.cat="HOGS",48,_xlpm.cat="RABBIT",40,45),_xlpm.code,IFERROR(VALUE(LEFT($A331,FIND(" ",$A331&amp;" ")-1)),0),_xlpm.v,1+MOD(_xlpm.code,13)/100,ROUND(_xlpm.ppk*_xlpm.wt*_xlpm.v,0)))</f>
        <v>2520</v>
      </c>
      <c r="H331" s="6" cm="1">
        <f t="array" ref="H331">IF(OR($A331="",$L331=""),"",_xlfn.LET(_xlpm.cat,UPPER($E331),_xlpm.base,_xlfn.SWITCH(TRUE,_xlpm.cat="GAMEFOWL",0.22,_xlpm.cat="POULTRY",0.18,_xlpm.cat="SWINE",0.16,_xlpm.cat="HOGS",0.16,_xlpm.cat="RABBIT",0.15,0.17),_xlpm.code,IFERROR(VALUE(LEFT($A331,FIND(" ",$A331&amp;" ")-1)),0),_xlpm.v,MOD(_xlpm.code,9)/1000,MIN(0.3,MAX(0.1,_xlpm.base+_xlpm.v))))</f>
        <v>0.16600000000000001</v>
      </c>
      <c r="I331" s="5" t="s">
        <v>33</v>
      </c>
      <c r="J331" s="5">
        <v>4</v>
      </c>
      <c r="K331" s="5">
        <v>0.17</v>
      </c>
      <c r="L331" s="5">
        <v>50</v>
      </c>
      <c r="M331" s="5">
        <v>4</v>
      </c>
      <c r="N331" s="5">
        <v>2</v>
      </c>
      <c r="O331" s="5">
        <v>2</v>
      </c>
      <c r="Q331" s="5" t="s">
        <v>34</v>
      </c>
      <c r="R331" s="5" t="s">
        <v>34</v>
      </c>
      <c r="S331" s="5" t="s">
        <v>34</v>
      </c>
      <c r="T331" s="7" t="s">
        <v>34</v>
      </c>
      <c r="U331" s="5" t="s">
        <v>34</v>
      </c>
      <c r="V331" s="7" t="s">
        <v>34</v>
      </c>
      <c r="W331" s="5" t="s">
        <v>34</v>
      </c>
      <c r="X331" s="5" t="s">
        <v>34</v>
      </c>
      <c r="Y331" s="5" t="s">
        <v>34</v>
      </c>
      <c r="Z331" s="5" t="s">
        <v>34</v>
      </c>
      <c r="AA331" s="5" t="s">
        <v>34</v>
      </c>
      <c r="AB331" s="5" t="s">
        <v>34</v>
      </c>
      <c r="AC331" s="5" t="s">
        <v>34</v>
      </c>
      <c r="AD331" s="5" t="s">
        <v>34</v>
      </c>
    </row>
    <row r="332" spans="1:30" ht="15.55" x14ac:dyDescent="0.3">
      <c r="A332" s="4">
        <v>1000000003993</v>
      </c>
      <c r="B332" s="5" t="s">
        <v>964</v>
      </c>
      <c r="C332" s="4">
        <v>3000000002124</v>
      </c>
      <c r="D332" s="5" t="s">
        <v>965</v>
      </c>
      <c r="E332" s="5" t="s">
        <v>31</v>
      </c>
      <c r="F332" s="5" t="s">
        <v>32</v>
      </c>
      <c r="G332" s="10" cm="1">
        <f t="array" ref="G332">IF(OR($A332="",$L332=""),"",_xlfn.LET(_xlpm.cat,UPPER($E332),_xlpm.wt,IFERROR(VALUE(LEFT($L332,FIND(" ",$L332&amp;" ")-1)),$L332),_xlpm.ppk,_xlfn.SWITCH(TRUE,_xlpm.cat="GAMEFOWL",62,_xlpm.cat="POULTRY",45,_xlpm.cat="SWINE",48,_xlpm.cat="HOGS",48,_xlpm.cat="RABBIT",40,45),_xlpm.code,IFERROR(VALUE(LEFT($A332,FIND(" ",$A332&amp;" ")-1)),0),_xlpm.v,1+MOD(_xlpm.code,13)/100,ROUND(_xlpm.ppk*_xlpm.wt*_xlpm.v,0)))</f>
        <v>2472</v>
      </c>
      <c r="H332" s="6" cm="1">
        <f t="array" ref="H332">IF(OR($A332="",$L332=""),"",_xlfn.LET(_xlpm.cat,UPPER($E332),_xlpm.base,_xlfn.SWITCH(TRUE,_xlpm.cat="GAMEFOWL",0.22,_xlpm.cat="POULTRY",0.18,_xlpm.cat="SWINE",0.16,_xlpm.cat="HOGS",0.16,_xlpm.cat="RABBIT",0.15,0.17),_xlpm.code,IFERROR(VALUE(LEFT($A332,FIND(" ",$A332&amp;" ")-1)),0),_xlpm.v,MOD(_xlpm.code,9)/1000,MIN(0.3,MAX(0.1,_xlpm.base+_xlpm.v))))</f>
        <v>0.16700000000000001</v>
      </c>
      <c r="I332" s="5" t="s">
        <v>33</v>
      </c>
      <c r="J332" s="5">
        <v>4</v>
      </c>
      <c r="K332" s="5">
        <v>0.17</v>
      </c>
      <c r="L332" s="5">
        <v>50</v>
      </c>
      <c r="M332" s="5">
        <v>4</v>
      </c>
      <c r="N332" s="5">
        <v>2</v>
      </c>
      <c r="O332" s="5">
        <v>2</v>
      </c>
      <c r="Q332" s="5" t="s">
        <v>34</v>
      </c>
      <c r="R332" s="5" t="s">
        <v>34</v>
      </c>
      <c r="S332" s="5" t="s">
        <v>34</v>
      </c>
      <c r="T332" s="7" t="s">
        <v>34</v>
      </c>
      <c r="U332" s="5" t="s">
        <v>34</v>
      </c>
      <c r="V332" s="7" t="s">
        <v>34</v>
      </c>
      <c r="W332" s="5" t="s">
        <v>34</v>
      </c>
      <c r="X332" s="5" t="s">
        <v>34</v>
      </c>
      <c r="Y332" s="5" t="s">
        <v>34</v>
      </c>
      <c r="Z332" s="5" t="s">
        <v>34</v>
      </c>
      <c r="AA332" s="5" t="s">
        <v>34</v>
      </c>
      <c r="AB332" s="5" t="s">
        <v>34</v>
      </c>
      <c r="AC332" s="5" t="s">
        <v>34</v>
      </c>
      <c r="AD332" s="5" t="s">
        <v>34</v>
      </c>
    </row>
    <row r="333" spans="1:30" ht="15.55" x14ac:dyDescent="0.3">
      <c r="A333" s="4">
        <v>1000000003994</v>
      </c>
      <c r="B333" s="5" t="s">
        <v>966</v>
      </c>
      <c r="C333" s="4">
        <v>3000000002125</v>
      </c>
      <c r="D333" s="5" t="s">
        <v>967</v>
      </c>
      <c r="E333" s="5" t="s">
        <v>31</v>
      </c>
      <c r="F333" s="5" t="s">
        <v>32</v>
      </c>
      <c r="G333" s="10" cm="1">
        <f t="array" ref="G333">IF(OR($A333="",$L333=""),"",_xlfn.LET(_xlpm.cat,UPPER($E333),_xlpm.wt,IFERROR(VALUE(LEFT($L333,FIND(" ",$L333&amp;" ")-1)),$L333),_xlpm.ppk,_xlfn.SWITCH(TRUE,_xlpm.cat="GAMEFOWL",62,_xlpm.cat="POULTRY",45,_xlpm.cat="SWINE",48,_xlpm.cat="HOGS",48,_xlpm.cat="RABBIT",40,45),_xlpm.code,IFERROR(VALUE(LEFT($A333,FIND(" ",$A333&amp;" ")-1)),0),_xlpm.v,1+MOD(_xlpm.code,13)/100,ROUND(_xlpm.ppk*_xlpm.wt*_xlpm.v,0)))</f>
        <v>2496</v>
      </c>
      <c r="H333" s="6" cm="1">
        <f t="array" ref="H333">IF(OR($A333="",$L333=""),"",_xlfn.LET(_xlpm.cat,UPPER($E333),_xlpm.base,_xlfn.SWITCH(TRUE,_xlpm.cat="GAMEFOWL",0.22,_xlpm.cat="POULTRY",0.18,_xlpm.cat="SWINE",0.16,_xlpm.cat="HOGS",0.16,_xlpm.cat="RABBIT",0.15,0.17),_xlpm.code,IFERROR(VALUE(LEFT($A333,FIND(" ",$A333&amp;" ")-1)),0),_xlpm.v,MOD(_xlpm.code,9)/1000,MIN(0.3,MAX(0.1,_xlpm.base+_xlpm.v))))</f>
        <v>0.16800000000000001</v>
      </c>
      <c r="I333" s="5" t="s">
        <v>33</v>
      </c>
      <c r="J333" s="5">
        <v>4</v>
      </c>
      <c r="K333" s="5">
        <v>0.17</v>
      </c>
      <c r="L333" s="5">
        <v>50</v>
      </c>
      <c r="M333" s="5">
        <v>4</v>
      </c>
      <c r="N333" s="5">
        <v>2</v>
      </c>
      <c r="O333" s="5">
        <v>2</v>
      </c>
      <c r="Q333" s="5" t="s">
        <v>34</v>
      </c>
      <c r="R333" s="5" t="s">
        <v>34</v>
      </c>
      <c r="S333" s="5" t="s">
        <v>34</v>
      </c>
      <c r="T333" s="7" t="s">
        <v>34</v>
      </c>
      <c r="U333" s="5" t="s">
        <v>34</v>
      </c>
      <c r="V333" s="7" t="s">
        <v>34</v>
      </c>
      <c r="W333" s="5" t="s">
        <v>34</v>
      </c>
      <c r="X333" s="5" t="s">
        <v>34</v>
      </c>
      <c r="Y333" s="5" t="s">
        <v>34</v>
      </c>
      <c r="Z333" s="5" t="s">
        <v>34</v>
      </c>
      <c r="AA333" s="5" t="s">
        <v>34</v>
      </c>
      <c r="AB333" s="5" t="s">
        <v>34</v>
      </c>
      <c r="AC333" s="5" t="s">
        <v>34</v>
      </c>
      <c r="AD333" s="5" t="s">
        <v>34</v>
      </c>
    </row>
    <row r="334" spans="1:30" ht="15.55" x14ac:dyDescent="0.3">
      <c r="A334" s="4">
        <v>1000000003992</v>
      </c>
      <c r="B334" s="5" t="s">
        <v>968</v>
      </c>
      <c r="C334" s="4">
        <v>3000000002123</v>
      </c>
      <c r="D334" s="5" t="s">
        <v>969</v>
      </c>
      <c r="E334" s="5" t="s">
        <v>31</v>
      </c>
      <c r="F334" s="5" t="s">
        <v>32</v>
      </c>
      <c r="G334" s="10" cm="1">
        <f t="array" ref="G334">IF(OR($A334="",$L334=""),"",_xlfn.LET(_xlpm.cat,UPPER($E334),_xlpm.wt,IFERROR(VALUE(LEFT($L334,FIND(" ",$L334&amp;" ")-1)),$L334),_xlpm.ppk,_xlfn.SWITCH(TRUE,_xlpm.cat="GAMEFOWL",62,_xlpm.cat="POULTRY",45,_xlpm.cat="SWINE",48,_xlpm.cat="HOGS",48,_xlpm.cat="RABBIT",40,45),_xlpm.code,IFERROR(VALUE(LEFT($A334,FIND(" ",$A334&amp;" ")-1)),0),_xlpm.v,1+MOD(_xlpm.code,13)/100,ROUND(_xlpm.ppk*_xlpm.wt*_xlpm.v,0)))</f>
        <v>2448</v>
      </c>
      <c r="H334" s="6" cm="1">
        <f t="array" ref="H334">IF(OR($A334="",$L334=""),"",_xlfn.LET(_xlpm.cat,UPPER($E334),_xlpm.base,_xlfn.SWITCH(TRUE,_xlpm.cat="GAMEFOWL",0.22,_xlpm.cat="POULTRY",0.18,_xlpm.cat="SWINE",0.16,_xlpm.cat="HOGS",0.16,_xlpm.cat="RABBIT",0.15,0.17),_xlpm.code,IFERROR(VALUE(LEFT($A334,FIND(" ",$A334&amp;" ")-1)),0),_xlpm.v,MOD(_xlpm.code,9)/1000,MIN(0.3,MAX(0.1,_xlpm.base+_xlpm.v))))</f>
        <v>0.16600000000000001</v>
      </c>
      <c r="I334" s="5" t="s">
        <v>139</v>
      </c>
      <c r="J334" s="5">
        <v>3</v>
      </c>
      <c r="K334" s="5">
        <v>0.17</v>
      </c>
      <c r="L334" s="5">
        <v>50</v>
      </c>
      <c r="M334" s="5">
        <v>4</v>
      </c>
      <c r="N334" s="5">
        <v>2</v>
      </c>
      <c r="O334" s="5">
        <v>2</v>
      </c>
      <c r="Q334" s="5" t="s">
        <v>34</v>
      </c>
      <c r="R334" s="5" t="s">
        <v>34</v>
      </c>
      <c r="S334" s="5" t="s">
        <v>34</v>
      </c>
      <c r="T334" s="7" t="s">
        <v>34</v>
      </c>
      <c r="U334" s="5" t="s">
        <v>34</v>
      </c>
      <c r="V334" s="7" t="s">
        <v>34</v>
      </c>
      <c r="W334" s="5" t="s">
        <v>34</v>
      </c>
      <c r="X334" s="5" t="s">
        <v>34</v>
      </c>
      <c r="Y334" s="5" t="s">
        <v>34</v>
      </c>
      <c r="Z334" s="5" t="s">
        <v>34</v>
      </c>
      <c r="AA334" s="5" t="s">
        <v>34</v>
      </c>
      <c r="AB334" s="5" t="s">
        <v>34</v>
      </c>
      <c r="AC334" s="5" t="s">
        <v>34</v>
      </c>
      <c r="AD334" s="5" t="s">
        <v>34</v>
      </c>
    </row>
    <row r="335" spans="1:30" ht="15.55" x14ac:dyDescent="0.3">
      <c r="A335" s="4">
        <v>1000000003991</v>
      </c>
      <c r="B335" s="5" t="s">
        <v>970</v>
      </c>
      <c r="C335" s="4">
        <v>3000000002122</v>
      </c>
      <c r="D335" s="5" t="s">
        <v>971</v>
      </c>
      <c r="E335" s="5" t="s">
        <v>31</v>
      </c>
      <c r="F335" s="5" t="s">
        <v>32</v>
      </c>
      <c r="G335" s="10" cm="1">
        <f t="array" ref="G335">IF(OR($A335="",$L335=""),"",_xlfn.LET(_xlpm.cat,UPPER($E335),_xlpm.wt,IFERROR(VALUE(LEFT($L335,FIND(" ",$L335&amp;" ")-1)),$L335),_xlpm.ppk,_xlfn.SWITCH(TRUE,_xlpm.cat="GAMEFOWL",62,_xlpm.cat="POULTRY",45,_xlpm.cat="SWINE",48,_xlpm.cat="HOGS",48,_xlpm.cat="RABBIT",40,45),_xlpm.code,IFERROR(VALUE(LEFT($A335,FIND(" ",$A335&amp;" ")-1)),0),_xlpm.v,1+MOD(_xlpm.code,13)/100,ROUND(_xlpm.ppk*_xlpm.wt*_xlpm.v,0)))</f>
        <v>2424</v>
      </c>
      <c r="H335" s="6" cm="1">
        <f t="array" ref="H335">IF(OR($A335="",$L335=""),"",_xlfn.LET(_xlpm.cat,UPPER($E335),_xlpm.base,_xlfn.SWITCH(TRUE,_xlpm.cat="GAMEFOWL",0.22,_xlpm.cat="POULTRY",0.18,_xlpm.cat="SWINE",0.16,_xlpm.cat="HOGS",0.16,_xlpm.cat="RABBIT",0.15,0.17),_xlpm.code,IFERROR(VALUE(LEFT($A335,FIND(" ",$A335&amp;" ")-1)),0),_xlpm.v,MOD(_xlpm.code,9)/1000,MIN(0.3,MAX(0.1,_xlpm.base+_xlpm.v))))</f>
        <v>0.16500000000000001</v>
      </c>
      <c r="I335" s="5" t="s">
        <v>139</v>
      </c>
      <c r="J335" s="5">
        <v>3</v>
      </c>
      <c r="K335" s="5">
        <v>0.17</v>
      </c>
      <c r="L335" s="5">
        <v>50</v>
      </c>
      <c r="M335" s="5">
        <v>4</v>
      </c>
      <c r="N335" s="5">
        <v>2</v>
      </c>
      <c r="O335" s="5">
        <v>2</v>
      </c>
      <c r="Q335" s="5" t="s">
        <v>34</v>
      </c>
      <c r="R335" s="5" t="s">
        <v>34</v>
      </c>
      <c r="S335" s="5" t="s">
        <v>34</v>
      </c>
      <c r="T335" s="7" t="s">
        <v>34</v>
      </c>
      <c r="U335" s="5" t="s">
        <v>34</v>
      </c>
      <c r="V335" s="7" t="s">
        <v>34</v>
      </c>
      <c r="W335" s="5" t="s">
        <v>34</v>
      </c>
      <c r="X335" s="5" t="s">
        <v>34</v>
      </c>
      <c r="Y335" s="5" t="s">
        <v>34</v>
      </c>
      <c r="Z335" s="5" t="s">
        <v>34</v>
      </c>
      <c r="AA335" s="5" t="s">
        <v>34</v>
      </c>
      <c r="AB335" s="5" t="s">
        <v>34</v>
      </c>
      <c r="AC335" s="5" t="s">
        <v>34</v>
      </c>
      <c r="AD335" s="5" t="s">
        <v>34</v>
      </c>
    </row>
    <row r="336" spans="1:30" ht="15.55" x14ac:dyDescent="0.3">
      <c r="A336" s="4">
        <v>1000000004003</v>
      </c>
      <c r="B336" s="5" t="s">
        <v>972</v>
      </c>
      <c r="C336" s="4">
        <v>3000000002131</v>
      </c>
      <c r="D336" s="5" t="s">
        <v>973</v>
      </c>
      <c r="E336" s="5" t="s">
        <v>62</v>
      </c>
      <c r="F336" s="5" t="s">
        <v>63</v>
      </c>
      <c r="G336" s="10" cm="1">
        <f t="array" ref="G336">IF(OR($A336="",$L336=""),"",_xlfn.LET(_xlpm.cat,UPPER($E336),_xlpm.wt,IFERROR(VALUE(LEFT($L336,FIND(" ",$L336&amp;" ")-1)),$L336),_xlpm.ppk,_xlfn.SWITCH(TRUE,_xlpm.cat="GAMEFOWL",62,_xlpm.cat="POULTRY",45,_xlpm.cat="SWINE",48,_xlpm.cat="HOGS",48,_xlpm.cat="RABBIT",40,45),_xlpm.code,IFERROR(VALUE(LEFT($A336,FIND(" ",$A336&amp;" ")-1)),0),_xlpm.v,1+MOD(_xlpm.code,13)/100,ROUND(_xlpm.ppk*_xlpm.wt*_xlpm.v,0)))</f>
        <v>2250</v>
      </c>
      <c r="H336" s="6" cm="1">
        <f t="array" ref="H336">IF(OR($A336="",$L336=""),"",_xlfn.LET(_xlpm.cat,UPPER($E336),_xlpm.base,_xlfn.SWITCH(TRUE,_xlpm.cat="GAMEFOWL",0.22,_xlpm.cat="POULTRY",0.18,_xlpm.cat="SWINE",0.16,_xlpm.cat="HOGS",0.16,_xlpm.cat="RABBIT",0.15,0.17),_xlpm.code,IFERROR(VALUE(LEFT($A336,FIND(" ",$A336&amp;" ")-1)),0),_xlpm.v,MOD(_xlpm.code,9)/1000,MIN(0.3,MAX(0.1,_xlpm.base+_xlpm.v))))</f>
        <v>0.188</v>
      </c>
      <c r="I336" s="5" t="s">
        <v>64</v>
      </c>
      <c r="J336" s="5">
        <v>4</v>
      </c>
      <c r="K336" s="5">
        <v>0.33</v>
      </c>
      <c r="L336" s="5">
        <v>50</v>
      </c>
      <c r="M336" s="5">
        <v>4</v>
      </c>
      <c r="N336" s="5">
        <v>2</v>
      </c>
      <c r="O336" s="5">
        <v>2</v>
      </c>
      <c r="Q336" s="5">
        <v>4003</v>
      </c>
      <c r="R336" s="5" t="s">
        <v>34</v>
      </c>
      <c r="S336" s="5" t="s">
        <v>63</v>
      </c>
      <c r="T336" s="7">
        <v>5000000000561</v>
      </c>
      <c r="U336" s="5" t="s">
        <v>98</v>
      </c>
      <c r="V336" s="7">
        <v>5000000000125</v>
      </c>
      <c r="W336" s="5" t="s">
        <v>872</v>
      </c>
      <c r="X336" s="5" t="s">
        <v>34</v>
      </c>
      <c r="Y336" s="5" t="s">
        <v>34</v>
      </c>
      <c r="Z336" s="5" t="s">
        <v>34</v>
      </c>
      <c r="AA336" s="5" t="s">
        <v>34</v>
      </c>
      <c r="AB336" s="5" t="s">
        <v>34</v>
      </c>
      <c r="AC336" s="5" t="s">
        <v>34</v>
      </c>
      <c r="AD336" s="5" t="s">
        <v>34</v>
      </c>
    </row>
    <row r="337" spans="1:30" ht="15.55" x14ac:dyDescent="0.3">
      <c r="A337" s="4">
        <v>1000000004004</v>
      </c>
      <c r="B337" s="5" t="s">
        <v>974</v>
      </c>
      <c r="C337" s="4">
        <v>3000000002132</v>
      </c>
      <c r="D337" s="5" t="s">
        <v>975</v>
      </c>
      <c r="E337" s="5" t="s">
        <v>62</v>
      </c>
      <c r="F337" s="5" t="s">
        <v>63</v>
      </c>
      <c r="G337" s="10" cm="1">
        <f t="array" ref="G337">IF(OR($A337="",$L337=""),"",_xlfn.LET(_xlpm.cat,UPPER($E337),_xlpm.wt,IFERROR(VALUE(LEFT($L337,FIND(" ",$L337&amp;" ")-1)),$L337),_xlpm.ppk,_xlfn.SWITCH(TRUE,_xlpm.cat="GAMEFOWL",62,_xlpm.cat="POULTRY",45,_xlpm.cat="SWINE",48,_xlpm.cat="HOGS",48,_xlpm.cat="RABBIT",40,45),_xlpm.code,IFERROR(VALUE(LEFT($A337,FIND(" ",$A337&amp;" ")-1)),0),_xlpm.v,1+MOD(_xlpm.code,13)/100,ROUND(_xlpm.ppk*_xlpm.wt*_xlpm.v,0)))</f>
        <v>2273</v>
      </c>
      <c r="H337" s="6" cm="1">
        <f t="array" ref="H337">IF(OR($A337="",$L337=""),"",_xlfn.LET(_xlpm.cat,UPPER($E337),_xlpm.base,_xlfn.SWITCH(TRUE,_xlpm.cat="GAMEFOWL",0.22,_xlpm.cat="POULTRY",0.18,_xlpm.cat="SWINE",0.16,_xlpm.cat="HOGS",0.16,_xlpm.cat="RABBIT",0.15,0.17),_xlpm.code,IFERROR(VALUE(LEFT($A337,FIND(" ",$A337&amp;" ")-1)),0),_xlpm.v,MOD(_xlpm.code,9)/1000,MIN(0.3,MAX(0.1,_xlpm.base+_xlpm.v))))</f>
        <v>0.18</v>
      </c>
      <c r="I337" s="5" t="s">
        <v>64</v>
      </c>
      <c r="J337" s="5">
        <v>4</v>
      </c>
      <c r="K337" s="5">
        <v>0.33</v>
      </c>
      <c r="L337" s="5">
        <v>50</v>
      </c>
      <c r="M337" s="5">
        <v>4</v>
      </c>
      <c r="N337" s="5">
        <v>2</v>
      </c>
      <c r="O337" s="5">
        <v>2</v>
      </c>
      <c r="Q337" s="5">
        <v>4004</v>
      </c>
      <c r="R337" s="5" t="s">
        <v>34</v>
      </c>
      <c r="S337" s="5" t="s">
        <v>195</v>
      </c>
      <c r="T337" s="7">
        <v>5000000000561</v>
      </c>
      <c r="U337" s="5" t="s">
        <v>98</v>
      </c>
      <c r="V337" s="7">
        <v>5000000000125</v>
      </c>
      <c r="W337" s="5" t="s">
        <v>872</v>
      </c>
      <c r="X337" s="5" t="s">
        <v>34</v>
      </c>
      <c r="Y337" s="5" t="s">
        <v>34</v>
      </c>
      <c r="Z337" s="5" t="s">
        <v>34</v>
      </c>
      <c r="AA337" s="5" t="s">
        <v>34</v>
      </c>
      <c r="AB337" s="5" t="s">
        <v>34</v>
      </c>
      <c r="AC337" s="5" t="s">
        <v>34</v>
      </c>
      <c r="AD337" s="5" t="s">
        <v>34</v>
      </c>
    </row>
    <row r="338" spans="1:30" ht="15.55" x14ac:dyDescent="0.3">
      <c r="A338" s="4">
        <v>1000000004082</v>
      </c>
      <c r="B338" s="5" t="s">
        <v>976</v>
      </c>
      <c r="C338" s="4">
        <v>3000000002141</v>
      </c>
      <c r="D338" s="5" t="s">
        <v>977</v>
      </c>
      <c r="E338" s="5" t="s">
        <v>62</v>
      </c>
      <c r="F338" s="5" t="s">
        <v>63</v>
      </c>
      <c r="G338" s="10" cm="1">
        <f t="array" ref="G338">IF(OR($A338="",$L338=""),"",_xlfn.LET(_xlpm.cat,UPPER($E338),_xlpm.wt,IFERROR(VALUE(LEFT($L338,FIND(" ",$L338&amp;" ")-1)),$L338),_xlpm.ppk,_xlfn.SWITCH(TRUE,_xlpm.cat="GAMEFOWL",62,_xlpm.cat="POULTRY",45,_xlpm.cat="SWINE",48,_xlpm.cat="HOGS",48,_xlpm.cat="RABBIT",40,45),_xlpm.code,IFERROR(VALUE(LEFT($A338,FIND(" ",$A338&amp;" ")-1)),0),_xlpm.v,1+MOD(_xlpm.code,13)/100,ROUND(_xlpm.ppk*_xlpm.wt*_xlpm.v,0)))</f>
        <v>2273</v>
      </c>
      <c r="H338" s="6" cm="1">
        <f t="array" ref="H338">IF(OR($A338="",$L338=""),"",_xlfn.LET(_xlpm.cat,UPPER($E338),_xlpm.base,_xlfn.SWITCH(TRUE,_xlpm.cat="GAMEFOWL",0.22,_xlpm.cat="POULTRY",0.18,_xlpm.cat="SWINE",0.16,_xlpm.cat="HOGS",0.16,_xlpm.cat="RABBIT",0.15,0.17),_xlpm.code,IFERROR(VALUE(LEFT($A338,FIND(" ",$A338&amp;" ")-1)),0),_xlpm.v,MOD(_xlpm.code,9)/1000,MIN(0.3,MAX(0.1,_xlpm.base+_xlpm.v))))</f>
        <v>0.186</v>
      </c>
      <c r="I338" s="5" t="s">
        <v>64</v>
      </c>
      <c r="J338" s="5">
        <v>4</v>
      </c>
      <c r="K338" s="5">
        <v>0.33</v>
      </c>
      <c r="L338" s="5">
        <v>50</v>
      </c>
      <c r="M338" s="5">
        <v>4</v>
      </c>
      <c r="N338" s="5">
        <v>2</v>
      </c>
      <c r="O338" s="5">
        <v>2</v>
      </c>
      <c r="Q338" s="5">
        <v>4082</v>
      </c>
      <c r="R338" s="5" t="s">
        <v>34</v>
      </c>
      <c r="S338" s="5" t="s">
        <v>92</v>
      </c>
      <c r="T338" s="7" t="s">
        <v>34</v>
      </c>
      <c r="U338" s="5" t="s">
        <v>34</v>
      </c>
      <c r="V338" s="7" t="s">
        <v>34</v>
      </c>
      <c r="W338" s="5" t="s">
        <v>34</v>
      </c>
      <c r="X338" s="5" t="s">
        <v>34</v>
      </c>
      <c r="Y338" s="5" t="s">
        <v>34</v>
      </c>
      <c r="Z338" s="5" t="s">
        <v>34</v>
      </c>
      <c r="AA338" s="5">
        <v>7.9994879999999995</v>
      </c>
      <c r="AB338" s="5" t="s">
        <v>34</v>
      </c>
      <c r="AC338" s="5">
        <v>6.4757760000000006</v>
      </c>
      <c r="AD338" s="5" t="s">
        <v>34</v>
      </c>
    </row>
    <row r="339" spans="1:30" ht="15.55" x14ac:dyDescent="0.3">
      <c r="A339" s="4">
        <v>1000000004083</v>
      </c>
      <c r="B339" s="5" t="s">
        <v>978</v>
      </c>
      <c r="C339" s="4">
        <v>3000000002142</v>
      </c>
      <c r="D339" s="5" t="s">
        <v>979</v>
      </c>
      <c r="E339" s="5" t="s">
        <v>62</v>
      </c>
      <c r="F339" s="5" t="s">
        <v>63</v>
      </c>
      <c r="G339" s="10" cm="1">
        <f t="array" ref="G339">IF(OR($A339="",$L339=""),"",_xlfn.LET(_xlpm.cat,UPPER($E339),_xlpm.wt,IFERROR(VALUE(LEFT($L339,FIND(" ",$L339&amp;" ")-1)),$L339),_xlpm.ppk,_xlfn.SWITCH(TRUE,_xlpm.cat="GAMEFOWL",62,_xlpm.cat="POULTRY",45,_xlpm.cat="SWINE",48,_xlpm.cat="HOGS",48,_xlpm.cat="RABBIT",40,45),_xlpm.code,IFERROR(VALUE(LEFT($A339,FIND(" ",$A339&amp;" ")-1)),0),_xlpm.v,1+MOD(_xlpm.code,13)/100,ROUND(_xlpm.ppk*_xlpm.wt*_xlpm.v,0)))</f>
        <v>2295</v>
      </c>
      <c r="H339" s="6" cm="1">
        <f t="array" ref="H339">IF(OR($A339="",$L339=""),"",_xlfn.LET(_xlpm.cat,UPPER($E339),_xlpm.base,_xlfn.SWITCH(TRUE,_xlpm.cat="GAMEFOWL",0.22,_xlpm.cat="POULTRY",0.18,_xlpm.cat="SWINE",0.16,_xlpm.cat="HOGS",0.16,_xlpm.cat="RABBIT",0.15,0.17),_xlpm.code,IFERROR(VALUE(LEFT($A339,FIND(" ",$A339&amp;" ")-1)),0),_xlpm.v,MOD(_xlpm.code,9)/1000,MIN(0.3,MAX(0.1,_xlpm.base+_xlpm.v))))</f>
        <v>0.187</v>
      </c>
      <c r="I339" s="5" t="s">
        <v>64</v>
      </c>
      <c r="J339" s="5">
        <v>4</v>
      </c>
      <c r="K339" s="5">
        <v>0.33</v>
      </c>
      <c r="L339" s="5">
        <v>50</v>
      </c>
      <c r="M339" s="5">
        <v>4</v>
      </c>
      <c r="N339" s="5">
        <v>2</v>
      </c>
      <c r="O339" s="5">
        <v>2</v>
      </c>
      <c r="Q339" s="5" t="s">
        <v>34</v>
      </c>
      <c r="R339" s="5" t="s">
        <v>34</v>
      </c>
      <c r="S339" s="5" t="s">
        <v>34</v>
      </c>
      <c r="T339" s="7" t="s">
        <v>34</v>
      </c>
      <c r="U339" s="5" t="s">
        <v>34</v>
      </c>
      <c r="V339" s="7" t="s">
        <v>34</v>
      </c>
      <c r="W339" s="5" t="s">
        <v>34</v>
      </c>
      <c r="X339" s="5" t="s">
        <v>34</v>
      </c>
      <c r="Y339" s="5" t="s">
        <v>34</v>
      </c>
      <c r="Z339" s="5" t="s">
        <v>34</v>
      </c>
      <c r="AA339" s="5" t="s">
        <v>34</v>
      </c>
      <c r="AB339" s="5" t="s">
        <v>34</v>
      </c>
      <c r="AC339" s="5" t="s">
        <v>34</v>
      </c>
      <c r="AD339" s="5" t="s">
        <v>34</v>
      </c>
    </row>
    <row r="340" spans="1:30" ht="15.55" x14ac:dyDescent="0.3">
      <c r="A340" s="4">
        <v>1000000004084</v>
      </c>
      <c r="B340" s="5" t="s">
        <v>980</v>
      </c>
      <c r="C340" s="4">
        <v>3000000002143</v>
      </c>
      <c r="D340" s="5" t="s">
        <v>981</v>
      </c>
      <c r="E340" s="5" t="s">
        <v>62</v>
      </c>
      <c r="F340" s="5" t="s">
        <v>63</v>
      </c>
      <c r="G340" s="10" cm="1">
        <f t="array" ref="G340">IF(OR($A340="",$L340=""),"",_xlfn.LET(_xlpm.cat,UPPER($E340),_xlpm.wt,IFERROR(VALUE(LEFT($L340,FIND(" ",$L340&amp;" ")-1)),$L340),_xlpm.ppk,_xlfn.SWITCH(TRUE,_xlpm.cat="GAMEFOWL",62,_xlpm.cat="POULTRY",45,_xlpm.cat="SWINE",48,_xlpm.cat="HOGS",48,_xlpm.cat="RABBIT",40,45),_xlpm.code,IFERROR(VALUE(LEFT($A340,FIND(" ",$A340&amp;" ")-1)),0),_xlpm.v,1+MOD(_xlpm.code,13)/100,ROUND(_xlpm.ppk*_xlpm.wt*_xlpm.v,0)))</f>
        <v>2318</v>
      </c>
      <c r="H340" s="6" cm="1">
        <f t="array" ref="H340">IF(OR($A340="",$L340=""),"",_xlfn.LET(_xlpm.cat,UPPER($E340),_xlpm.base,_xlfn.SWITCH(TRUE,_xlpm.cat="GAMEFOWL",0.22,_xlpm.cat="POULTRY",0.18,_xlpm.cat="SWINE",0.16,_xlpm.cat="HOGS",0.16,_xlpm.cat="RABBIT",0.15,0.17),_xlpm.code,IFERROR(VALUE(LEFT($A340,FIND(" ",$A340&amp;" ")-1)),0),_xlpm.v,MOD(_xlpm.code,9)/1000,MIN(0.3,MAX(0.1,_xlpm.base+_xlpm.v))))</f>
        <v>0.188</v>
      </c>
      <c r="I340" s="5" t="s">
        <v>106</v>
      </c>
      <c r="J340" s="5">
        <v>4</v>
      </c>
      <c r="K340" s="5">
        <v>0.33</v>
      </c>
      <c r="L340" s="5">
        <v>50</v>
      </c>
      <c r="M340" s="5">
        <v>4</v>
      </c>
      <c r="N340" s="5">
        <v>2</v>
      </c>
      <c r="O340" s="5">
        <v>2</v>
      </c>
      <c r="Q340" s="5">
        <v>4084</v>
      </c>
      <c r="R340" s="5" t="s">
        <v>34</v>
      </c>
      <c r="S340" s="5" t="s">
        <v>92</v>
      </c>
      <c r="T340" s="7">
        <v>5000000000562</v>
      </c>
      <c r="U340" s="5" t="s">
        <v>108</v>
      </c>
      <c r="V340" s="7">
        <v>5000000000122</v>
      </c>
      <c r="W340" s="5" t="s">
        <v>876</v>
      </c>
      <c r="X340" s="5" t="s">
        <v>34</v>
      </c>
      <c r="Y340" s="5" t="s">
        <v>34</v>
      </c>
      <c r="Z340" s="5" t="s">
        <v>34</v>
      </c>
      <c r="AA340" s="5">
        <v>7.3407066352941177</v>
      </c>
      <c r="AB340" s="5" t="s">
        <v>34</v>
      </c>
      <c r="AC340" s="5" t="s">
        <v>34</v>
      </c>
      <c r="AD340" s="5" t="s">
        <v>34</v>
      </c>
    </row>
    <row r="341" spans="1:30" ht="15.55" x14ac:dyDescent="0.3">
      <c r="A341" s="4">
        <v>1000000004085</v>
      </c>
      <c r="B341" s="5" t="s">
        <v>982</v>
      </c>
      <c r="C341" s="4">
        <v>3000000002144</v>
      </c>
      <c r="D341" s="5" t="s">
        <v>983</v>
      </c>
      <c r="E341" s="5" t="s">
        <v>62</v>
      </c>
      <c r="F341" s="5" t="s">
        <v>63</v>
      </c>
      <c r="G341" s="10" cm="1">
        <f t="array" ref="G341">IF(OR($A341="",$L341=""),"",_xlfn.LET(_xlpm.cat,UPPER($E341),_xlpm.wt,IFERROR(VALUE(LEFT($L341,FIND(" ",$L341&amp;" ")-1)),$L341),_xlpm.ppk,_xlfn.SWITCH(TRUE,_xlpm.cat="GAMEFOWL",62,_xlpm.cat="POULTRY",45,_xlpm.cat="SWINE",48,_xlpm.cat="HOGS",48,_xlpm.cat="RABBIT",40,45),_xlpm.code,IFERROR(VALUE(LEFT($A341,FIND(" ",$A341&amp;" ")-1)),0),_xlpm.v,1+MOD(_xlpm.code,13)/100,ROUND(_xlpm.ppk*_xlpm.wt*_xlpm.v,0)))</f>
        <v>2340</v>
      </c>
      <c r="H341" s="6" cm="1">
        <f t="array" ref="H341">IF(OR($A341="",$L341=""),"",_xlfn.LET(_xlpm.cat,UPPER($E341),_xlpm.base,_xlfn.SWITCH(TRUE,_xlpm.cat="GAMEFOWL",0.22,_xlpm.cat="POULTRY",0.18,_xlpm.cat="SWINE",0.16,_xlpm.cat="HOGS",0.16,_xlpm.cat="RABBIT",0.15,0.17),_xlpm.code,IFERROR(VALUE(LEFT($A341,FIND(" ",$A341&amp;" ")-1)),0),_xlpm.v,MOD(_xlpm.code,9)/1000,MIN(0.3,MAX(0.1,_xlpm.base+_xlpm.v))))</f>
        <v>0.18</v>
      </c>
      <c r="I341" s="5" t="s">
        <v>77</v>
      </c>
      <c r="J341" s="5">
        <v>4</v>
      </c>
      <c r="K341" s="5">
        <v>0.33</v>
      </c>
      <c r="L341" s="5">
        <v>50</v>
      </c>
      <c r="M341" s="5">
        <v>4</v>
      </c>
      <c r="N341" s="5">
        <v>2</v>
      </c>
      <c r="O341" s="5">
        <v>2</v>
      </c>
      <c r="Q341" s="5" t="s">
        <v>34</v>
      </c>
      <c r="R341" s="5" t="s">
        <v>34</v>
      </c>
      <c r="S341" s="5" t="s">
        <v>34</v>
      </c>
      <c r="T341" s="7" t="s">
        <v>34</v>
      </c>
      <c r="U341" s="5" t="s">
        <v>34</v>
      </c>
      <c r="V341" s="7" t="s">
        <v>34</v>
      </c>
      <c r="W341" s="5" t="s">
        <v>34</v>
      </c>
      <c r="X341" s="5" t="s">
        <v>34</v>
      </c>
      <c r="Y341" s="5" t="s">
        <v>34</v>
      </c>
      <c r="Z341" s="5" t="s">
        <v>34</v>
      </c>
      <c r="AA341" s="5" t="s">
        <v>34</v>
      </c>
      <c r="AB341" s="5" t="s">
        <v>34</v>
      </c>
      <c r="AC341" s="5" t="s">
        <v>34</v>
      </c>
      <c r="AD341" s="5" t="s">
        <v>34</v>
      </c>
    </row>
    <row r="342" spans="1:30" ht="15.55" x14ac:dyDescent="0.3">
      <c r="A342" s="4">
        <v>1000000004086</v>
      </c>
      <c r="B342" s="5" t="s">
        <v>984</v>
      </c>
      <c r="C342" s="4">
        <v>3000000002145</v>
      </c>
      <c r="D342" s="5" t="s">
        <v>985</v>
      </c>
      <c r="E342" s="5" t="s">
        <v>62</v>
      </c>
      <c r="F342" s="5" t="s">
        <v>63</v>
      </c>
      <c r="G342" s="10" cm="1">
        <f t="array" ref="G342">IF(OR($A342="",$L342=""),"",_xlfn.LET(_xlpm.cat,UPPER($E342),_xlpm.wt,IFERROR(VALUE(LEFT($L342,FIND(" ",$L342&amp;" ")-1)),$L342),_xlpm.ppk,_xlfn.SWITCH(TRUE,_xlpm.cat="GAMEFOWL",62,_xlpm.cat="POULTRY",45,_xlpm.cat="SWINE",48,_xlpm.cat="HOGS",48,_xlpm.cat="RABBIT",40,45),_xlpm.code,IFERROR(VALUE(LEFT($A342,FIND(" ",$A342&amp;" ")-1)),0),_xlpm.v,1+MOD(_xlpm.code,13)/100,ROUND(_xlpm.ppk*_xlpm.wt*_xlpm.v,0)))</f>
        <v>2363</v>
      </c>
      <c r="H342" s="6" cm="1">
        <f t="array" ref="H342">IF(OR($A342="",$L342=""),"",_xlfn.LET(_xlpm.cat,UPPER($E342),_xlpm.base,_xlfn.SWITCH(TRUE,_xlpm.cat="GAMEFOWL",0.22,_xlpm.cat="POULTRY",0.18,_xlpm.cat="SWINE",0.16,_xlpm.cat="HOGS",0.16,_xlpm.cat="RABBIT",0.15,0.17),_xlpm.code,IFERROR(VALUE(LEFT($A342,FIND(" ",$A342&amp;" ")-1)),0),_xlpm.v,MOD(_xlpm.code,9)/1000,MIN(0.3,MAX(0.1,_xlpm.base+_xlpm.v))))</f>
        <v>0.18099999999999999</v>
      </c>
      <c r="I342" s="5" t="s">
        <v>77</v>
      </c>
      <c r="J342" s="5">
        <v>4</v>
      </c>
      <c r="K342" s="5">
        <v>0.33</v>
      </c>
      <c r="L342" s="5">
        <v>50</v>
      </c>
      <c r="M342" s="5">
        <v>4</v>
      </c>
      <c r="N342" s="5">
        <v>2</v>
      </c>
      <c r="O342" s="5">
        <v>2</v>
      </c>
      <c r="Q342" s="5" t="s">
        <v>34</v>
      </c>
      <c r="R342" s="5" t="s">
        <v>34</v>
      </c>
      <c r="S342" s="5" t="s">
        <v>34</v>
      </c>
      <c r="T342" s="7" t="s">
        <v>34</v>
      </c>
      <c r="U342" s="5" t="s">
        <v>34</v>
      </c>
      <c r="V342" s="7" t="s">
        <v>34</v>
      </c>
      <c r="W342" s="5" t="s">
        <v>34</v>
      </c>
      <c r="X342" s="5" t="s">
        <v>34</v>
      </c>
      <c r="Y342" s="5" t="s">
        <v>34</v>
      </c>
      <c r="Z342" s="5" t="s">
        <v>34</v>
      </c>
      <c r="AA342" s="5" t="s">
        <v>34</v>
      </c>
      <c r="AB342" s="5" t="s">
        <v>34</v>
      </c>
      <c r="AC342" s="5" t="s">
        <v>34</v>
      </c>
      <c r="AD342" s="5" t="s">
        <v>34</v>
      </c>
    </row>
    <row r="343" spans="1:30" ht="15.55" x14ac:dyDescent="0.3">
      <c r="A343" s="4">
        <v>1000000004087</v>
      </c>
      <c r="B343" s="5" t="s">
        <v>986</v>
      </c>
      <c r="C343" s="4">
        <v>3000000002146</v>
      </c>
      <c r="D343" s="5" t="s">
        <v>987</v>
      </c>
      <c r="E343" s="5" t="s">
        <v>62</v>
      </c>
      <c r="F343" s="5" t="s">
        <v>63</v>
      </c>
      <c r="G343" s="10" cm="1">
        <f t="array" ref="G343">IF(OR($A343="",$L343=""),"",_xlfn.LET(_xlpm.cat,UPPER($E343),_xlpm.wt,IFERROR(VALUE(LEFT($L343,FIND(" ",$L343&amp;" ")-1)),$L343),_xlpm.ppk,_xlfn.SWITCH(TRUE,_xlpm.cat="GAMEFOWL",62,_xlpm.cat="POULTRY",45,_xlpm.cat="SWINE",48,_xlpm.cat="HOGS",48,_xlpm.cat="RABBIT",40,45),_xlpm.code,IFERROR(VALUE(LEFT($A343,FIND(" ",$A343&amp;" ")-1)),0),_xlpm.v,1+MOD(_xlpm.code,13)/100,ROUND(_xlpm.ppk*_xlpm.wt*_xlpm.v,0)))</f>
        <v>2385</v>
      </c>
      <c r="H343" s="6" cm="1">
        <f t="array" ref="H343">IF(OR($A343="",$L343=""),"",_xlfn.LET(_xlpm.cat,UPPER($E343),_xlpm.base,_xlfn.SWITCH(TRUE,_xlpm.cat="GAMEFOWL",0.22,_xlpm.cat="POULTRY",0.18,_xlpm.cat="SWINE",0.16,_xlpm.cat="HOGS",0.16,_xlpm.cat="RABBIT",0.15,0.17),_xlpm.code,IFERROR(VALUE(LEFT($A343,FIND(" ",$A343&amp;" ")-1)),0),_xlpm.v,MOD(_xlpm.code,9)/1000,MIN(0.3,MAX(0.1,_xlpm.base+_xlpm.v))))</f>
        <v>0.182</v>
      </c>
      <c r="I343" s="5" t="s">
        <v>77</v>
      </c>
      <c r="J343" s="5">
        <v>4</v>
      </c>
      <c r="K343" s="5">
        <v>0.33</v>
      </c>
      <c r="L343" s="5">
        <v>50</v>
      </c>
      <c r="M343" s="5">
        <v>4</v>
      </c>
      <c r="N343" s="5">
        <v>2</v>
      </c>
      <c r="O343" s="5">
        <v>2</v>
      </c>
      <c r="Q343" s="5" t="s">
        <v>34</v>
      </c>
      <c r="R343" s="5" t="s">
        <v>34</v>
      </c>
      <c r="S343" s="5" t="s">
        <v>34</v>
      </c>
      <c r="T343" s="7" t="s">
        <v>34</v>
      </c>
      <c r="U343" s="5" t="s">
        <v>34</v>
      </c>
      <c r="V343" s="7" t="s">
        <v>34</v>
      </c>
      <c r="W343" s="5" t="s">
        <v>34</v>
      </c>
      <c r="X343" s="5" t="s">
        <v>34</v>
      </c>
      <c r="Y343" s="5" t="s">
        <v>34</v>
      </c>
      <c r="Z343" s="5" t="s">
        <v>34</v>
      </c>
      <c r="AA343" s="5" t="s">
        <v>34</v>
      </c>
      <c r="AB343" s="5" t="s">
        <v>34</v>
      </c>
      <c r="AC343" s="5" t="s">
        <v>34</v>
      </c>
      <c r="AD343" s="5" t="s">
        <v>34</v>
      </c>
    </row>
    <row r="344" spans="1:30" ht="15.55" x14ac:dyDescent="0.3">
      <c r="A344" s="4">
        <v>1000000004101</v>
      </c>
      <c r="B344" s="5" t="s">
        <v>988</v>
      </c>
      <c r="C344" s="4">
        <v>3000000002141</v>
      </c>
      <c r="D344" s="5" t="s">
        <v>977</v>
      </c>
      <c r="E344" s="5" t="s">
        <v>62</v>
      </c>
      <c r="F344" s="5" t="s">
        <v>63</v>
      </c>
      <c r="G344" s="10" cm="1">
        <f t="array" ref="G344">IF(OR($A344="",$L344=""),"",_xlfn.LET(_xlpm.cat,UPPER($E344),_xlpm.wt,IFERROR(VALUE(LEFT($L344,FIND(" ",$L344&amp;" ")-1)),$L344),_xlpm.ppk,_xlfn.SWITCH(TRUE,_xlpm.cat="GAMEFOWL",62,_xlpm.cat="POULTRY",45,_xlpm.cat="SWINE",48,_xlpm.cat="HOGS",48,_xlpm.cat="RABBIT",40,45),_xlpm.code,IFERROR(VALUE(LEFT($A344,FIND(" ",$A344&amp;" ")-1)),0),_xlpm.v,1+MOD(_xlpm.code,13)/100,ROUND(_xlpm.ppk*_xlpm.wt*_xlpm.v,0)))</f>
        <v>48</v>
      </c>
      <c r="H344" s="6" cm="1">
        <f t="array" ref="H344">IF(OR($A344="",$L344=""),"",_xlfn.LET(_xlpm.cat,UPPER($E344),_xlpm.base,_xlfn.SWITCH(TRUE,_xlpm.cat="GAMEFOWL",0.22,_xlpm.cat="POULTRY",0.18,_xlpm.cat="SWINE",0.16,_xlpm.cat="HOGS",0.16,_xlpm.cat="RABBIT",0.15,0.17),_xlpm.code,IFERROR(VALUE(LEFT($A344,FIND(" ",$A344&amp;" ")-1)),0),_xlpm.v,MOD(_xlpm.code,9)/1000,MIN(0.3,MAX(0.1,_xlpm.base+_xlpm.v))))</f>
        <v>0.187</v>
      </c>
      <c r="I344" s="5" t="s">
        <v>64</v>
      </c>
      <c r="J344" s="5">
        <v>4</v>
      </c>
      <c r="K344" s="5">
        <v>0.33</v>
      </c>
      <c r="L344" s="5">
        <v>1</v>
      </c>
      <c r="M344" s="5">
        <v>4</v>
      </c>
      <c r="N344" s="5">
        <v>2</v>
      </c>
      <c r="O344" s="5">
        <v>2</v>
      </c>
      <c r="Q344" s="5" t="s">
        <v>34</v>
      </c>
      <c r="R344" s="5" t="s">
        <v>34</v>
      </c>
      <c r="S344" s="5" t="s">
        <v>34</v>
      </c>
      <c r="T344" s="7" t="s">
        <v>34</v>
      </c>
      <c r="U344" s="5" t="s">
        <v>34</v>
      </c>
      <c r="V344" s="7" t="s">
        <v>34</v>
      </c>
      <c r="W344" s="5" t="s">
        <v>34</v>
      </c>
      <c r="X344" s="5" t="s">
        <v>34</v>
      </c>
      <c r="Y344" s="5" t="s">
        <v>34</v>
      </c>
      <c r="Z344" s="5" t="s">
        <v>34</v>
      </c>
      <c r="AA344" s="5">
        <v>7.9994879999999995</v>
      </c>
      <c r="AB344" s="5" t="s">
        <v>34</v>
      </c>
      <c r="AC344" s="5">
        <v>6.4757760000000006</v>
      </c>
      <c r="AD344" s="5" t="s">
        <v>34</v>
      </c>
    </row>
    <row r="345" spans="1:30" ht="15.55" x14ac:dyDescent="0.3">
      <c r="A345" s="4">
        <v>1000000004103</v>
      </c>
      <c r="B345" s="5" t="s">
        <v>989</v>
      </c>
      <c r="C345" s="4">
        <v>3000000002142</v>
      </c>
      <c r="D345" s="5" t="s">
        <v>979</v>
      </c>
      <c r="E345" s="5" t="s">
        <v>62</v>
      </c>
      <c r="F345" s="5" t="s">
        <v>63</v>
      </c>
      <c r="G345" s="10" cm="1">
        <f t="array" ref="G345">IF(OR($A345="",$L345=""),"",_xlfn.LET(_xlpm.cat,UPPER($E345),_xlpm.wt,IFERROR(VALUE(LEFT($L345,FIND(" ",$L345&amp;" ")-1)),$L345),_xlpm.ppk,_xlfn.SWITCH(TRUE,_xlpm.cat="GAMEFOWL",62,_xlpm.cat="POULTRY",45,_xlpm.cat="SWINE",48,_xlpm.cat="HOGS",48,_xlpm.cat="RABBIT",40,45),_xlpm.code,IFERROR(VALUE(LEFT($A345,FIND(" ",$A345&amp;" ")-1)),0),_xlpm.v,1+MOD(_xlpm.code,13)/100,ROUND(_xlpm.ppk*_xlpm.wt*_xlpm.v,0)))</f>
        <v>49</v>
      </c>
      <c r="H345" s="6" cm="1">
        <f t="array" ref="H345">IF(OR($A345="",$L345=""),"",_xlfn.LET(_xlpm.cat,UPPER($E345),_xlpm.base,_xlfn.SWITCH(TRUE,_xlpm.cat="GAMEFOWL",0.22,_xlpm.cat="POULTRY",0.18,_xlpm.cat="SWINE",0.16,_xlpm.cat="HOGS",0.16,_xlpm.cat="RABBIT",0.15,0.17),_xlpm.code,IFERROR(VALUE(LEFT($A345,FIND(" ",$A345&amp;" ")-1)),0),_xlpm.v,MOD(_xlpm.code,9)/1000,MIN(0.3,MAX(0.1,_xlpm.base+_xlpm.v))))</f>
        <v>0.18</v>
      </c>
      <c r="I345" s="5" t="s">
        <v>64</v>
      </c>
      <c r="J345" s="5">
        <v>4</v>
      </c>
      <c r="K345" s="5">
        <v>0.33</v>
      </c>
      <c r="L345" s="5">
        <v>1</v>
      </c>
      <c r="M345" s="5">
        <v>4</v>
      </c>
      <c r="N345" s="5">
        <v>2</v>
      </c>
      <c r="O345" s="5">
        <v>2</v>
      </c>
      <c r="Q345" s="5" t="s">
        <v>34</v>
      </c>
      <c r="R345" s="5" t="s">
        <v>34</v>
      </c>
      <c r="S345" s="5" t="s">
        <v>34</v>
      </c>
      <c r="T345" s="7" t="s">
        <v>34</v>
      </c>
      <c r="U345" s="5" t="s">
        <v>34</v>
      </c>
      <c r="V345" s="7" t="s">
        <v>34</v>
      </c>
      <c r="W345" s="5" t="s">
        <v>34</v>
      </c>
      <c r="X345" s="5" t="s">
        <v>34</v>
      </c>
      <c r="Y345" s="5" t="s">
        <v>34</v>
      </c>
      <c r="Z345" s="5" t="s">
        <v>34</v>
      </c>
      <c r="AA345" s="5" t="s">
        <v>34</v>
      </c>
      <c r="AB345" s="5" t="s">
        <v>34</v>
      </c>
      <c r="AC345" s="5" t="s">
        <v>34</v>
      </c>
      <c r="AD345" s="5" t="s">
        <v>34</v>
      </c>
    </row>
    <row r="346" spans="1:30" ht="15.55" x14ac:dyDescent="0.3">
      <c r="A346" s="4">
        <v>1000000004104</v>
      </c>
      <c r="B346" s="5" t="s">
        <v>990</v>
      </c>
      <c r="C346" s="4">
        <v>3000000002143</v>
      </c>
      <c r="D346" s="5" t="s">
        <v>981</v>
      </c>
      <c r="E346" s="5" t="s">
        <v>62</v>
      </c>
      <c r="F346" s="5" t="s">
        <v>63</v>
      </c>
      <c r="G346" s="10" cm="1">
        <f t="array" ref="G346">IF(OR($A346="",$L346=""),"",_xlfn.LET(_xlpm.cat,UPPER($E346),_xlpm.wt,IFERROR(VALUE(LEFT($L346,FIND(" ",$L346&amp;" ")-1)),$L346),_xlpm.ppk,_xlfn.SWITCH(TRUE,_xlpm.cat="GAMEFOWL",62,_xlpm.cat="POULTRY",45,_xlpm.cat="SWINE",48,_xlpm.cat="HOGS",48,_xlpm.cat="RABBIT",40,45),_xlpm.code,IFERROR(VALUE(LEFT($A346,FIND(" ",$A346&amp;" ")-1)),0),_xlpm.v,1+MOD(_xlpm.code,13)/100,ROUND(_xlpm.ppk*_xlpm.wt*_xlpm.v,0)))</f>
        <v>50</v>
      </c>
      <c r="H346" s="6" cm="1">
        <f t="array" ref="H346">IF(OR($A346="",$L346=""),"",_xlfn.LET(_xlpm.cat,UPPER($E346),_xlpm.base,_xlfn.SWITCH(TRUE,_xlpm.cat="GAMEFOWL",0.22,_xlpm.cat="POULTRY",0.18,_xlpm.cat="SWINE",0.16,_xlpm.cat="HOGS",0.16,_xlpm.cat="RABBIT",0.15,0.17),_xlpm.code,IFERROR(VALUE(LEFT($A346,FIND(" ",$A346&amp;" ")-1)),0),_xlpm.v,MOD(_xlpm.code,9)/1000,MIN(0.3,MAX(0.1,_xlpm.base+_xlpm.v))))</f>
        <v>0.18099999999999999</v>
      </c>
      <c r="I346" s="5" t="s">
        <v>106</v>
      </c>
      <c r="J346" s="5">
        <v>4</v>
      </c>
      <c r="K346" s="5">
        <v>0.33</v>
      </c>
      <c r="L346" s="5">
        <v>1</v>
      </c>
      <c r="M346" s="5">
        <v>4</v>
      </c>
      <c r="N346" s="5">
        <v>2</v>
      </c>
      <c r="O346" s="5">
        <v>2</v>
      </c>
      <c r="Q346" s="5" t="s">
        <v>34</v>
      </c>
      <c r="R346" s="5" t="s">
        <v>34</v>
      </c>
      <c r="S346" s="5" t="s">
        <v>34</v>
      </c>
      <c r="T346" s="7" t="s">
        <v>34</v>
      </c>
      <c r="U346" s="5" t="s">
        <v>34</v>
      </c>
      <c r="V346" s="7" t="s">
        <v>34</v>
      </c>
      <c r="W346" s="5" t="s">
        <v>34</v>
      </c>
      <c r="X346" s="5" t="s">
        <v>34</v>
      </c>
      <c r="Y346" s="5" t="s">
        <v>34</v>
      </c>
      <c r="Z346" s="5" t="s">
        <v>34</v>
      </c>
      <c r="AA346" s="5">
        <v>7.3407066352941177</v>
      </c>
      <c r="AB346" s="5" t="s">
        <v>34</v>
      </c>
      <c r="AC346" s="5" t="s">
        <v>34</v>
      </c>
      <c r="AD346" s="5" t="s">
        <v>34</v>
      </c>
    </row>
    <row r="347" spans="1:30" ht="15.55" x14ac:dyDescent="0.3">
      <c r="A347" s="4">
        <v>1000000004105</v>
      </c>
      <c r="B347" s="5" t="s">
        <v>991</v>
      </c>
      <c r="C347" s="4">
        <v>3000000002144</v>
      </c>
      <c r="D347" s="5" t="s">
        <v>983</v>
      </c>
      <c r="E347" s="5" t="s">
        <v>62</v>
      </c>
      <c r="F347" s="5" t="s">
        <v>63</v>
      </c>
      <c r="G347" s="10" cm="1">
        <f t="array" ref="G347">IF(OR($A347="",$L347=""),"",_xlfn.LET(_xlpm.cat,UPPER($E347),_xlpm.wt,IFERROR(VALUE(LEFT($L347,FIND(" ",$L347&amp;" ")-1)),$L347),_xlpm.ppk,_xlfn.SWITCH(TRUE,_xlpm.cat="GAMEFOWL",62,_xlpm.cat="POULTRY",45,_xlpm.cat="SWINE",48,_xlpm.cat="HOGS",48,_xlpm.cat="RABBIT",40,45),_xlpm.code,IFERROR(VALUE(LEFT($A347,FIND(" ",$A347&amp;" ")-1)),0),_xlpm.v,1+MOD(_xlpm.code,13)/100,ROUND(_xlpm.ppk*_xlpm.wt*_xlpm.v,0)))</f>
        <v>50</v>
      </c>
      <c r="H347" s="6" cm="1">
        <f t="array" ref="H347">IF(OR($A347="",$L347=""),"",_xlfn.LET(_xlpm.cat,UPPER($E347),_xlpm.base,_xlfn.SWITCH(TRUE,_xlpm.cat="GAMEFOWL",0.22,_xlpm.cat="POULTRY",0.18,_xlpm.cat="SWINE",0.16,_xlpm.cat="HOGS",0.16,_xlpm.cat="RABBIT",0.15,0.17),_xlpm.code,IFERROR(VALUE(LEFT($A347,FIND(" ",$A347&amp;" ")-1)),0),_xlpm.v,MOD(_xlpm.code,9)/1000,MIN(0.3,MAX(0.1,_xlpm.base+_xlpm.v))))</f>
        <v>0.182</v>
      </c>
      <c r="I347" s="5" t="s">
        <v>77</v>
      </c>
      <c r="J347" s="5">
        <v>4</v>
      </c>
      <c r="K347" s="5">
        <v>0.33</v>
      </c>
      <c r="L347" s="5">
        <v>1</v>
      </c>
      <c r="M347" s="5">
        <v>4</v>
      </c>
      <c r="N347" s="5">
        <v>2</v>
      </c>
      <c r="O347" s="5">
        <v>2</v>
      </c>
      <c r="Q347" s="5" t="s">
        <v>34</v>
      </c>
      <c r="R347" s="5" t="s">
        <v>34</v>
      </c>
      <c r="S347" s="5" t="s">
        <v>34</v>
      </c>
      <c r="T347" s="7" t="s">
        <v>34</v>
      </c>
      <c r="U347" s="5" t="s">
        <v>34</v>
      </c>
      <c r="V347" s="7" t="s">
        <v>34</v>
      </c>
      <c r="W347" s="5" t="s">
        <v>34</v>
      </c>
      <c r="X347" s="5" t="s">
        <v>34</v>
      </c>
      <c r="Y347" s="5" t="s">
        <v>34</v>
      </c>
      <c r="Z347" s="5" t="s">
        <v>34</v>
      </c>
      <c r="AA347" s="5" t="s">
        <v>34</v>
      </c>
      <c r="AB347" s="5" t="s">
        <v>34</v>
      </c>
      <c r="AC347" s="5" t="s">
        <v>34</v>
      </c>
      <c r="AD347" s="5" t="s">
        <v>34</v>
      </c>
    </row>
    <row r="348" spans="1:30" ht="15.55" x14ac:dyDescent="0.3">
      <c r="A348" s="4">
        <v>1000000004106</v>
      </c>
      <c r="B348" s="5" t="s">
        <v>992</v>
      </c>
      <c r="C348" s="4">
        <v>3000000002145</v>
      </c>
      <c r="D348" s="5" t="s">
        <v>985</v>
      </c>
      <c r="E348" s="5" t="s">
        <v>62</v>
      </c>
      <c r="F348" s="5" t="s">
        <v>63</v>
      </c>
      <c r="G348" s="10" cm="1">
        <f t="array" ref="G348">IF(OR($A348="",$L348=""),"",_xlfn.LET(_xlpm.cat,UPPER($E348),_xlpm.wt,IFERROR(VALUE(LEFT($L348,FIND(" ",$L348&amp;" ")-1)),$L348),_xlpm.ppk,_xlfn.SWITCH(TRUE,_xlpm.cat="GAMEFOWL",62,_xlpm.cat="POULTRY",45,_xlpm.cat="SWINE",48,_xlpm.cat="HOGS",48,_xlpm.cat="RABBIT",40,45),_xlpm.code,IFERROR(VALUE(LEFT($A348,FIND(" ",$A348&amp;" ")-1)),0),_xlpm.v,1+MOD(_xlpm.code,13)/100,ROUND(_xlpm.ppk*_xlpm.wt*_xlpm.v,0)))</f>
        <v>50</v>
      </c>
      <c r="H348" s="6" cm="1">
        <f t="array" ref="H348">IF(OR($A348="",$L348=""),"",_xlfn.LET(_xlpm.cat,UPPER($E348),_xlpm.base,_xlfn.SWITCH(TRUE,_xlpm.cat="GAMEFOWL",0.22,_xlpm.cat="POULTRY",0.18,_xlpm.cat="SWINE",0.16,_xlpm.cat="HOGS",0.16,_xlpm.cat="RABBIT",0.15,0.17),_xlpm.code,IFERROR(VALUE(LEFT($A348,FIND(" ",$A348&amp;" ")-1)),0),_xlpm.v,MOD(_xlpm.code,9)/1000,MIN(0.3,MAX(0.1,_xlpm.base+_xlpm.v))))</f>
        <v>0.183</v>
      </c>
      <c r="I348" s="5" t="s">
        <v>77</v>
      </c>
      <c r="J348" s="5">
        <v>4</v>
      </c>
      <c r="K348" s="5">
        <v>0.33</v>
      </c>
      <c r="L348" s="5">
        <v>1</v>
      </c>
      <c r="M348" s="5">
        <v>4</v>
      </c>
      <c r="N348" s="5">
        <v>2</v>
      </c>
      <c r="O348" s="5">
        <v>2</v>
      </c>
      <c r="Q348" s="5" t="s">
        <v>34</v>
      </c>
      <c r="R348" s="5" t="s">
        <v>34</v>
      </c>
      <c r="S348" s="5" t="s">
        <v>34</v>
      </c>
      <c r="T348" s="7" t="s">
        <v>34</v>
      </c>
      <c r="U348" s="5" t="s">
        <v>34</v>
      </c>
      <c r="V348" s="7" t="s">
        <v>34</v>
      </c>
      <c r="W348" s="5" t="s">
        <v>34</v>
      </c>
      <c r="X348" s="5" t="s">
        <v>34</v>
      </c>
      <c r="Y348" s="5" t="s">
        <v>34</v>
      </c>
      <c r="Z348" s="5" t="s">
        <v>34</v>
      </c>
      <c r="AA348" s="5" t="s">
        <v>34</v>
      </c>
      <c r="AB348" s="5" t="s">
        <v>34</v>
      </c>
      <c r="AC348" s="5" t="s">
        <v>34</v>
      </c>
      <c r="AD348" s="5" t="s">
        <v>34</v>
      </c>
    </row>
    <row r="349" spans="1:30" ht="15.55" x14ac:dyDescent="0.3">
      <c r="A349" s="4">
        <v>1000000004107</v>
      </c>
      <c r="B349" s="5" t="s">
        <v>993</v>
      </c>
      <c r="C349" s="4">
        <v>3000000002146</v>
      </c>
      <c r="D349" s="5" t="s">
        <v>987</v>
      </c>
      <c r="E349" s="5" t="s">
        <v>62</v>
      </c>
      <c r="F349" s="5" t="s">
        <v>63</v>
      </c>
      <c r="G349" s="10" cm="1">
        <f t="array" ref="G349">IF(OR($A349="",$L349=""),"",_xlfn.LET(_xlpm.cat,UPPER($E349),_xlpm.wt,IFERROR(VALUE(LEFT($L349,FIND(" ",$L349&amp;" ")-1)),$L349),_xlpm.ppk,_xlfn.SWITCH(TRUE,_xlpm.cat="GAMEFOWL",62,_xlpm.cat="POULTRY",45,_xlpm.cat="SWINE",48,_xlpm.cat="HOGS",48,_xlpm.cat="RABBIT",40,45),_xlpm.code,IFERROR(VALUE(LEFT($A349,FIND(" ",$A349&amp;" ")-1)),0),_xlpm.v,1+MOD(_xlpm.code,13)/100,ROUND(_xlpm.ppk*_xlpm.wt*_xlpm.v,0)))</f>
        <v>45</v>
      </c>
      <c r="H349" s="6" cm="1">
        <f t="array" ref="H349">IF(OR($A349="",$L349=""),"",_xlfn.LET(_xlpm.cat,UPPER($E349),_xlpm.base,_xlfn.SWITCH(TRUE,_xlpm.cat="GAMEFOWL",0.22,_xlpm.cat="POULTRY",0.18,_xlpm.cat="SWINE",0.16,_xlpm.cat="HOGS",0.16,_xlpm.cat="RABBIT",0.15,0.17),_xlpm.code,IFERROR(VALUE(LEFT($A349,FIND(" ",$A349&amp;" ")-1)),0),_xlpm.v,MOD(_xlpm.code,9)/1000,MIN(0.3,MAX(0.1,_xlpm.base+_xlpm.v))))</f>
        <v>0.184</v>
      </c>
      <c r="I349" s="5" t="s">
        <v>77</v>
      </c>
      <c r="J349" s="5">
        <v>4</v>
      </c>
      <c r="K349" s="5">
        <v>0.33</v>
      </c>
      <c r="L349" s="5">
        <v>1</v>
      </c>
      <c r="M349" s="5">
        <v>4</v>
      </c>
      <c r="N349" s="5">
        <v>2</v>
      </c>
      <c r="O349" s="5">
        <v>2</v>
      </c>
      <c r="Q349" s="5" t="s">
        <v>34</v>
      </c>
      <c r="R349" s="5" t="s">
        <v>34</v>
      </c>
      <c r="S349" s="5" t="s">
        <v>34</v>
      </c>
      <c r="T349" s="7" t="s">
        <v>34</v>
      </c>
      <c r="U349" s="5" t="s">
        <v>34</v>
      </c>
      <c r="V349" s="7" t="s">
        <v>34</v>
      </c>
      <c r="W349" s="5" t="s">
        <v>34</v>
      </c>
      <c r="X349" s="5" t="s">
        <v>34</v>
      </c>
      <c r="Y349" s="5" t="s">
        <v>34</v>
      </c>
      <c r="Z349" s="5" t="s">
        <v>34</v>
      </c>
      <c r="AA349" s="5" t="s">
        <v>34</v>
      </c>
      <c r="AB349" s="5" t="s">
        <v>34</v>
      </c>
      <c r="AC349" s="5" t="s">
        <v>34</v>
      </c>
      <c r="AD349" s="5" t="s">
        <v>34</v>
      </c>
    </row>
    <row r="350" spans="1:30" ht="15.55" x14ac:dyDescent="0.3">
      <c r="A350" s="4">
        <v>1000000004132</v>
      </c>
      <c r="B350" s="5" t="s">
        <v>994</v>
      </c>
      <c r="C350" s="4">
        <v>3000000000607</v>
      </c>
      <c r="D350" s="5" t="s">
        <v>995</v>
      </c>
      <c r="E350" s="5" t="s">
        <v>391</v>
      </c>
      <c r="F350" s="5" t="s">
        <v>314</v>
      </c>
      <c r="G350" s="10" cm="1">
        <f t="array" ref="G350">IF(OR($A350="",$L350=""),"",_xlfn.LET(_xlpm.cat,UPPER($E350),_xlpm.wt,IFERROR(VALUE(LEFT($L350,FIND(" ",$L350&amp;" ")-1)),$L350),_xlpm.ppk,_xlfn.SWITCH(TRUE,_xlpm.cat="GAMEFOWL",62,_xlpm.cat="POULTRY",45,_xlpm.cat="SWINE",48,_xlpm.cat="HOGS",48,_xlpm.cat="RABBIT",40,45),_xlpm.code,IFERROR(VALUE(LEFT($A350,FIND(" ",$A350&amp;" ")-1)),0),_xlpm.v,1+MOD(_xlpm.code,13)/100,ROUND(_xlpm.ppk*_xlpm.wt*_xlpm.v,0)))</f>
        <v>1120</v>
      </c>
      <c r="H350" s="6" cm="1">
        <f t="array" ref="H350">IF(OR($A350="",$L350=""),"",_xlfn.LET(_xlpm.cat,UPPER($E350),_xlpm.base,_xlfn.SWITCH(TRUE,_xlpm.cat="GAMEFOWL",0.22,_xlpm.cat="POULTRY",0.18,_xlpm.cat="SWINE",0.16,_xlpm.cat="HOGS",0.16,_xlpm.cat="RABBIT",0.15,0.17),_xlpm.code,IFERROR(VALUE(LEFT($A350,FIND(" ",$A350&amp;" ")-1)),0),_xlpm.v,MOD(_xlpm.code,9)/1000,MIN(0.3,MAX(0.1,_xlpm.base+_xlpm.v))))</f>
        <v>0.152</v>
      </c>
      <c r="I350" s="5" t="s">
        <v>139</v>
      </c>
      <c r="J350" s="5">
        <v>3</v>
      </c>
      <c r="K350" s="5">
        <v>0.17</v>
      </c>
      <c r="L350" s="5">
        <v>25</v>
      </c>
      <c r="M350" s="5">
        <v>4</v>
      </c>
      <c r="N350" s="5">
        <v>1.5</v>
      </c>
      <c r="O350" s="5">
        <v>1.5</v>
      </c>
      <c r="Q350" s="5" t="s">
        <v>34</v>
      </c>
      <c r="R350" s="5" t="s">
        <v>34</v>
      </c>
      <c r="S350" s="5" t="s">
        <v>39</v>
      </c>
      <c r="T350" s="7" t="s">
        <v>34</v>
      </c>
      <c r="U350" s="5" t="s">
        <v>34</v>
      </c>
      <c r="V350" s="7" t="s">
        <v>34</v>
      </c>
      <c r="W350" s="5" t="s">
        <v>34</v>
      </c>
      <c r="X350" s="5" t="s">
        <v>34</v>
      </c>
      <c r="Y350" s="5" t="s">
        <v>34</v>
      </c>
      <c r="Z350" s="5">
        <v>6.4433175048231517</v>
      </c>
      <c r="AA350" s="5" t="s">
        <v>34</v>
      </c>
      <c r="AB350" s="5" t="s">
        <v>34</v>
      </c>
      <c r="AC350" s="5">
        <v>6.1153110743801644</v>
      </c>
      <c r="AD350" s="5" t="s">
        <v>34</v>
      </c>
    </row>
    <row r="351" spans="1:30" ht="15.55" x14ac:dyDescent="0.3">
      <c r="A351" s="4">
        <v>1000000004161</v>
      </c>
      <c r="B351" s="5" t="s">
        <v>996</v>
      </c>
      <c r="C351" s="4">
        <v>3000000002181</v>
      </c>
      <c r="D351" s="5" t="s">
        <v>997</v>
      </c>
      <c r="E351" s="5" t="s">
        <v>62</v>
      </c>
      <c r="F351" s="5" t="s">
        <v>63</v>
      </c>
      <c r="G351" s="10" cm="1">
        <f t="array" ref="G351">IF(OR($A351="",$L351=""),"",_xlfn.LET(_xlpm.cat,UPPER($E351),_xlpm.wt,IFERROR(VALUE(LEFT($L351,FIND(" ",$L351&amp;" ")-1)),$L351),_xlpm.ppk,_xlfn.SWITCH(TRUE,_xlpm.cat="GAMEFOWL",62,_xlpm.cat="POULTRY",45,_xlpm.cat="SWINE",48,_xlpm.cat="HOGS",48,_xlpm.cat="RABBIT",40,45),_xlpm.code,IFERROR(VALUE(LEFT($A351,FIND(" ",$A351&amp;" ")-1)),0),_xlpm.v,1+MOD(_xlpm.code,13)/100,ROUND(_xlpm.ppk*_xlpm.wt*_xlpm.v,0)))</f>
        <v>2295</v>
      </c>
      <c r="H351" s="6" cm="1">
        <f t="array" ref="H351">IF(OR($A351="",$L351=""),"",_xlfn.LET(_xlpm.cat,UPPER($E351),_xlpm.base,_xlfn.SWITCH(TRUE,_xlpm.cat="GAMEFOWL",0.22,_xlpm.cat="POULTRY",0.18,_xlpm.cat="SWINE",0.16,_xlpm.cat="HOGS",0.16,_xlpm.cat="RABBIT",0.15,0.17),_xlpm.code,IFERROR(VALUE(LEFT($A351,FIND(" ",$A351&amp;" ")-1)),0),_xlpm.v,MOD(_xlpm.code,9)/1000,MIN(0.3,MAX(0.1,_xlpm.base+_xlpm.v))))</f>
        <v>0.184</v>
      </c>
      <c r="I351" s="5" t="s">
        <v>77</v>
      </c>
      <c r="J351" s="5">
        <v>4</v>
      </c>
      <c r="K351" s="5">
        <v>0.33</v>
      </c>
      <c r="L351" s="5">
        <v>50</v>
      </c>
      <c r="M351" s="5">
        <v>4</v>
      </c>
      <c r="N351" s="5">
        <v>2</v>
      </c>
      <c r="O351" s="5">
        <v>2</v>
      </c>
      <c r="Q351" s="5">
        <v>4161</v>
      </c>
      <c r="R351" s="5" t="s">
        <v>34</v>
      </c>
      <c r="S351" s="5" t="s">
        <v>314</v>
      </c>
      <c r="T351" s="7">
        <v>5000000000563</v>
      </c>
      <c r="U351" s="5" t="s">
        <v>779</v>
      </c>
      <c r="V351" s="7">
        <v>5000000000615</v>
      </c>
      <c r="W351" s="5" t="s">
        <v>780</v>
      </c>
      <c r="X351" s="5" t="s">
        <v>34</v>
      </c>
      <c r="Y351" s="5" t="s">
        <v>34</v>
      </c>
      <c r="Z351" s="5" t="s">
        <v>34</v>
      </c>
      <c r="AA351" s="5">
        <v>8.7799258536585327</v>
      </c>
      <c r="AB351" s="5" t="s">
        <v>34</v>
      </c>
      <c r="AC351" s="5" t="s">
        <v>34</v>
      </c>
      <c r="AD351" s="5" t="s">
        <v>34</v>
      </c>
    </row>
    <row r="352" spans="1:30" ht="15.55" x14ac:dyDescent="0.3">
      <c r="A352" s="4">
        <v>1000000004162</v>
      </c>
      <c r="B352" s="5" t="s">
        <v>998</v>
      </c>
      <c r="C352" s="4">
        <v>3000000002183</v>
      </c>
      <c r="D352" s="5" t="s">
        <v>999</v>
      </c>
      <c r="E352" s="5" t="s">
        <v>62</v>
      </c>
      <c r="F352" s="5" t="s">
        <v>63</v>
      </c>
      <c r="G352" s="10" cm="1">
        <f t="array" ref="G352">IF(OR($A352="",$L352=""),"",_xlfn.LET(_xlpm.cat,UPPER($E352),_xlpm.wt,IFERROR(VALUE(LEFT($L352,FIND(" ",$L352&amp;" ")-1)),$L352),_xlpm.ppk,_xlfn.SWITCH(TRUE,_xlpm.cat="GAMEFOWL",62,_xlpm.cat="POULTRY",45,_xlpm.cat="SWINE",48,_xlpm.cat="HOGS",48,_xlpm.cat="RABBIT",40,45),_xlpm.code,IFERROR(VALUE(LEFT($A352,FIND(" ",$A352&amp;" ")-1)),0),_xlpm.v,1+MOD(_xlpm.code,13)/100,ROUND(_xlpm.ppk*_xlpm.wt*_xlpm.v,0)))</f>
        <v>2318</v>
      </c>
      <c r="H352" s="6" cm="1">
        <f t="array" ref="H352">IF(OR($A352="",$L352=""),"",_xlfn.LET(_xlpm.cat,UPPER($E352),_xlpm.base,_xlfn.SWITCH(TRUE,_xlpm.cat="GAMEFOWL",0.22,_xlpm.cat="POULTRY",0.18,_xlpm.cat="SWINE",0.16,_xlpm.cat="HOGS",0.16,_xlpm.cat="RABBIT",0.15,0.17),_xlpm.code,IFERROR(VALUE(LEFT($A352,FIND(" ",$A352&amp;" ")-1)),0),_xlpm.v,MOD(_xlpm.code,9)/1000,MIN(0.3,MAX(0.1,_xlpm.base+_xlpm.v))))</f>
        <v>0.185</v>
      </c>
      <c r="I352" s="5" t="s">
        <v>77</v>
      </c>
      <c r="J352" s="5">
        <v>4</v>
      </c>
      <c r="K352" s="5">
        <v>0.33</v>
      </c>
      <c r="L352" s="5">
        <v>50</v>
      </c>
      <c r="M352" s="5">
        <v>4</v>
      </c>
      <c r="N352" s="5">
        <v>2</v>
      </c>
      <c r="O352" s="5">
        <v>2</v>
      </c>
      <c r="Q352" s="5">
        <v>4162</v>
      </c>
      <c r="R352" s="5" t="s">
        <v>34</v>
      </c>
      <c r="S352" s="5" t="s">
        <v>314</v>
      </c>
      <c r="T352" s="7">
        <v>5000000000564</v>
      </c>
      <c r="U352" s="5" t="s">
        <v>1000</v>
      </c>
      <c r="V352" s="7">
        <v>5000000000116</v>
      </c>
      <c r="W352" s="5" t="s">
        <v>1001</v>
      </c>
      <c r="X352" s="5" t="s">
        <v>34</v>
      </c>
      <c r="Y352" s="5" t="s">
        <v>34</v>
      </c>
      <c r="Z352" s="5" t="s">
        <v>34</v>
      </c>
      <c r="AA352" s="5" t="s">
        <v>34</v>
      </c>
      <c r="AB352" s="5" t="s">
        <v>34</v>
      </c>
      <c r="AC352" s="5" t="s">
        <v>34</v>
      </c>
      <c r="AD352" s="5" t="s">
        <v>34</v>
      </c>
    </row>
    <row r="353" spans="1:30" ht="15.55" x14ac:dyDescent="0.3">
      <c r="A353" s="4">
        <v>1000000004163</v>
      </c>
      <c r="B353" s="5" t="s">
        <v>1002</v>
      </c>
      <c r="C353" s="4">
        <v>3000000002182</v>
      </c>
      <c r="D353" s="5" t="s">
        <v>1003</v>
      </c>
      <c r="E353" s="5" t="s">
        <v>62</v>
      </c>
      <c r="F353" s="5" t="s">
        <v>63</v>
      </c>
      <c r="G353" s="10" cm="1">
        <f t="array" ref="G353">IF(OR($A353="",$L353=""),"",_xlfn.LET(_xlpm.cat,UPPER($E353),_xlpm.wt,IFERROR(VALUE(LEFT($L353,FIND(" ",$L353&amp;" ")-1)),$L353),_xlpm.ppk,_xlfn.SWITCH(TRUE,_xlpm.cat="GAMEFOWL",62,_xlpm.cat="POULTRY",45,_xlpm.cat="SWINE",48,_xlpm.cat="HOGS",48,_xlpm.cat="RABBIT",40,45),_xlpm.code,IFERROR(VALUE(LEFT($A353,FIND(" ",$A353&amp;" ")-1)),0),_xlpm.v,1+MOD(_xlpm.code,13)/100,ROUND(_xlpm.ppk*_xlpm.wt*_xlpm.v,0)))</f>
        <v>2340</v>
      </c>
      <c r="H353" s="6" cm="1">
        <f t="array" ref="H353">IF(OR($A353="",$L353=""),"",_xlfn.LET(_xlpm.cat,UPPER($E353),_xlpm.base,_xlfn.SWITCH(TRUE,_xlpm.cat="GAMEFOWL",0.22,_xlpm.cat="POULTRY",0.18,_xlpm.cat="SWINE",0.16,_xlpm.cat="HOGS",0.16,_xlpm.cat="RABBIT",0.15,0.17),_xlpm.code,IFERROR(VALUE(LEFT($A353,FIND(" ",$A353&amp;" ")-1)),0),_xlpm.v,MOD(_xlpm.code,9)/1000,MIN(0.3,MAX(0.1,_xlpm.base+_xlpm.v))))</f>
        <v>0.186</v>
      </c>
      <c r="I353" s="5" t="s">
        <v>77</v>
      </c>
      <c r="J353" s="5">
        <v>4</v>
      </c>
      <c r="K353" s="5">
        <v>0.33</v>
      </c>
      <c r="L353" s="5">
        <v>50</v>
      </c>
      <c r="M353" s="5">
        <v>4</v>
      </c>
      <c r="N353" s="5">
        <v>2</v>
      </c>
      <c r="O353" s="5">
        <v>2</v>
      </c>
      <c r="Q353" s="5" t="s">
        <v>34</v>
      </c>
      <c r="R353" s="5" t="s">
        <v>34</v>
      </c>
      <c r="S353" s="5" t="s">
        <v>34</v>
      </c>
      <c r="T353" s="7" t="s">
        <v>34</v>
      </c>
      <c r="U353" s="5" t="s">
        <v>34</v>
      </c>
      <c r="V353" s="7" t="s">
        <v>34</v>
      </c>
      <c r="W353" s="5" t="s">
        <v>34</v>
      </c>
      <c r="X353" s="5" t="s">
        <v>34</v>
      </c>
      <c r="Y353" s="5" t="s">
        <v>34</v>
      </c>
      <c r="Z353" s="5" t="s">
        <v>34</v>
      </c>
      <c r="AA353" s="5" t="s">
        <v>34</v>
      </c>
      <c r="AB353" s="5" t="s">
        <v>34</v>
      </c>
      <c r="AC353" s="5" t="s">
        <v>34</v>
      </c>
      <c r="AD353" s="5" t="s">
        <v>34</v>
      </c>
    </row>
    <row r="354" spans="1:30" ht="15.55" x14ac:dyDescent="0.3">
      <c r="A354" s="4">
        <v>1000000004166</v>
      </c>
      <c r="B354" s="5" t="s">
        <v>1004</v>
      </c>
      <c r="C354" s="4">
        <v>3000000002184</v>
      </c>
      <c r="D354" s="5" t="s">
        <v>1005</v>
      </c>
      <c r="E354" s="5" t="s">
        <v>62</v>
      </c>
      <c r="F354" s="5" t="s">
        <v>63</v>
      </c>
      <c r="G354" s="10" cm="1">
        <f t="array" ref="G354">IF(OR($A354="",$L354=""),"",_xlfn.LET(_xlpm.cat,UPPER($E354),_xlpm.wt,IFERROR(VALUE(LEFT($L354,FIND(" ",$L354&amp;" ")-1)),$L354),_xlpm.ppk,_xlfn.SWITCH(TRUE,_xlpm.cat="GAMEFOWL",62,_xlpm.cat="POULTRY",45,_xlpm.cat="SWINE",48,_xlpm.cat="HOGS",48,_xlpm.cat="RABBIT",40,45),_xlpm.code,IFERROR(VALUE(LEFT($A354,FIND(" ",$A354&amp;" ")-1)),0),_xlpm.v,1+MOD(_xlpm.code,13)/100,ROUND(_xlpm.ppk*_xlpm.wt*_xlpm.v,0)))</f>
        <v>2408</v>
      </c>
      <c r="H354" s="6" cm="1">
        <f t="array" ref="H354">IF(OR($A354="",$L354=""),"",_xlfn.LET(_xlpm.cat,UPPER($E354),_xlpm.base,_xlfn.SWITCH(TRUE,_xlpm.cat="GAMEFOWL",0.22,_xlpm.cat="POULTRY",0.18,_xlpm.cat="SWINE",0.16,_xlpm.cat="HOGS",0.16,_xlpm.cat="RABBIT",0.15,0.17),_xlpm.code,IFERROR(VALUE(LEFT($A354,FIND(" ",$A354&amp;" ")-1)),0),_xlpm.v,MOD(_xlpm.code,9)/1000,MIN(0.3,MAX(0.1,_xlpm.base+_xlpm.v))))</f>
        <v>0.18</v>
      </c>
      <c r="I354" s="5" t="s">
        <v>77</v>
      </c>
      <c r="J354" s="5">
        <v>4</v>
      </c>
      <c r="K354" s="5">
        <v>0.33</v>
      </c>
      <c r="L354" s="5">
        <v>50</v>
      </c>
      <c r="M354" s="5">
        <v>4</v>
      </c>
      <c r="N354" s="5">
        <v>2</v>
      </c>
      <c r="O354" s="5">
        <v>2</v>
      </c>
      <c r="Q354" s="5" t="s">
        <v>34</v>
      </c>
      <c r="R354" s="5" t="s">
        <v>34</v>
      </c>
      <c r="S354" s="5" t="s">
        <v>34</v>
      </c>
      <c r="T354" s="7" t="s">
        <v>34</v>
      </c>
      <c r="U354" s="5" t="s">
        <v>34</v>
      </c>
      <c r="V354" s="7" t="s">
        <v>34</v>
      </c>
      <c r="W354" s="5" t="s">
        <v>34</v>
      </c>
      <c r="X354" s="5" t="s">
        <v>34</v>
      </c>
      <c r="Y354" s="5" t="s">
        <v>34</v>
      </c>
      <c r="Z354" s="5" t="s">
        <v>34</v>
      </c>
      <c r="AA354" s="5" t="s">
        <v>34</v>
      </c>
      <c r="AB354" s="5" t="s">
        <v>34</v>
      </c>
      <c r="AC354" s="5" t="s">
        <v>34</v>
      </c>
      <c r="AD354" s="5" t="s">
        <v>34</v>
      </c>
    </row>
    <row r="355" spans="1:30" ht="15.55" x14ac:dyDescent="0.3">
      <c r="A355" s="4">
        <v>1000000004168</v>
      </c>
      <c r="B355" s="5" t="s">
        <v>1006</v>
      </c>
      <c r="C355" s="4">
        <v>3000000002184</v>
      </c>
      <c r="D355" s="5" t="s">
        <v>1005</v>
      </c>
      <c r="E355" s="5" t="s">
        <v>62</v>
      </c>
      <c r="F355" s="5" t="s">
        <v>63</v>
      </c>
      <c r="G355" s="10" cm="1">
        <f t="array" ref="G355">IF(OR($A355="",$L355=""),"",_xlfn.LET(_xlpm.cat,UPPER($E355),_xlpm.wt,IFERROR(VALUE(LEFT($L355,FIND(" ",$L355&amp;" ")-1)),$L355),_xlpm.ppk,_xlfn.SWITCH(TRUE,_xlpm.cat="GAMEFOWL",62,_xlpm.cat="POULTRY",45,_xlpm.cat="SWINE",48,_xlpm.cat="HOGS",48,_xlpm.cat="RABBIT",40,45),_xlpm.code,IFERROR(VALUE(LEFT($A355,FIND(" ",$A355&amp;" ")-1)),0),_xlpm.v,1+MOD(_xlpm.code,13)/100,ROUND(_xlpm.ppk*_xlpm.wt*_xlpm.v,0)))</f>
        <v>49</v>
      </c>
      <c r="H355" s="6" cm="1">
        <f t="array" ref="H355">IF(OR($A355="",$L355=""),"",_xlfn.LET(_xlpm.cat,UPPER($E355),_xlpm.base,_xlfn.SWITCH(TRUE,_xlpm.cat="GAMEFOWL",0.22,_xlpm.cat="POULTRY",0.18,_xlpm.cat="SWINE",0.16,_xlpm.cat="HOGS",0.16,_xlpm.cat="RABBIT",0.15,0.17),_xlpm.code,IFERROR(VALUE(LEFT($A355,FIND(" ",$A355&amp;" ")-1)),0),_xlpm.v,MOD(_xlpm.code,9)/1000,MIN(0.3,MAX(0.1,_xlpm.base+_xlpm.v))))</f>
        <v>0.182</v>
      </c>
      <c r="I355" s="5" t="s">
        <v>77</v>
      </c>
      <c r="J355" s="5">
        <v>4</v>
      </c>
      <c r="K355" s="5">
        <v>0.33</v>
      </c>
      <c r="L355" s="5">
        <v>1</v>
      </c>
      <c r="M355" s="5">
        <v>4</v>
      </c>
      <c r="N355" s="5">
        <v>2</v>
      </c>
      <c r="O355" s="5">
        <v>2</v>
      </c>
      <c r="Q355" s="5" t="s">
        <v>34</v>
      </c>
      <c r="R355" s="5" t="s">
        <v>34</v>
      </c>
      <c r="S355" s="5" t="s">
        <v>34</v>
      </c>
      <c r="T355" s="7" t="s">
        <v>34</v>
      </c>
      <c r="U355" s="5" t="s">
        <v>34</v>
      </c>
      <c r="V355" s="7" t="s">
        <v>34</v>
      </c>
      <c r="W355" s="5" t="s">
        <v>34</v>
      </c>
      <c r="X355" s="5" t="s">
        <v>34</v>
      </c>
      <c r="Y355" s="5" t="s">
        <v>34</v>
      </c>
      <c r="Z355" s="5" t="s">
        <v>34</v>
      </c>
      <c r="AA355" s="5" t="s">
        <v>34</v>
      </c>
      <c r="AB355" s="5" t="s">
        <v>34</v>
      </c>
      <c r="AC355" s="5" t="s">
        <v>34</v>
      </c>
      <c r="AD355" s="5" t="s">
        <v>34</v>
      </c>
    </row>
    <row r="356" spans="1:30" ht="15.55" x14ac:dyDescent="0.3">
      <c r="A356" s="4">
        <v>1000000004173</v>
      </c>
      <c r="B356" s="5" t="s">
        <v>1007</v>
      </c>
      <c r="C356" s="4">
        <v>3000000002191</v>
      </c>
      <c r="D356" s="5" t="s">
        <v>1008</v>
      </c>
      <c r="E356" s="5" t="s">
        <v>62</v>
      </c>
      <c r="F356" s="5" t="s">
        <v>63</v>
      </c>
      <c r="G356" s="10" cm="1">
        <f t="array" ref="G356">IF(OR($A356="",$L356=""),"",_xlfn.LET(_xlpm.cat,UPPER($E356),_xlpm.wt,IFERROR(VALUE(LEFT($L356,FIND(" ",$L356&amp;" ")-1)),$L356),_xlpm.ppk,_xlfn.SWITCH(TRUE,_xlpm.cat="GAMEFOWL",62,_xlpm.cat="POULTRY",45,_xlpm.cat="SWINE",48,_xlpm.cat="HOGS",48,_xlpm.cat="RABBIT",40,45),_xlpm.code,IFERROR(VALUE(LEFT($A356,FIND(" ",$A356&amp;" ")-1)),0),_xlpm.v,1+MOD(_xlpm.code,13)/100,ROUND(_xlpm.ppk*_xlpm.wt*_xlpm.v,0)))</f>
        <v>2273</v>
      </c>
      <c r="H356" s="6" cm="1">
        <f t="array" ref="H356">IF(OR($A356="",$L356=""),"",_xlfn.LET(_xlpm.cat,UPPER($E356),_xlpm.base,_xlfn.SWITCH(TRUE,_xlpm.cat="GAMEFOWL",0.22,_xlpm.cat="POULTRY",0.18,_xlpm.cat="SWINE",0.16,_xlpm.cat="HOGS",0.16,_xlpm.cat="RABBIT",0.15,0.17),_xlpm.code,IFERROR(VALUE(LEFT($A356,FIND(" ",$A356&amp;" ")-1)),0),_xlpm.v,MOD(_xlpm.code,9)/1000,MIN(0.3,MAX(0.1,_xlpm.base+_xlpm.v))))</f>
        <v>0.187</v>
      </c>
      <c r="I356" s="5" t="s">
        <v>77</v>
      </c>
      <c r="J356" s="5">
        <v>4</v>
      </c>
      <c r="K356" s="5">
        <v>0.33</v>
      </c>
      <c r="L356" s="5">
        <v>50</v>
      </c>
      <c r="M356" s="5">
        <v>4</v>
      </c>
      <c r="N356" s="5">
        <v>2</v>
      </c>
      <c r="O356" s="5">
        <v>2</v>
      </c>
      <c r="Q356" s="5" t="s">
        <v>34</v>
      </c>
      <c r="R356" s="5" t="s">
        <v>34</v>
      </c>
      <c r="S356" s="5" t="s">
        <v>34</v>
      </c>
      <c r="T356" s="7" t="s">
        <v>34</v>
      </c>
      <c r="U356" s="5" t="s">
        <v>34</v>
      </c>
      <c r="V356" s="7" t="s">
        <v>34</v>
      </c>
      <c r="W356" s="5" t="s">
        <v>34</v>
      </c>
      <c r="X356" s="5" t="s">
        <v>34</v>
      </c>
      <c r="Y356" s="5" t="s">
        <v>34</v>
      </c>
      <c r="Z356" s="5" t="s">
        <v>34</v>
      </c>
      <c r="AA356" s="5" t="s">
        <v>34</v>
      </c>
      <c r="AB356" s="5" t="s">
        <v>34</v>
      </c>
      <c r="AC356" s="5" t="s">
        <v>34</v>
      </c>
      <c r="AD356" s="5" t="s">
        <v>34</v>
      </c>
    </row>
    <row r="357" spans="1:30" ht="15.55" x14ac:dyDescent="0.3">
      <c r="A357" s="4">
        <v>1000000004174</v>
      </c>
      <c r="B357" s="5" t="s">
        <v>1009</v>
      </c>
      <c r="C357" s="4">
        <v>3000000002192</v>
      </c>
      <c r="D357" s="5" t="s">
        <v>1010</v>
      </c>
      <c r="E357" s="5" t="s">
        <v>62</v>
      </c>
      <c r="F357" s="5" t="s">
        <v>63</v>
      </c>
      <c r="G357" s="10" cm="1">
        <f t="array" ref="G357">IF(OR($A357="",$L357=""),"",_xlfn.LET(_xlpm.cat,UPPER($E357),_xlpm.wt,IFERROR(VALUE(LEFT($L357,FIND(" ",$L357&amp;" ")-1)),$L357),_xlpm.ppk,_xlfn.SWITCH(TRUE,_xlpm.cat="GAMEFOWL",62,_xlpm.cat="POULTRY",45,_xlpm.cat="SWINE",48,_xlpm.cat="HOGS",48,_xlpm.cat="RABBIT",40,45),_xlpm.code,IFERROR(VALUE(LEFT($A357,FIND(" ",$A357&amp;" ")-1)),0),_xlpm.v,1+MOD(_xlpm.code,13)/100,ROUND(_xlpm.ppk*_xlpm.wt*_xlpm.v,0)))</f>
        <v>2295</v>
      </c>
      <c r="H357" s="6" cm="1">
        <f t="array" ref="H357">IF(OR($A357="",$L357=""),"",_xlfn.LET(_xlpm.cat,UPPER($E357),_xlpm.base,_xlfn.SWITCH(TRUE,_xlpm.cat="GAMEFOWL",0.22,_xlpm.cat="POULTRY",0.18,_xlpm.cat="SWINE",0.16,_xlpm.cat="HOGS",0.16,_xlpm.cat="RABBIT",0.15,0.17),_xlpm.code,IFERROR(VALUE(LEFT($A357,FIND(" ",$A357&amp;" ")-1)),0),_xlpm.v,MOD(_xlpm.code,9)/1000,MIN(0.3,MAX(0.1,_xlpm.base+_xlpm.v))))</f>
        <v>0.188</v>
      </c>
      <c r="I357" s="5" t="s">
        <v>77</v>
      </c>
      <c r="J357" s="5">
        <v>4</v>
      </c>
      <c r="K357" s="5">
        <v>0.33</v>
      </c>
      <c r="L357" s="5">
        <v>50</v>
      </c>
      <c r="M357" s="5">
        <v>4</v>
      </c>
      <c r="N357" s="5">
        <v>2</v>
      </c>
      <c r="O357" s="5">
        <v>2</v>
      </c>
      <c r="Q357" s="5" t="s">
        <v>34</v>
      </c>
      <c r="R357" s="5" t="s">
        <v>34</v>
      </c>
      <c r="S357" s="5" t="s">
        <v>34</v>
      </c>
      <c r="T357" s="7" t="s">
        <v>34</v>
      </c>
      <c r="U357" s="5" t="s">
        <v>34</v>
      </c>
      <c r="V357" s="7" t="s">
        <v>34</v>
      </c>
      <c r="W357" s="5" t="s">
        <v>34</v>
      </c>
      <c r="X357" s="5" t="s">
        <v>34</v>
      </c>
      <c r="Y357" s="5" t="s">
        <v>34</v>
      </c>
      <c r="Z357" s="5" t="s">
        <v>34</v>
      </c>
      <c r="AA357" s="5" t="s">
        <v>34</v>
      </c>
      <c r="AB357" s="5" t="s">
        <v>34</v>
      </c>
      <c r="AC357" s="5" t="s">
        <v>34</v>
      </c>
      <c r="AD357" s="5" t="s">
        <v>34</v>
      </c>
    </row>
    <row r="358" spans="1:30" ht="15.55" x14ac:dyDescent="0.3">
      <c r="A358" s="4">
        <v>1000000004175</v>
      </c>
      <c r="B358" s="5" t="s">
        <v>1011</v>
      </c>
      <c r="C358" s="4">
        <v>3000000002193</v>
      </c>
      <c r="D358" s="5" t="s">
        <v>1012</v>
      </c>
      <c r="E358" s="5" t="s">
        <v>62</v>
      </c>
      <c r="F358" s="5" t="s">
        <v>63</v>
      </c>
      <c r="G358" s="10" cm="1">
        <f t="array" ref="G358">IF(OR($A358="",$L358=""),"",_xlfn.LET(_xlpm.cat,UPPER($E358),_xlpm.wt,IFERROR(VALUE(LEFT($L358,FIND(" ",$L358&amp;" ")-1)),$L358),_xlpm.ppk,_xlfn.SWITCH(TRUE,_xlpm.cat="GAMEFOWL",62,_xlpm.cat="POULTRY",45,_xlpm.cat="SWINE",48,_xlpm.cat="HOGS",48,_xlpm.cat="RABBIT",40,45),_xlpm.code,IFERROR(VALUE(LEFT($A358,FIND(" ",$A358&amp;" ")-1)),0),_xlpm.v,1+MOD(_xlpm.code,13)/100,ROUND(_xlpm.ppk*_xlpm.wt*_xlpm.v,0)))</f>
        <v>2318</v>
      </c>
      <c r="H358" s="6" cm="1">
        <f t="array" ref="H358">IF(OR($A358="",$L358=""),"",_xlfn.LET(_xlpm.cat,UPPER($E358),_xlpm.base,_xlfn.SWITCH(TRUE,_xlpm.cat="GAMEFOWL",0.22,_xlpm.cat="POULTRY",0.18,_xlpm.cat="SWINE",0.16,_xlpm.cat="HOGS",0.16,_xlpm.cat="RABBIT",0.15,0.17),_xlpm.code,IFERROR(VALUE(LEFT($A358,FIND(" ",$A358&amp;" ")-1)),0),_xlpm.v,MOD(_xlpm.code,9)/1000,MIN(0.3,MAX(0.1,_xlpm.base+_xlpm.v))))</f>
        <v>0.18</v>
      </c>
      <c r="I358" s="5" t="s">
        <v>77</v>
      </c>
      <c r="J358" s="5">
        <v>4</v>
      </c>
      <c r="K358" s="5">
        <v>0.33</v>
      </c>
      <c r="L358" s="5">
        <v>50</v>
      </c>
      <c r="M358" s="5">
        <v>4</v>
      </c>
      <c r="N358" s="5">
        <v>2</v>
      </c>
      <c r="O358" s="5">
        <v>2</v>
      </c>
      <c r="Q358" s="5" t="s">
        <v>34</v>
      </c>
      <c r="R358" s="5" t="s">
        <v>34</v>
      </c>
      <c r="S358" s="5" t="s">
        <v>34</v>
      </c>
      <c r="T358" s="7" t="s">
        <v>34</v>
      </c>
      <c r="U358" s="5" t="s">
        <v>34</v>
      </c>
      <c r="V358" s="7" t="s">
        <v>34</v>
      </c>
      <c r="W358" s="5" t="s">
        <v>34</v>
      </c>
      <c r="X358" s="5" t="s">
        <v>34</v>
      </c>
      <c r="Y358" s="5" t="s">
        <v>34</v>
      </c>
      <c r="Z358" s="5" t="s">
        <v>34</v>
      </c>
      <c r="AA358" s="5" t="s">
        <v>34</v>
      </c>
      <c r="AB358" s="5" t="s">
        <v>34</v>
      </c>
      <c r="AC358" s="5" t="s">
        <v>34</v>
      </c>
      <c r="AD358" s="5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Marc Ancheta (PH)</dc:creator>
  <cp:lastModifiedBy>John Marc Ancheta (PH)</cp:lastModifiedBy>
  <dcterms:created xsi:type="dcterms:W3CDTF">2026-04-22T03:25:50Z</dcterms:created>
  <dcterms:modified xsi:type="dcterms:W3CDTF">2026-04-22T03:28:54Z</dcterms:modified>
</cp:coreProperties>
</file>