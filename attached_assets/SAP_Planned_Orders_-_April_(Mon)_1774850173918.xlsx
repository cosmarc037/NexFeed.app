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ancheta005\Downloads\"/>
    </mc:Choice>
  </mc:AlternateContent>
  <xr:revisionPtr revIDLastSave="0" documentId="13_ncr:1_{7C70AF02-3E2F-40E2-A5A5-E461BE37C256}" xr6:coauthVersionLast="47" xr6:coauthVersionMax="47" xr10:uidLastSave="{00000000-0000-0000-0000-000000000000}"/>
  <bookViews>
    <workbookView xWindow="-8721" yWindow="-16589" windowWidth="26600" windowHeight="15978" xr2:uid="{A5714217-8ADB-469F-9A42-D7524C0ADD29}"/>
  </bookViews>
  <sheets>
    <sheet name="FPR 260309" sheetId="1" r:id="rId1"/>
  </sheets>
  <definedNames>
    <definedName name="_xlnm._FilterDatabase" localSheetId="0" hidden="1">'FPR 260309'!$A$1:$V$43</definedName>
    <definedName name="Z_D79CFD1F_1D96_45E1_BC42_0C32B5704D02_.wvu.FilterData" localSheetId="0" hidden="1">'FPR 260309'!$B$1:$M$43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1" l="1" a="1"/>
  <c r="G47" i="1" s="1"/>
  <c r="G46" i="1" a="1"/>
  <c r="G46" i="1" s="1"/>
  <c r="G45" i="1" a="1"/>
  <c r="G45" i="1" s="1"/>
  <c r="G44" i="1" a="1"/>
  <c r="G44" i="1" s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V28" i="1" s="1"/>
  <c r="U27" i="1"/>
  <c r="V27" i="1" s="1"/>
  <c r="U26" i="1"/>
  <c r="V26" i="1" s="1"/>
  <c r="U25" i="1"/>
  <c r="V25" i="1" s="1"/>
  <c r="U24" i="1"/>
  <c r="V24" i="1" s="1"/>
  <c r="U23" i="1"/>
  <c r="V23" i="1" s="1"/>
  <c r="U22" i="1"/>
  <c r="V22" i="1" s="1"/>
  <c r="U21" i="1"/>
  <c r="V21" i="1" s="1"/>
  <c r="U20" i="1"/>
  <c r="V20" i="1" s="1"/>
  <c r="U19" i="1"/>
  <c r="V19" i="1" s="1"/>
  <c r="U18" i="1"/>
  <c r="V18" i="1" s="1"/>
  <c r="U17" i="1"/>
  <c r="V17" i="1" s="1"/>
  <c r="U16" i="1"/>
  <c r="V16" i="1" s="1"/>
  <c r="U15" i="1"/>
  <c r="V15" i="1" s="1"/>
  <c r="U14" i="1"/>
  <c r="V14" i="1" s="1"/>
  <c r="U13" i="1"/>
  <c r="V13" i="1" s="1"/>
  <c r="U12" i="1"/>
  <c r="V12" i="1" s="1"/>
  <c r="U11" i="1"/>
  <c r="V11" i="1" s="1"/>
  <c r="U10" i="1"/>
  <c r="V10" i="1" s="1"/>
  <c r="U9" i="1"/>
  <c r="V9" i="1" s="1"/>
  <c r="U8" i="1"/>
  <c r="V8" i="1" s="1"/>
  <c r="U7" i="1"/>
  <c r="V7" i="1" s="1"/>
  <c r="U6" i="1"/>
  <c r="V6" i="1" s="1"/>
  <c r="U5" i="1"/>
  <c r="V5" i="1" s="1"/>
  <c r="U4" i="1"/>
  <c r="V4" i="1" s="1"/>
  <c r="U3" i="1"/>
  <c r="V3" i="1" s="1"/>
  <c r="U2" i="1"/>
  <c r="V2" i="1" s="1"/>
  <c r="G2" i="1" a="1"/>
  <c r="G39" i="1" s="1"/>
  <c r="G9" i="1" l="1"/>
  <c r="G17" i="1"/>
  <c r="G2" i="1"/>
  <c r="G10" i="1"/>
  <c r="G18" i="1"/>
  <c r="G26" i="1"/>
  <c r="G34" i="1"/>
  <c r="G3" i="1"/>
  <c r="G11" i="1"/>
  <c r="G19" i="1"/>
  <c r="G27" i="1"/>
  <c r="G35" i="1"/>
  <c r="G43" i="1"/>
  <c r="G8" i="1"/>
  <c r="G16" i="1"/>
  <c r="G24" i="1"/>
  <c r="G32" i="1"/>
  <c r="G40" i="1"/>
  <c r="G33" i="1"/>
  <c r="G42" i="1"/>
  <c r="G4" i="1"/>
  <c r="G12" i="1"/>
  <c r="G20" i="1"/>
  <c r="G28" i="1"/>
  <c r="G36" i="1"/>
  <c r="G5" i="1"/>
  <c r="G13" i="1"/>
  <c r="G21" i="1"/>
  <c r="G29" i="1"/>
  <c r="G37" i="1"/>
  <c r="G25" i="1"/>
  <c r="G41" i="1"/>
  <c r="G6" i="1"/>
  <c r="G14" i="1"/>
  <c r="G22" i="1"/>
  <c r="G30" i="1"/>
  <c r="G38" i="1"/>
  <c r="G7" i="1"/>
  <c r="G15" i="1"/>
  <c r="G23" i="1"/>
  <c r="G31" i="1"/>
</calcChain>
</file>

<file path=xl/sharedStrings.xml><?xml version="1.0" encoding="utf-8"?>
<sst xmlns="http://schemas.openxmlformats.org/spreadsheetml/2006/main" count="474" uniqueCount="79">
  <si>
    <t>FPR</t>
  </si>
  <si>
    <t>Material Code</t>
  </si>
  <si>
    <t>Item Description</t>
  </si>
  <si>
    <t>Category</t>
  </si>
  <si>
    <t>Feedmill Line</t>
  </si>
  <si>
    <t>Metric Ton</t>
  </si>
  <si>
    <t>Seq.</t>
  </si>
  <si>
    <t>FG</t>
  </si>
  <si>
    <t>SFG</t>
  </si>
  <si>
    <t>SFG1</t>
  </si>
  <si>
    <t>PO STATUS</t>
  </si>
  <si>
    <t>Prod Remarks</t>
  </si>
  <si>
    <t>SFG code</t>
  </si>
  <si>
    <t>SFG pellet</t>
  </si>
  <si>
    <t>product version</t>
  </si>
  <si>
    <t>Process Order</t>
  </si>
  <si>
    <t>Output Date</t>
  </si>
  <si>
    <t>OD - FPR</t>
  </si>
  <si>
    <t>Poultry Sol PLB C 50KG-SFPI</t>
  </si>
  <si>
    <t>POULTRY</t>
  </si>
  <si>
    <t>Line 4</t>
  </si>
  <si>
    <t>Planned</t>
  </si>
  <si>
    <t>Plotted</t>
  </si>
  <si>
    <t>#REF!</t>
  </si>
  <si>
    <t>Salto Conditioner P 1kg (Bundle)</t>
  </si>
  <si>
    <t>GAMEFOWL</t>
  </si>
  <si>
    <t>Line 1</t>
  </si>
  <si>
    <t>-----</t>
  </si>
  <si>
    <t>Poultry Sol Breeder Layer Male Cr 50kg</t>
  </si>
  <si>
    <t>Elite XP Litter Developer, Pellet 50kg</t>
  </si>
  <si>
    <t>HOGS</t>
  </si>
  <si>
    <t>Line 2</t>
  </si>
  <si>
    <t>POULTRY SOLUTIONS CGB CR 50 KG-SF</t>
  </si>
  <si>
    <t>Poultry Sol BDR L2 C 50KG-SFPI</t>
  </si>
  <si>
    <t>Avemax Duck Pre-Lay Pellet, 50 Kg</t>
  </si>
  <si>
    <t>Poultry Sol Broiler Finex NM-P Cs, 50kg</t>
  </si>
  <si>
    <t>Line 7</t>
  </si>
  <si>
    <t>Poultry Sol Chick Grower Breeder Cr 50kg</t>
  </si>
  <si>
    <t>Line 3</t>
  </si>
  <si>
    <t>Poultry Sol Broiler Booster MD-P Cr 50kg</t>
  </si>
  <si>
    <t>Chick Growex 1- Poultry Solution, 50kg</t>
  </si>
  <si>
    <t>Poultry Sol Broiler Starter MD-P Cr 50kg</t>
  </si>
  <si>
    <t>Poultry Solutions CL1 M 50KG- EGC</t>
  </si>
  <si>
    <t>Poultry Solutions Broiler Finisher MD CA MP, 50kg</t>
  </si>
  <si>
    <t>PS CHICKEN LAYER 1 CR 750KG</t>
  </si>
  <si>
    <t>Line 6</t>
  </si>
  <si>
    <t>Combine</t>
  </si>
  <si>
    <t>Poultry Sol Broiler Finex MD-P Cs 50kg</t>
  </si>
  <si>
    <t>Cancelled</t>
  </si>
  <si>
    <t>Salto Stag Developer P 1kg (Bundle)</t>
  </si>
  <si>
    <t>Line 5</t>
  </si>
  <si>
    <t>prio replenish</t>
  </si>
  <si>
    <t>Elite XP GestaPrime, Pellet 50kg</t>
  </si>
  <si>
    <t>Gallimax Pigeon Pellet, 50kg</t>
  </si>
  <si>
    <t>Salto Baby Stag w/Grits 1kg(Bndlof25pcs)</t>
  </si>
  <si>
    <t>Elite XP Lactatex, Pellet 50kg</t>
  </si>
  <si>
    <t>Ave Max Duck Layex 50 kg</t>
  </si>
  <si>
    <t>Elite XP GestaPro, Pellet 50kg</t>
  </si>
  <si>
    <t>Basic Broiler Finex Crumble, 50Kg</t>
  </si>
  <si>
    <t>Elite XP Pre-startex, Mini-pellet 25kg</t>
  </si>
  <si>
    <t>Poultry Express Chicken Layer Cr 50kg</t>
  </si>
  <si>
    <t>Elite XP Growex 2, Pellet 50kg</t>
  </si>
  <si>
    <t>Elite XP Startex, Mini-pellet 50kg</t>
  </si>
  <si>
    <t>Poultry Sol Broiler Booster Cr MD 50kg</t>
  </si>
  <si>
    <t>Poultry Sol Broiler Starter Cr MD 50kg</t>
  </si>
  <si>
    <t>Poultry Sol Broiler Finisher MP MD 50kg</t>
  </si>
  <si>
    <t>Gallimax 2 Plus Ready Mix (Natural) 50kg</t>
  </si>
  <si>
    <t>Gall 21 Chicken Layer P (Breeder) 50Kg</t>
  </si>
  <si>
    <t>safety stocks</t>
  </si>
  <si>
    <t>Classic Hog Growex, Pellet 50kg</t>
  </si>
  <si>
    <t>Ave Max Duck Layex 2 Pellet, 50kg</t>
  </si>
  <si>
    <t>Gallimax 3 Maintenance (Natural) P, 50Kg</t>
  </si>
  <si>
    <t>POL SOL BRO BOOSTER, C 50KG-JW</t>
  </si>
  <si>
    <t>ReAprks</t>
  </si>
  <si>
    <t>TLD | Apr 16</t>
  </si>
  <si>
    <t>TLD | Apr 11</t>
  </si>
  <si>
    <t>TLD | Apr 13</t>
  </si>
  <si>
    <t>TLD | Apr 14</t>
  </si>
  <si>
    <t>jewm | TLD Apr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</si>
</sst>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&quot; &quot;d&quot;, &quot;yyyy"/>
  </numFmts>
  <fonts count="12" x14ac:knownFonts="1">
    <font>
      <sz val="11"/>
      <color theme="1"/>
      <name val="Arial"/>
      <family val="2"/>
      <scheme val="minor"/>
    </font>
    <font>
      <sz val="10"/>
      <color rgb="FF000000"/>
      <name val="Arial"/>
      <scheme val="minor"/>
    </font>
    <font>
      <sz val="10"/>
      <color theme="1"/>
      <name val="Trebuchet MS"/>
    </font>
    <font>
      <b/>
      <sz val="7"/>
      <color theme="1"/>
      <name val="Trebuchet MS"/>
    </font>
    <font>
      <sz val="10"/>
      <color theme="1"/>
      <name val="Arial"/>
      <scheme val="minor"/>
    </font>
    <font>
      <sz val="10"/>
      <color rgb="FFFFFFFF"/>
      <name val="Trebuchet MS"/>
    </font>
    <font>
      <sz val="7"/>
      <color theme="1"/>
      <name val="Trebuchet MS"/>
    </font>
    <font>
      <b/>
      <i/>
      <sz val="10"/>
      <color theme="1"/>
      <name val="Trebuchet MS"/>
    </font>
    <font>
      <b/>
      <sz val="10"/>
      <color theme="1"/>
      <name val="Trebuchet MS"/>
    </font>
    <font>
      <sz val="10"/>
      <color rgb="FF000000"/>
      <name val="Trebuchet MS"/>
    </font>
    <font>
      <i/>
      <sz val="10"/>
      <color theme="1"/>
      <name val="Trebuchet MS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8AF67"/>
        <bgColor rgb="FFE8AF67"/>
      </patternFill>
    </fill>
    <fill>
      <patternFill patternType="solid">
        <fgColor rgb="FFFFE5A0"/>
        <bgColor rgb="FFFFE5A0"/>
      </patternFill>
    </fill>
    <fill>
      <patternFill patternType="solid">
        <fgColor rgb="FF5C9868"/>
        <bgColor rgb="FF5C9868"/>
      </patternFill>
    </fill>
    <fill>
      <patternFill patternType="solid">
        <fgColor rgb="FFE06666"/>
        <bgColor rgb="FFE06666"/>
      </patternFill>
    </fill>
    <fill>
      <patternFill patternType="solid">
        <fgColor rgb="FFF2D4AE"/>
        <bgColor rgb="FFF2D4AE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1" fillId="0" borderId="0" xfId="1"/>
    <xf numFmtId="0" fontId="4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2" borderId="0" xfId="1" applyFont="1" applyFill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0" fontId="5" fillId="4" borderId="0" xfId="1" applyFont="1" applyFill="1" applyAlignment="1">
      <alignment horizontal="center" vertical="center"/>
    </xf>
    <xf numFmtId="0" fontId="5" fillId="4" borderId="0" xfId="1" applyFont="1" applyFill="1" applyAlignment="1">
      <alignment vertical="center"/>
    </xf>
    <xf numFmtId="0" fontId="5" fillId="4" borderId="0" xfId="1" applyFont="1" applyFill="1" applyAlignment="1">
      <alignment horizontal="left" vertical="center"/>
    </xf>
    <xf numFmtId="0" fontId="8" fillId="0" borderId="0" xfId="1" applyFont="1" applyAlignment="1">
      <alignment horizontal="center" vertical="center" wrapText="1"/>
    </xf>
    <xf numFmtId="4" fontId="5" fillId="5" borderId="0" xfId="1" applyNumberFormat="1" applyFont="1" applyFill="1" applyAlignment="1">
      <alignment vertical="center"/>
    </xf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vertical="center"/>
    </xf>
    <xf numFmtId="0" fontId="9" fillId="0" borderId="0" xfId="1" applyFont="1" applyAlignment="1">
      <alignment horizontal="left" vertical="center"/>
    </xf>
    <xf numFmtId="0" fontId="10" fillId="6" borderId="0" xfId="1" applyFont="1" applyFill="1" applyAlignment="1">
      <alignment horizontal="center" vertical="center"/>
    </xf>
    <xf numFmtId="4" fontId="2" fillId="0" borderId="0" xfId="1" applyNumberFormat="1" applyFont="1" applyAlignment="1">
      <alignment horizontal="center" vertical="center"/>
    </xf>
    <xf numFmtId="4" fontId="2" fillId="7" borderId="0" xfId="1" applyNumberFormat="1" applyFont="1" applyFill="1" applyAlignment="1">
      <alignment vertical="center"/>
    </xf>
    <xf numFmtId="0" fontId="4" fillId="0" borderId="0" xfId="1" applyFont="1"/>
    <xf numFmtId="164" fontId="2" fillId="0" borderId="0" xfId="1" applyNumberFormat="1" applyFont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0" fontId="11" fillId="0" borderId="0" xfId="1" applyFont="1"/>
    <xf numFmtId="1" fontId="9" fillId="0" borderId="0" xfId="1" applyNumberFormat="1" applyFont="1" applyAlignment="1">
      <alignment horizontal="center" vertical="center"/>
    </xf>
  </cellXfs>
  <cellStyles count="2">
    <cellStyle name="Normal" xfId="0" builtinId="0"/>
    <cellStyle name="Normal 2" xfId="1" xr:uid="{831020A2-BE5F-4D49-A2CA-284F4F4B5F60}"/>
  </cellStyles>
  <dxfs count="7">
    <dxf>
      <fill>
        <patternFill patternType="solid">
          <fgColor rgb="FF4BACC6"/>
          <bgColor rgb="FF4BAC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4BACC6"/>
          <bgColor rgb="FF4BACC6"/>
        </patternFill>
      </fill>
    </dxf>
    <dxf>
      <font>
        <color rgb="FFFFFFFF"/>
      </font>
      <fill>
        <patternFill patternType="solid">
          <fgColor rgb="FF4BACC6"/>
          <bgColor rgb="FF4BACC6"/>
        </patternFill>
      </fill>
    </dxf>
    <dxf>
      <font>
        <color rgb="FFFFFFFF"/>
      </font>
      <fill>
        <patternFill patternType="solid">
          <fgColor rgb="FFB10202"/>
          <bgColor rgb="FFB10202"/>
        </patternFill>
      </fill>
    </dxf>
    <dxf>
      <fill>
        <patternFill patternType="solid">
          <fgColor rgb="FFD4EDBC"/>
          <bgColor rgb="FFD4EDBC"/>
        </patternFill>
      </fill>
    </dxf>
    <dxf>
      <fill>
        <patternFill patternType="solid">
          <fgColor rgb="FFFFE5A0"/>
          <bgColor rgb="FFFFE5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PwC Slide Master">
  <a:themeElements>
    <a:clrScheme name="PwC Office Colours">
      <a:dk1>
        <a:srgbClr val="000000"/>
      </a:dk1>
      <a:lt1>
        <a:srgbClr val="FFFFFF"/>
      </a:lt1>
      <a:dk2>
        <a:srgbClr val="000000"/>
      </a:dk2>
      <a:lt2>
        <a:srgbClr val="EBEBEB"/>
      </a:lt2>
      <a:accent1>
        <a:srgbClr val="FD5108"/>
      </a:accent1>
      <a:accent2>
        <a:srgbClr val="FE7C39"/>
      </a:accent2>
      <a:accent3>
        <a:srgbClr val="FFAA72"/>
      </a:accent3>
      <a:accent4>
        <a:srgbClr val="A1A8B3"/>
      </a:accent4>
      <a:accent5>
        <a:srgbClr val="B5BCC4"/>
      </a:accent5>
      <a:accent6>
        <a:srgbClr val="CBD1D6"/>
      </a:accent6>
      <a:hlink>
        <a:srgbClr val="000000"/>
      </a:hlink>
      <a:folHlink>
        <a:srgbClr val="A1A8B3"/>
      </a:folHlink>
    </a:clrScheme>
    <a:fontScheme name="PwC Office Fonts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2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2700">
          <a:solidFill>
            <a:schemeClr val="tx1"/>
          </a:solidFill>
        </a:ln>
      </a:spPr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noAutofit/>
      </a:bodyPr>
      <a:lstStyle>
        <a:defPPr algn="l">
          <a:defRPr sz="1600" dirty="0" err="1" smtClean="0">
            <a:latin typeface="+mj-lt"/>
          </a:defRPr>
        </a:defPPr>
      </a:lstStyle>
    </a:txDef>
  </a:objectDefaults>
  <a:extraClrSchemeLst/>
  <a:custClrLst>
    <a:custClr name="Orange">
      <a:srgbClr val="FD5108"/>
    </a:custClr>
    <a:custClr name="Medium Orange">
      <a:srgbClr val="FE7C39"/>
    </a:custClr>
    <a:custClr name="Light Orange">
      <a:srgbClr val="FFAA72"/>
    </a:custClr>
    <a:custClr name="Orange Tint 1">
      <a:srgbClr val="FFCDA8"/>
    </a:custClr>
    <a:custClr name="Orange Tint 2">
      <a:srgbClr val="FFE8D4"/>
    </a:custClr>
    <a:custClr name="Orange Tint 3">
      <a:srgbClr val="FFF5ED"/>
    </a:custClr>
    <a:custClr name="Blank">
      <a:srgbClr val="FFFFFF"/>
    </a:custClr>
    <a:custClr name="Blank">
      <a:srgbClr val="FFFFFF"/>
    </a:custClr>
    <a:custClr name="Blank">
      <a:srgbClr val="FFFFFF"/>
    </a:custClr>
    <a:custClr name="Blank">
      <a:srgbClr val="FFFFFF"/>
    </a:custClr>
    <a:custClr name="Grey">
      <a:srgbClr val="A1A8B3"/>
    </a:custClr>
    <a:custClr name="Medium Grey">
      <a:srgbClr val="B5BCC4"/>
    </a:custClr>
    <a:custClr name="Light Grey">
      <a:srgbClr val="CBD1D6"/>
    </a:custClr>
    <a:custClr name="Grey Tint 1">
      <a:srgbClr val="DFE3E6"/>
    </a:custClr>
    <a:custClr name="Grey Tint 2">
      <a:srgbClr val="EEEFF1"/>
    </a:custClr>
    <a:custClr name="Grey Tint 3">
      <a:srgbClr val="F5F7F8"/>
    </a:custClr>
  </a:custClrLst>
  <a:extLst>
    <a:ext uri="{05A4C25C-085E-4340-85A3-A5531E510DB2}">
      <thm15:themeFamily xmlns:thm15="http://schemas.microsoft.com/office/thememl/2012/main" name="PwC_ppt_template" id="{0B296F49-9839-BE48-A6B0-07FAE54AD4FB}" vid="{251455FA-3AFB-1547-9744-D9A806732972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46242-AAE4-4D0C-8ECA-F0EB3F47AABB}">
  <sheetPr>
    <outlinePr summaryRight="0"/>
    <pageSetUpPr fitToPage="1"/>
  </sheetPr>
  <dimension ref="A1:W47"/>
  <sheetViews>
    <sheetView showGridLines="0" tabSelected="1" zoomScaleNormal="100" workbookViewId="0">
      <pane ySplit="1" topLeftCell="A2" activePane="bottomLeft" state="frozen"/>
      <selection activeCell="N2" sqref="N2"/>
      <selection pane="bottomLeft" activeCell="H9" sqref="H9"/>
    </sheetView>
  </sheetViews>
  <sheetFormatPr defaultColWidth="10.36328125" defaultRowHeight="15.7" customHeight="1" outlineLevelCol="2" x14ac:dyDescent="0.25"/>
  <cols>
    <col min="1" max="1" width="9.7265625" style="3" customWidth="1"/>
    <col min="2" max="2" width="14.7265625" style="24" customWidth="1"/>
    <col min="3" max="3" width="34.08984375" style="3" customWidth="1"/>
    <col min="4" max="4" width="8.90625" style="3" customWidth="1" outlineLevel="2"/>
    <col min="5" max="5" width="14.1796875" style="3" customWidth="1" outlineLevel="1"/>
    <col min="6" max="6" width="10.36328125" style="3"/>
    <col min="7" max="7" width="6.08984375" style="3" customWidth="1" outlineLevel="1"/>
    <col min="8" max="8" width="36" style="3" customWidth="1" outlineLevel="1"/>
    <col min="9" max="9" width="10.36328125" style="3" customWidth="1" outlineLevel="2"/>
    <col min="10" max="10" width="8.26953125" style="3" customWidth="1" outlineLevel="2"/>
    <col min="11" max="11" width="11.81640625" style="3" customWidth="1" outlineLevel="2"/>
    <col min="12" max="12" width="13.81640625" style="3" customWidth="1" outlineLevel="1"/>
    <col min="13" max="13" width="17.81640625" style="3" customWidth="1"/>
    <col min="14" max="14" width="13.90625" style="3" customWidth="1" outlineLevel="1"/>
    <col min="15" max="15" width="11.453125" style="3" customWidth="1" outlineLevel="1"/>
    <col min="16" max="16" width="15.26953125" style="3" customWidth="1" outlineLevel="1"/>
    <col min="17" max="18" width="10.7265625" style="3" customWidth="1"/>
    <col min="19" max="20" width="8.26953125" style="3" customWidth="1" outlineLevel="1"/>
    <col min="21" max="21" width="6.453125" style="3" customWidth="1"/>
    <col min="22" max="23" width="4.90625" style="3" customWidth="1"/>
    <col min="24" max="16384" width="10.36328125" style="3"/>
  </cols>
  <sheetData>
    <row r="1" spans="1:23" ht="13.85" x14ac:dyDescent="0.25">
      <c r="A1" s="9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7" t="s">
        <v>6</v>
      </c>
      <c r="H1" s="12" t="s">
        <v>73</v>
      </c>
      <c r="I1" s="8" t="s">
        <v>7</v>
      </c>
      <c r="J1" s="8" t="s">
        <v>8</v>
      </c>
      <c r="K1" s="8" t="s">
        <v>9</v>
      </c>
      <c r="L1" s="8" t="s">
        <v>10</v>
      </c>
      <c r="M1" s="13" t="s">
        <v>11</v>
      </c>
      <c r="N1" s="8" t="s">
        <v>12</v>
      </c>
      <c r="O1" s="8" t="s">
        <v>13</v>
      </c>
      <c r="P1" s="14" t="s">
        <v>14</v>
      </c>
      <c r="Q1" s="8"/>
      <c r="R1" s="2"/>
      <c r="S1" s="1" t="s">
        <v>15</v>
      </c>
      <c r="T1" s="4"/>
      <c r="U1" s="5" t="s">
        <v>16</v>
      </c>
      <c r="V1" s="5" t="s">
        <v>17</v>
      </c>
      <c r="W1" s="1"/>
    </row>
    <row r="2" spans="1:23" ht="13.85" x14ac:dyDescent="0.25">
      <c r="A2" s="6">
        <v>260330</v>
      </c>
      <c r="B2" s="25">
        <v>1000000002872</v>
      </c>
      <c r="C2" s="16" t="s">
        <v>18</v>
      </c>
      <c r="D2" s="17" t="s">
        <v>19</v>
      </c>
      <c r="E2" s="15" t="s">
        <v>20</v>
      </c>
      <c r="F2" s="15">
        <v>8</v>
      </c>
      <c r="G2" s="18" t="str">
        <f t="array" aca="1" ref="G2:G43" ca="1">IFERROR(_xludf.SEQUENCE(COUNT(B2:B43),1),"")</f>
        <v/>
      </c>
      <c r="H2" s="2" t="s">
        <v>74</v>
      </c>
      <c r="I2" s="1">
        <v>5920639</v>
      </c>
      <c r="J2" s="1">
        <v>5920710</v>
      </c>
      <c r="K2" s="1"/>
      <c r="L2" s="1" t="s">
        <v>21</v>
      </c>
      <c r="M2" s="2" t="s">
        <v>22</v>
      </c>
      <c r="N2" s="1"/>
      <c r="O2" s="19"/>
      <c r="P2" s="20"/>
      <c r="Q2" s="21" t="e">
        <v>#REF!</v>
      </c>
      <c r="R2" s="2" t="s">
        <v>23</v>
      </c>
      <c r="S2" s="22" t="s">
        <v>23</v>
      </c>
      <c r="T2" s="22" t="s">
        <v>23</v>
      </c>
      <c r="U2" s="22" t="str">
        <f t="shared" ref="U2:U42" si="0">IFERROR(DATE(INT(RIGHT(T2,4)),INT(RIGHT(LEFT(T2,5),2)),INT(LEFT(T2,2))),"")</f>
        <v/>
      </c>
      <c r="V2" s="23" t="str">
        <f>IF(U2="","",U2-#REF!)</f>
        <v/>
      </c>
      <c r="W2" s="23"/>
    </row>
    <row r="3" spans="1:23" ht="13.85" x14ac:dyDescent="0.25">
      <c r="A3" s="6">
        <v>260330</v>
      </c>
      <c r="B3" s="25">
        <v>1000000000546</v>
      </c>
      <c r="C3" s="16" t="s">
        <v>24</v>
      </c>
      <c r="D3" s="17" t="s">
        <v>25</v>
      </c>
      <c r="E3" s="15" t="s">
        <v>26</v>
      </c>
      <c r="F3" s="15">
        <v>3</v>
      </c>
      <c r="G3" s="18" t="str">
        <f ca="1"/>
        <v/>
      </c>
      <c r="H3" s="2" t="s">
        <v>75</v>
      </c>
      <c r="I3" s="1" t="s">
        <v>27</v>
      </c>
      <c r="J3" s="1">
        <v>5875176</v>
      </c>
      <c r="K3" s="1"/>
      <c r="L3" s="1" t="s">
        <v>21</v>
      </c>
      <c r="M3" s="2" t="s">
        <v>22</v>
      </c>
      <c r="N3" s="1"/>
      <c r="O3" s="19"/>
      <c r="P3" s="20"/>
      <c r="Q3" s="21" t="s">
        <v>23</v>
      </c>
      <c r="R3" s="2" t="s">
        <v>23</v>
      </c>
      <c r="S3" s="22" t="s">
        <v>23</v>
      </c>
      <c r="T3" s="22" t="s">
        <v>23</v>
      </c>
      <c r="U3" s="22" t="str">
        <f t="shared" si="0"/>
        <v/>
      </c>
      <c r="V3" s="23" t="str">
        <f>IF(U3="","",U3-#REF!)</f>
        <v/>
      </c>
      <c r="W3" s="23"/>
    </row>
    <row r="4" spans="1:23" ht="13.85" x14ac:dyDescent="0.25">
      <c r="A4" s="6">
        <v>260330</v>
      </c>
      <c r="B4" s="25">
        <v>1000000000985</v>
      </c>
      <c r="C4" s="16" t="s">
        <v>28</v>
      </c>
      <c r="D4" s="17" t="s">
        <v>19</v>
      </c>
      <c r="E4" s="15" t="s">
        <v>20</v>
      </c>
      <c r="F4" s="15">
        <v>6</v>
      </c>
      <c r="G4" s="18" t="str">
        <f ca="1"/>
        <v/>
      </c>
      <c r="H4" s="2" t="s">
        <v>76</v>
      </c>
      <c r="I4" s="1">
        <v>5920642</v>
      </c>
      <c r="J4" s="1">
        <v>5865389</v>
      </c>
      <c r="K4" s="1"/>
      <c r="L4" s="1" t="s">
        <v>21</v>
      </c>
      <c r="M4" s="2" t="s">
        <v>22</v>
      </c>
      <c r="N4" s="1"/>
      <c r="O4" s="19"/>
      <c r="P4" s="20"/>
      <c r="Q4" s="21" t="s">
        <v>23</v>
      </c>
      <c r="R4" s="2" t="s">
        <v>23</v>
      </c>
      <c r="S4" s="22" t="s">
        <v>23</v>
      </c>
      <c r="T4" s="22" t="s">
        <v>23</v>
      </c>
      <c r="U4" s="22" t="str">
        <f t="shared" si="0"/>
        <v/>
      </c>
      <c r="V4" s="23" t="str">
        <f>IF(U4="","",U4-#REF!)</f>
        <v/>
      </c>
      <c r="W4" s="23"/>
    </row>
    <row r="5" spans="1:23" ht="13.85" x14ac:dyDescent="0.25">
      <c r="A5" s="6">
        <v>260330</v>
      </c>
      <c r="B5" s="25">
        <v>1000000000236</v>
      </c>
      <c r="C5" s="16" t="s">
        <v>29</v>
      </c>
      <c r="D5" s="17" t="s">
        <v>30</v>
      </c>
      <c r="E5" s="15" t="s">
        <v>31</v>
      </c>
      <c r="F5" s="15">
        <v>4</v>
      </c>
      <c r="G5" s="18" t="str">
        <f ca="1"/>
        <v/>
      </c>
      <c r="H5" s="2" t="s">
        <v>75</v>
      </c>
      <c r="I5" s="1">
        <v>5925464</v>
      </c>
      <c r="J5" s="1">
        <v>5925465</v>
      </c>
      <c r="K5" s="1"/>
      <c r="L5" s="1" t="s">
        <v>21</v>
      </c>
      <c r="M5" s="2" t="s">
        <v>22</v>
      </c>
      <c r="N5" s="1"/>
      <c r="O5" s="19"/>
      <c r="P5" s="20"/>
      <c r="Q5" s="21" t="s">
        <v>23</v>
      </c>
      <c r="R5" s="2" t="s">
        <v>23</v>
      </c>
      <c r="S5" s="22" t="s">
        <v>23</v>
      </c>
      <c r="T5" s="22" t="s">
        <v>23</v>
      </c>
      <c r="U5" s="22" t="str">
        <f t="shared" si="0"/>
        <v/>
      </c>
      <c r="V5" s="23" t="str">
        <f>IF(U5="","",U5-#REF!)</f>
        <v/>
      </c>
      <c r="W5" s="23"/>
    </row>
    <row r="6" spans="1:23" ht="13.85" x14ac:dyDescent="0.25">
      <c r="A6" s="6">
        <v>260330</v>
      </c>
      <c r="B6" s="25">
        <v>1000000003706</v>
      </c>
      <c r="C6" s="16" t="s">
        <v>32</v>
      </c>
      <c r="D6" s="17" t="s">
        <v>19</v>
      </c>
      <c r="E6" s="15" t="s">
        <v>20</v>
      </c>
      <c r="F6" s="15">
        <v>10</v>
      </c>
      <c r="G6" s="18" t="str">
        <f ca="1"/>
        <v/>
      </c>
      <c r="H6" s="2" t="s">
        <v>77</v>
      </c>
      <c r="I6" s="1">
        <v>5920529</v>
      </c>
      <c r="J6" s="1">
        <v>5920709</v>
      </c>
      <c r="K6" s="1"/>
      <c r="L6" s="1" t="s">
        <v>21</v>
      </c>
      <c r="M6" s="2" t="s">
        <v>22</v>
      </c>
      <c r="N6" s="1"/>
      <c r="O6" s="19"/>
      <c r="P6" s="20"/>
      <c r="Q6" s="21" t="s">
        <v>23</v>
      </c>
      <c r="R6" s="2" t="s">
        <v>23</v>
      </c>
      <c r="S6" s="22" t="s">
        <v>23</v>
      </c>
      <c r="T6" s="22" t="s">
        <v>23</v>
      </c>
      <c r="U6" s="22" t="str">
        <f t="shared" si="0"/>
        <v/>
      </c>
      <c r="V6" s="23" t="str">
        <f>IF(U6="","",U6-#REF!)</f>
        <v/>
      </c>
      <c r="W6" s="23"/>
    </row>
    <row r="7" spans="1:23" ht="13.85" x14ac:dyDescent="0.25">
      <c r="A7" s="6">
        <v>260330</v>
      </c>
      <c r="B7" s="25">
        <v>1000000002874</v>
      </c>
      <c r="C7" s="16" t="s">
        <v>33</v>
      </c>
      <c r="D7" s="17" t="s">
        <v>19</v>
      </c>
      <c r="E7" s="15" t="s">
        <v>20</v>
      </c>
      <c r="F7" s="15">
        <v>20</v>
      </c>
      <c r="G7" s="18" t="str">
        <f ca="1"/>
        <v/>
      </c>
      <c r="H7" s="2" t="s">
        <v>75</v>
      </c>
      <c r="I7" s="1">
        <v>5920638</v>
      </c>
      <c r="J7" s="1">
        <v>5920708</v>
      </c>
      <c r="K7" s="1"/>
      <c r="L7" s="1" t="s">
        <v>21</v>
      </c>
      <c r="M7" s="2" t="s">
        <v>22</v>
      </c>
      <c r="N7" s="1"/>
      <c r="O7" s="19"/>
      <c r="P7" s="20"/>
      <c r="Q7" s="21" t="s">
        <v>23</v>
      </c>
      <c r="R7" s="2" t="s">
        <v>23</v>
      </c>
      <c r="S7" s="22" t="s">
        <v>23</v>
      </c>
      <c r="T7" s="22" t="s">
        <v>23</v>
      </c>
      <c r="U7" s="22" t="str">
        <f t="shared" si="0"/>
        <v/>
      </c>
      <c r="V7" s="23" t="str">
        <f>IF(U7="","",U7-#REF!)</f>
        <v/>
      </c>
      <c r="W7" s="23"/>
    </row>
    <row r="8" spans="1:23" ht="13.85" x14ac:dyDescent="0.25">
      <c r="A8" s="6">
        <v>260330</v>
      </c>
      <c r="B8" s="25">
        <v>1000000000038</v>
      </c>
      <c r="C8" s="16" t="s">
        <v>34</v>
      </c>
      <c r="D8" s="17" t="s">
        <v>19</v>
      </c>
      <c r="E8" s="15" t="s">
        <v>20</v>
      </c>
      <c r="F8" s="15">
        <v>4</v>
      </c>
      <c r="G8" s="18" t="str">
        <f ca="1"/>
        <v/>
      </c>
      <c r="H8" s="2" t="s">
        <v>75</v>
      </c>
      <c r="I8" s="1">
        <v>5925472</v>
      </c>
      <c r="J8" s="1">
        <v>5925473</v>
      </c>
      <c r="K8" s="1"/>
      <c r="L8" s="1" t="s">
        <v>21</v>
      </c>
      <c r="M8" s="2" t="s">
        <v>22</v>
      </c>
      <c r="N8" s="1"/>
      <c r="O8" s="19"/>
      <c r="P8" s="20"/>
      <c r="Q8" s="21" t="s">
        <v>23</v>
      </c>
      <c r="R8" s="2" t="s">
        <v>23</v>
      </c>
      <c r="S8" s="22" t="s">
        <v>23</v>
      </c>
      <c r="T8" s="22" t="s">
        <v>23</v>
      </c>
      <c r="U8" s="22" t="str">
        <f t="shared" si="0"/>
        <v/>
      </c>
      <c r="V8" s="23" t="str">
        <f>IF(U8="","",U8-#REF!)</f>
        <v/>
      </c>
      <c r="W8" s="23"/>
    </row>
    <row r="9" spans="1:23" ht="13.85" x14ac:dyDescent="0.25">
      <c r="A9" s="6">
        <v>260330</v>
      </c>
      <c r="B9" s="25">
        <v>1000000000911</v>
      </c>
      <c r="C9" s="16" t="s">
        <v>35</v>
      </c>
      <c r="D9" s="17" t="s">
        <v>19</v>
      </c>
      <c r="E9" s="15" t="s">
        <v>36</v>
      </c>
      <c r="F9" s="15">
        <v>42</v>
      </c>
      <c r="G9" s="18" t="str">
        <f ca="1"/>
        <v/>
      </c>
      <c r="H9" s="2" t="s">
        <v>75</v>
      </c>
      <c r="I9" s="1">
        <v>5915308</v>
      </c>
      <c r="J9" s="1">
        <v>5916857</v>
      </c>
      <c r="K9" s="1"/>
      <c r="L9" s="1" t="s">
        <v>21</v>
      </c>
      <c r="M9" s="2" t="s">
        <v>22</v>
      </c>
      <c r="N9" s="1"/>
      <c r="O9" s="19"/>
      <c r="P9" s="20"/>
      <c r="Q9" s="21" t="s">
        <v>23</v>
      </c>
      <c r="R9" s="2" t="s">
        <v>23</v>
      </c>
      <c r="S9" s="22" t="s">
        <v>23</v>
      </c>
      <c r="T9" s="22" t="s">
        <v>23</v>
      </c>
      <c r="U9" s="22" t="str">
        <f t="shared" si="0"/>
        <v/>
      </c>
      <c r="V9" s="23" t="str">
        <f>IF(U9="","",U9-#REF!)</f>
        <v/>
      </c>
      <c r="W9" s="23"/>
    </row>
    <row r="10" spans="1:23" ht="13.85" x14ac:dyDescent="0.25">
      <c r="A10" s="6">
        <v>260330</v>
      </c>
      <c r="B10" s="25">
        <v>1000000000981</v>
      </c>
      <c r="C10" s="16" t="s">
        <v>37</v>
      </c>
      <c r="D10" s="17" t="s">
        <v>19</v>
      </c>
      <c r="E10" s="15" t="s">
        <v>38</v>
      </c>
      <c r="F10" s="15">
        <v>12</v>
      </c>
      <c r="G10" s="18" t="str">
        <f ca="1"/>
        <v/>
      </c>
      <c r="H10" s="2" t="s">
        <v>76</v>
      </c>
      <c r="I10" s="1">
        <v>5925438</v>
      </c>
      <c r="J10" s="1">
        <v>5909714</v>
      </c>
      <c r="K10" s="1"/>
      <c r="L10" s="1" t="s">
        <v>21</v>
      </c>
      <c r="M10" s="2" t="s">
        <v>22</v>
      </c>
      <c r="N10" s="1"/>
      <c r="O10" s="19"/>
      <c r="P10" s="20"/>
      <c r="Q10" s="21" t="s">
        <v>23</v>
      </c>
      <c r="R10" s="2" t="s">
        <v>23</v>
      </c>
      <c r="S10" s="22" t="s">
        <v>23</v>
      </c>
      <c r="T10" s="22" t="s">
        <v>23</v>
      </c>
      <c r="U10" s="22" t="str">
        <f t="shared" si="0"/>
        <v/>
      </c>
      <c r="V10" s="23" t="str">
        <f>IF(U10="","",U10-#REF!)</f>
        <v/>
      </c>
      <c r="W10" s="23"/>
    </row>
    <row r="11" spans="1:23" ht="13.85" x14ac:dyDescent="0.25">
      <c r="A11" s="6">
        <v>260330</v>
      </c>
      <c r="B11" s="25">
        <v>1000000000969</v>
      </c>
      <c r="C11" s="16" t="s">
        <v>39</v>
      </c>
      <c r="D11" s="17" t="s">
        <v>19</v>
      </c>
      <c r="E11" s="15" t="s">
        <v>20</v>
      </c>
      <c r="F11" s="15">
        <v>8</v>
      </c>
      <c r="G11" s="18" t="str">
        <f ca="1"/>
        <v/>
      </c>
      <c r="H11" s="2" t="s">
        <v>76</v>
      </c>
      <c r="I11" s="1">
        <v>5915310</v>
      </c>
      <c r="J11" s="1">
        <v>5915608</v>
      </c>
      <c r="K11" s="1"/>
      <c r="L11" s="1" t="s">
        <v>21</v>
      </c>
      <c r="M11" s="2" t="s">
        <v>22</v>
      </c>
      <c r="N11" s="1"/>
      <c r="O11" s="19"/>
      <c r="P11" s="20"/>
      <c r="Q11" s="21" t="s">
        <v>23</v>
      </c>
      <c r="R11" s="2" t="s">
        <v>23</v>
      </c>
      <c r="S11" s="22" t="s">
        <v>23</v>
      </c>
      <c r="T11" s="22" t="s">
        <v>23</v>
      </c>
      <c r="U11" s="22" t="str">
        <f t="shared" si="0"/>
        <v/>
      </c>
      <c r="V11" s="23" t="str">
        <f>IF(U11="","",U11-#REF!)</f>
        <v/>
      </c>
      <c r="W11" s="23"/>
    </row>
    <row r="12" spans="1:23" ht="13.85" x14ac:dyDescent="0.25">
      <c r="A12" s="6">
        <v>260330</v>
      </c>
      <c r="B12" s="25">
        <v>1000000000311</v>
      </c>
      <c r="C12" s="16" t="s">
        <v>40</v>
      </c>
      <c r="D12" s="17" t="s">
        <v>19</v>
      </c>
      <c r="E12" s="15" t="s">
        <v>38</v>
      </c>
      <c r="F12" s="15">
        <v>12</v>
      </c>
      <c r="G12" s="18" t="str">
        <f ca="1"/>
        <v/>
      </c>
      <c r="H12" s="2" t="s">
        <v>76</v>
      </c>
      <c r="I12" s="1">
        <v>5915297</v>
      </c>
      <c r="J12" s="1">
        <v>5915536</v>
      </c>
      <c r="K12" s="1"/>
      <c r="L12" s="1" t="s">
        <v>21</v>
      </c>
      <c r="M12" s="2" t="s">
        <v>22</v>
      </c>
      <c r="N12" s="1"/>
      <c r="O12" s="19"/>
      <c r="P12" s="20"/>
      <c r="Q12" s="21" t="s">
        <v>23</v>
      </c>
      <c r="R12" s="2" t="s">
        <v>23</v>
      </c>
      <c r="S12" s="22" t="s">
        <v>23</v>
      </c>
      <c r="T12" s="22" t="s">
        <v>23</v>
      </c>
      <c r="U12" s="22" t="str">
        <f t="shared" si="0"/>
        <v/>
      </c>
      <c r="V12" s="23" t="str">
        <f>IF(U12="","",U12-#REF!)</f>
        <v/>
      </c>
      <c r="W12" s="23"/>
    </row>
    <row r="13" spans="1:23" ht="18" customHeight="1" x14ac:dyDescent="0.25">
      <c r="A13" s="6">
        <v>260330</v>
      </c>
      <c r="B13" s="25">
        <v>1000000000970</v>
      </c>
      <c r="C13" s="16" t="s">
        <v>41</v>
      </c>
      <c r="D13" s="17" t="s">
        <v>19</v>
      </c>
      <c r="E13" s="15" t="s">
        <v>38</v>
      </c>
      <c r="F13" s="15">
        <v>36</v>
      </c>
      <c r="G13" s="18" t="str">
        <f ca="1"/>
        <v/>
      </c>
      <c r="H13" s="2" t="s">
        <v>76</v>
      </c>
      <c r="I13" s="1">
        <v>5915312</v>
      </c>
      <c r="J13" s="1">
        <v>5916850</v>
      </c>
      <c r="K13" s="1"/>
      <c r="L13" s="1" t="s">
        <v>21</v>
      </c>
      <c r="M13" s="2" t="s">
        <v>22</v>
      </c>
      <c r="N13" s="1"/>
      <c r="O13" s="19"/>
      <c r="P13" s="20"/>
      <c r="Q13" s="21" t="s">
        <v>23</v>
      </c>
      <c r="R13" s="2" t="s">
        <v>23</v>
      </c>
      <c r="S13" s="22" t="s">
        <v>23</v>
      </c>
      <c r="T13" s="22" t="s">
        <v>23</v>
      </c>
      <c r="U13" s="22" t="str">
        <f t="shared" si="0"/>
        <v/>
      </c>
      <c r="V13" s="23" t="str">
        <f>IF(U13="","",U13-#REF!)</f>
        <v/>
      </c>
      <c r="W13" s="23"/>
    </row>
    <row r="14" spans="1:23" ht="18" customHeight="1" x14ac:dyDescent="0.25">
      <c r="A14" s="6">
        <v>260330</v>
      </c>
      <c r="B14" s="25">
        <v>1000000002508</v>
      </c>
      <c r="C14" s="16" t="s">
        <v>42</v>
      </c>
      <c r="D14" s="17" t="s">
        <v>19</v>
      </c>
      <c r="E14" s="15" t="s">
        <v>38</v>
      </c>
      <c r="F14" s="15">
        <v>26</v>
      </c>
      <c r="G14" s="18" t="str">
        <f ca="1"/>
        <v/>
      </c>
      <c r="H14" s="2" t="s">
        <v>76</v>
      </c>
      <c r="I14" s="1">
        <v>5915398</v>
      </c>
      <c r="J14" s="1">
        <v>5888309</v>
      </c>
      <c r="K14" s="1"/>
      <c r="L14" s="1" t="s">
        <v>21</v>
      </c>
      <c r="M14" s="2" t="s">
        <v>22</v>
      </c>
      <c r="N14" s="1"/>
      <c r="O14" s="19"/>
      <c r="P14" s="20"/>
      <c r="Q14" s="21" t="s">
        <v>23</v>
      </c>
      <c r="R14" s="2" t="s">
        <v>23</v>
      </c>
      <c r="S14" s="22" t="s">
        <v>23</v>
      </c>
      <c r="T14" s="22" t="s">
        <v>23</v>
      </c>
      <c r="U14" s="22" t="str">
        <f t="shared" si="0"/>
        <v/>
      </c>
      <c r="V14" s="23" t="str">
        <f>IF(U14="","",U14-#REF!)</f>
        <v/>
      </c>
      <c r="W14" s="23"/>
    </row>
    <row r="15" spans="1:23" ht="18" customHeight="1" x14ac:dyDescent="0.25">
      <c r="A15" s="6">
        <v>260330</v>
      </c>
      <c r="B15" s="25">
        <v>1000000003869</v>
      </c>
      <c r="C15" s="16" t="s">
        <v>43</v>
      </c>
      <c r="D15" s="17" t="s">
        <v>19</v>
      </c>
      <c r="E15" s="15" t="s">
        <v>36</v>
      </c>
      <c r="F15" s="15">
        <v>28</v>
      </c>
      <c r="G15" s="18" t="str">
        <f ca="1"/>
        <v/>
      </c>
      <c r="H15" s="2" t="s">
        <v>76</v>
      </c>
      <c r="I15" s="1">
        <v>5894299</v>
      </c>
      <c r="J15" s="1">
        <v>5894413</v>
      </c>
      <c r="K15" s="1"/>
      <c r="L15" s="1" t="s">
        <v>21</v>
      </c>
      <c r="M15" s="2" t="s">
        <v>22</v>
      </c>
      <c r="N15" s="1"/>
      <c r="O15" s="19"/>
      <c r="P15" s="20"/>
      <c r="Q15" s="21" t="s">
        <v>23</v>
      </c>
      <c r="R15" s="2" t="s">
        <v>23</v>
      </c>
      <c r="S15" s="22" t="s">
        <v>23</v>
      </c>
      <c r="T15" s="22" t="s">
        <v>23</v>
      </c>
      <c r="U15" s="22" t="str">
        <f t="shared" si="0"/>
        <v/>
      </c>
      <c r="V15" s="23" t="str">
        <f>IF(U15="","",U15-#REF!)</f>
        <v/>
      </c>
      <c r="W15" s="23"/>
    </row>
    <row r="16" spans="1:23" ht="18" customHeight="1" x14ac:dyDescent="0.25">
      <c r="A16" s="6">
        <v>260330</v>
      </c>
      <c r="B16" s="25">
        <v>1000000003740</v>
      </c>
      <c r="C16" s="16" t="s">
        <v>44</v>
      </c>
      <c r="D16" s="17" t="s">
        <v>19</v>
      </c>
      <c r="E16" s="15" t="s">
        <v>45</v>
      </c>
      <c r="F16" s="15">
        <v>22</v>
      </c>
      <c r="G16" s="18" t="str">
        <f ca="1"/>
        <v/>
      </c>
      <c r="H16" s="2" t="s">
        <v>74</v>
      </c>
      <c r="I16" s="1"/>
      <c r="J16" s="1"/>
      <c r="K16" s="1"/>
      <c r="L16" s="1" t="s">
        <v>46</v>
      </c>
      <c r="M16" s="2"/>
      <c r="N16" s="1"/>
      <c r="O16" s="19"/>
      <c r="P16" s="20"/>
      <c r="Q16" s="21" t="s">
        <v>23</v>
      </c>
      <c r="R16" s="2" t="s">
        <v>23</v>
      </c>
      <c r="S16" s="22" t="s">
        <v>23</v>
      </c>
      <c r="T16" s="22" t="s">
        <v>23</v>
      </c>
      <c r="U16" s="22" t="str">
        <f t="shared" si="0"/>
        <v/>
      </c>
      <c r="V16" s="23" t="str">
        <f>IF(U16="","",U16-#REF!)</f>
        <v/>
      </c>
      <c r="W16" s="23"/>
    </row>
    <row r="17" spans="1:23" ht="18" customHeight="1" x14ac:dyDescent="0.25">
      <c r="A17" s="6">
        <v>260330</v>
      </c>
      <c r="B17" s="25">
        <v>1000000000971</v>
      </c>
      <c r="C17" s="16" t="s">
        <v>47</v>
      </c>
      <c r="D17" s="17" t="s">
        <v>19</v>
      </c>
      <c r="E17" s="15" t="s">
        <v>36</v>
      </c>
      <c r="F17" s="15">
        <v>20</v>
      </c>
      <c r="G17" s="18" t="str">
        <f ca="1"/>
        <v/>
      </c>
      <c r="H17" s="2" t="s">
        <v>74</v>
      </c>
      <c r="I17" s="1">
        <v>5925439</v>
      </c>
      <c r="J17" s="1">
        <v>5888513</v>
      </c>
      <c r="K17" s="1"/>
      <c r="L17" s="1" t="s">
        <v>48</v>
      </c>
      <c r="M17" s="2" t="s">
        <v>22</v>
      </c>
      <c r="N17" s="1"/>
      <c r="O17" s="19"/>
      <c r="P17" s="20"/>
      <c r="Q17" s="21" t="s">
        <v>23</v>
      </c>
      <c r="R17" s="2" t="s">
        <v>23</v>
      </c>
      <c r="S17" s="22" t="s">
        <v>23</v>
      </c>
      <c r="T17" s="22" t="s">
        <v>23</v>
      </c>
      <c r="U17" s="22" t="str">
        <f t="shared" si="0"/>
        <v/>
      </c>
      <c r="V17" s="23" t="str">
        <f>IF(U17="","",U17-#REF!)</f>
        <v/>
      </c>
      <c r="W17" s="23"/>
    </row>
    <row r="18" spans="1:23" ht="18" customHeight="1" x14ac:dyDescent="0.25">
      <c r="A18" s="6">
        <v>260330</v>
      </c>
      <c r="B18" s="25">
        <v>1000000000543</v>
      </c>
      <c r="C18" s="16" t="s">
        <v>49</v>
      </c>
      <c r="D18" s="17" t="s">
        <v>25</v>
      </c>
      <c r="E18" s="15" t="s">
        <v>50</v>
      </c>
      <c r="F18" s="15">
        <v>8</v>
      </c>
      <c r="G18" s="18" t="str">
        <f ca="1"/>
        <v/>
      </c>
      <c r="H18" s="2" t="s">
        <v>51</v>
      </c>
      <c r="I18" s="1" t="s">
        <v>27</v>
      </c>
      <c r="J18" s="1">
        <v>5863692</v>
      </c>
      <c r="K18" s="1">
        <v>5875660</v>
      </c>
      <c r="L18" s="1" t="s">
        <v>21</v>
      </c>
      <c r="M18" s="2" t="s">
        <v>22</v>
      </c>
      <c r="N18" s="1"/>
      <c r="O18" s="19"/>
      <c r="P18" s="20"/>
      <c r="Q18" s="21" t="s">
        <v>23</v>
      </c>
      <c r="R18" s="2" t="s">
        <v>23</v>
      </c>
      <c r="S18" s="22" t="s">
        <v>23</v>
      </c>
      <c r="T18" s="22" t="s">
        <v>23</v>
      </c>
      <c r="U18" s="22" t="str">
        <f t="shared" si="0"/>
        <v/>
      </c>
      <c r="V18" s="23" t="str">
        <f>IF(U18="","",U18-#REF!)</f>
        <v/>
      </c>
      <c r="W18" s="23"/>
    </row>
    <row r="19" spans="1:23" ht="18" customHeight="1" x14ac:dyDescent="0.25">
      <c r="A19" s="6">
        <v>260330</v>
      </c>
      <c r="B19" s="25">
        <v>1000000000233</v>
      </c>
      <c r="C19" s="16" t="s">
        <v>52</v>
      </c>
      <c r="D19" s="17" t="s">
        <v>30</v>
      </c>
      <c r="E19" s="15" t="s">
        <v>31</v>
      </c>
      <c r="F19" s="15">
        <v>12</v>
      </c>
      <c r="G19" s="18" t="str">
        <f ca="1"/>
        <v/>
      </c>
      <c r="H19" s="2" t="s">
        <v>51</v>
      </c>
      <c r="I19" s="1">
        <v>5884590</v>
      </c>
      <c r="J19" s="1">
        <v>5891410</v>
      </c>
      <c r="K19" s="1"/>
      <c r="L19" s="1" t="s">
        <v>21</v>
      </c>
      <c r="M19" s="2" t="s">
        <v>22</v>
      </c>
      <c r="N19" s="1"/>
      <c r="O19" s="19"/>
      <c r="P19" s="20"/>
      <c r="Q19" s="21" t="s">
        <v>23</v>
      </c>
      <c r="R19" s="2" t="s">
        <v>23</v>
      </c>
      <c r="S19" s="22" t="s">
        <v>23</v>
      </c>
      <c r="T19" s="22" t="s">
        <v>23</v>
      </c>
      <c r="U19" s="22" t="str">
        <f t="shared" si="0"/>
        <v/>
      </c>
      <c r="V19" s="23" t="str">
        <f>IF(U19="","",U19-#REF!)</f>
        <v/>
      </c>
      <c r="W19" s="23"/>
    </row>
    <row r="20" spans="1:23" ht="18" customHeight="1" x14ac:dyDescent="0.25">
      <c r="A20" s="6">
        <v>260330</v>
      </c>
      <c r="B20" s="25">
        <v>1000000000934</v>
      </c>
      <c r="C20" s="16" t="s">
        <v>53</v>
      </c>
      <c r="D20" s="17" t="s">
        <v>25</v>
      </c>
      <c r="E20" s="15" t="s">
        <v>26</v>
      </c>
      <c r="F20" s="15">
        <v>24</v>
      </c>
      <c r="G20" s="18" t="str">
        <f ca="1"/>
        <v/>
      </c>
      <c r="H20" s="2" t="s">
        <v>51</v>
      </c>
      <c r="I20" s="1">
        <v>5925175</v>
      </c>
      <c r="J20" s="1">
        <v>5792802</v>
      </c>
      <c r="K20" s="1"/>
      <c r="L20" s="1" t="s">
        <v>21</v>
      </c>
      <c r="M20" s="2" t="s">
        <v>22</v>
      </c>
      <c r="N20" s="1"/>
      <c r="O20" s="19"/>
      <c r="P20" s="20"/>
      <c r="Q20" s="21" t="s">
        <v>23</v>
      </c>
      <c r="R20" s="2" t="s">
        <v>23</v>
      </c>
      <c r="S20" s="22" t="s">
        <v>23</v>
      </c>
      <c r="T20" s="22" t="s">
        <v>23</v>
      </c>
      <c r="U20" s="22" t="str">
        <f t="shared" si="0"/>
        <v/>
      </c>
      <c r="V20" s="23" t="str">
        <f>IF(U20="","",U20-#REF!)</f>
        <v/>
      </c>
      <c r="W20" s="23"/>
    </row>
    <row r="21" spans="1:23" ht="18" customHeight="1" x14ac:dyDescent="0.25">
      <c r="A21" s="6">
        <v>260330</v>
      </c>
      <c r="B21" s="25">
        <v>1000000000915</v>
      </c>
      <c r="C21" s="16" t="s">
        <v>54</v>
      </c>
      <c r="D21" s="17" t="s">
        <v>25</v>
      </c>
      <c r="E21" s="15" t="s">
        <v>38</v>
      </c>
      <c r="F21" s="15">
        <v>24</v>
      </c>
      <c r="G21" s="18" t="str">
        <f ca="1"/>
        <v/>
      </c>
      <c r="H21" s="2" t="s">
        <v>51</v>
      </c>
      <c r="I21" s="1" t="s">
        <v>27</v>
      </c>
      <c r="J21" s="1">
        <v>5911180</v>
      </c>
      <c r="K21" s="1"/>
      <c r="L21" s="1" t="s">
        <v>21</v>
      </c>
      <c r="M21" s="2" t="s">
        <v>22</v>
      </c>
      <c r="N21" s="1"/>
      <c r="O21" s="19"/>
      <c r="P21" s="20"/>
      <c r="Q21" s="21" t="s">
        <v>23</v>
      </c>
      <c r="R21" s="2" t="s">
        <v>23</v>
      </c>
      <c r="S21" s="22" t="s">
        <v>23</v>
      </c>
      <c r="T21" s="22" t="s">
        <v>23</v>
      </c>
      <c r="U21" s="22" t="str">
        <f t="shared" si="0"/>
        <v/>
      </c>
      <c r="V21" s="23" t="str">
        <f>IF(U21="","",U21-#REF!)</f>
        <v/>
      </c>
      <c r="W21" s="23"/>
    </row>
    <row r="22" spans="1:23" ht="18" customHeight="1" x14ac:dyDescent="0.25">
      <c r="A22" s="6">
        <v>260330</v>
      </c>
      <c r="B22" s="25">
        <v>1000000000237</v>
      </c>
      <c r="C22" s="16" t="s">
        <v>55</v>
      </c>
      <c r="D22" s="17" t="s">
        <v>30</v>
      </c>
      <c r="E22" s="15" t="s">
        <v>31</v>
      </c>
      <c r="F22" s="15">
        <v>40</v>
      </c>
      <c r="G22" s="18" t="str">
        <f ca="1"/>
        <v/>
      </c>
      <c r="H22" s="2" t="s">
        <v>51</v>
      </c>
      <c r="I22" s="1">
        <v>5872997</v>
      </c>
      <c r="J22" s="1">
        <v>5881930</v>
      </c>
      <c r="K22" s="1"/>
      <c r="L22" s="1" t="s">
        <v>21</v>
      </c>
      <c r="M22" s="2" t="s">
        <v>22</v>
      </c>
      <c r="N22" s="1"/>
      <c r="O22" s="19"/>
      <c r="P22" s="20"/>
      <c r="Q22" s="21" t="s">
        <v>23</v>
      </c>
      <c r="R22" s="2" t="s">
        <v>23</v>
      </c>
      <c r="S22" s="22" t="s">
        <v>23</v>
      </c>
      <c r="T22" s="22" t="s">
        <v>23</v>
      </c>
      <c r="U22" s="22" t="str">
        <f t="shared" si="0"/>
        <v/>
      </c>
      <c r="V22" s="23" t="str">
        <f>IF(U22="","",U22-#REF!)</f>
        <v/>
      </c>
      <c r="W22" s="23"/>
    </row>
    <row r="23" spans="1:23" ht="18" customHeight="1" x14ac:dyDescent="0.25">
      <c r="A23" s="6">
        <v>260330</v>
      </c>
      <c r="B23" s="25">
        <v>1000000000517</v>
      </c>
      <c r="C23" s="16" t="s">
        <v>56</v>
      </c>
      <c r="D23" s="17" t="s">
        <v>19</v>
      </c>
      <c r="E23" s="15" t="s">
        <v>31</v>
      </c>
      <c r="F23" s="15">
        <v>32</v>
      </c>
      <c r="G23" s="18" t="str">
        <f ca="1"/>
        <v/>
      </c>
      <c r="H23" s="2" t="s">
        <v>51</v>
      </c>
      <c r="I23" s="1">
        <v>5920539</v>
      </c>
      <c r="J23" s="1">
        <v>5920744</v>
      </c>
      <c r="K23" s="1"/>
      <c r="L23" s="1" t="s">
        <v>21</v>
      </c>
      <c r="M23" s="2" t="s">
        <v>22</v>
      </c>
      <c r="N23" s="1"/>
      <c r="O23" s="19"/>
      <c r="P23" s="20"/>
      <c r="Q23" s="21" t="s">
        <v>23</v>
      </c>
      <c r="R23" s="2" t="s">
        <v>23</v>
      </c>
      <c r="S23" s="22" t="s">
        <v>23</v>
      </c>
      <c r="T23" s="22" t="s">
        <v>23</v>
      </c>
      <c r="U23" s="22" t="str">
        <f t="shared" si="0"/>
        <v/>
      </c>
      <c r="V23" s="23" t="str">
        <f>IF(U23="","",U23-#REF!)</f>
        <v/>
      </c>
      <c r="W23" s="23"/>
    </row>
    <row r="24" spans="1:23" ht="18" customHeight="1" x14ac:dyDescent="0.25">
      <c r="A24" s="6">
        <v>260330</v>
      </c>
      <c r="B24" s="25">
        <v>1000000000235</v>
      </c>
      <c r="C24" s="16" t="s">
        <v>57</v>
      </c>
      <c r="D24" s="17" t="s">
        <v>30</v>
      </c>
      <c r="E24" s="15" t="s">
        <v>31</v>
      </c>
      <c r="F24" s="15">
        <v>40</v>
      </c>
      <c r="G24" s="18" t="str">
        <f ca="1"/>
        <v/>
      </c>
      <c r="H24" s="2" t="s">
        <v>51</v>
      </c>
      <c r="I24" s="1"/>
      <c r="J24" s="1"/>
      <c r="K24" s="1"/>
      <c r="L24" s="1" t="s">
        <v>46</v>
      </c>
      <c r="M24" s="2"/>
      <c r="N24" s="1"/>
      <c r="O24" s="19"/>
      <c r="P24" s="20"/>
      <c r="Q24" s="21" t="s">
        <v>23</v>
      </c>
      <c r="R24" s="2" t="s">
        <v>23</v>
      </c>
      <c r="S24" s="22" t="s">
        <v>23</v>
      </c>
      <c r="T24" s="22" t="s">
        <v>23</v>
      </c>
      <c r="U24" s="22" t="str">
        <f t="shared" si="0"/>
        <v/>
      </c>
      <c r="V24" s="23" t="str">
        <f>IF(U24="","",U24-#REF!)</f>
        <v/>
      </c>
      <c r="W24" s="23"/>
    </row>
    <row r="25" spans="1:23" ht="18" customHeight="1" x14ac:dyDescent="0.25">
      <c r="A25" s="6">
        <v>260330</v>
      </c>
      <c r="B25" s="25">
        <v>1000000000043</v>
      </c>
      <c r="C25" s="16" t="s">
        <v>58</v>
      </c>
      <c r="D25" s="17" t="s">
        <v>19</v>
      </c>
      <c r="E25" s="15" t="s">
        <v>20</v>
      </c>
      <c r="F25" s="15">
        <v>120</v>
      </c>
      <c r="G25" s="18" t="str">
        <f ca="1"/>
        <v/>
      </c>
      <c r="H25" s="2" t="s">
        <v>51</v>
      </c>
      <c r="I25" s="1">
        <v>5920542</v>
      </c>
      <c r="J25" s="1">
        <v>5922511</v>
      </c>
      <c r="K25" s="1"/>
      <c r="L25" s="1" t="s">
        <v>21</v>
      </c>
      <c r="M25" s="2" t="s">
        <v>22</v>
      </c>
      <c r="N25" s="1"/>
      <c r="O25" s="19"/>
      <c r="P25" s="20"/>
      <c r="Q25" s="21" t="s">
        <v>23</v>
      </c>
      <c r="R25" s="2" t="s">
        <v>23</v>
      </c>
      <c r="S25" s="22" t="s">
        <v>23</v>
      </c>
      <c r="T25" s="22" t="s">
        <v>23</v>
      </c>
      <c r="U25" s="22" t="str">
        <f t="shared" si="0"/>
        <v/>
      </c>
      <c r="V25" s="23" t="str">
        <f>IF(U25="","",U25-#REF!)</f>
        <v/>
      </c>
      <c r="W25" s="23"/>
    </row>
    <row r="26" spans="1:23" ht="18" customHeight="1" x14ac:dyDescent="0.25">
      <c r="A26" s="6">
        <v>260330</v>
      </c>
      <c r="B26" s="25">
        <v>1000000000240</v>
      </c>
      <c r="C26" s="16" t="s">
        <v>59</v>
      </c>
      <c r="D26" s="17" t="s">
        <v>30</v>
      </c>
      <c r="E26" s="15" t="s">
        <v>36</v>
      </c>
      <c r="F26" s="15">
        <v>60</v>
      </c>
      <c r="G26" s="18" t="str">
        <f ca="1"/>
        <v/>
      </c>
      <c r="H26" s="2" t="s">
        <v>51</v>
      </c>
      <c r="I26" s="1">
        <v>5893556</v>
      </c>
      <c r="J26" s="1">
        <v>5901995</v>
      </c>
      <c r="K26" s="1"/>
      <c r="L26" s="1" t="s">
        <v>21</v>
      </c>
      <c r="M26" s="2" t="s">
        <v>22</v>
      </c>
      <c r="N26" s="1"/>
      <c r="O26" s="19"/>
      <c r="P26" s="20"/>
      <c r="Q26" s="21" t="s">
        <v>23</v>
      </c>
      <c r="R26" s="2" t="s">
        <v>23</v>
      </c>
      <c r="S26" s="22" t="s">
        <v>23</v>
      </c>
      <c r="T26" s="22" t="s">
        <v>23</v>
      </c>
      <c r="U26" s="22" t="str">
        <f t="shared" si="0"/>
        <v/>
      </c>
      <c r="V26" s="23" t="str">
        <f>IF(U26="","",U26-#REF!)</f>
        <v/>
      </c>
      <c r="W26" s="23"/>
    </row>
    <row r="27" spans="1:23" ht="18" customHeight="1" x14ac:dyDescent="0.25">
      <c r="A27" s="6">
        <v>260330</v>
      </c>
      <c r="B27" s="25">
        <v>1000000001497</v>
      </c>
      <c r="C27" s="16" t="s">
        <v>60</v>
      </c>
      <c r="D27" s="17" t="s">
        <v>19</v>
      </c>
      <c r="E27" s="15" t="s">
        <v>45</v>
      </c>
      <c r="F27" s="15">
        <v>60</v>
      </c>
      <c r="G27" s="18" t="str">
        <f ca="1"/>
        <v/>
      </c>
      <c r="H27" s="2" t="s">
        <v>51</v>
      </c>
      <c r="I27" s="1">
        <v>5790026</v>
      </c>
      <c r="J27" s="1">
        <v>5876736</v>
      </c>
      <c r="K27" s="1"/>
      <c r="L27" s="1" t="s">
        <v>21</v>
      </c>
      <c r="M27" s="2" t="s">
        <v>22</v>
      </c>
      <c r="N27" s="1"/>
      <c r="O27" s="19"/>
      <c r="P27" s="20"/>
      <c r="Q27" s="21" t="s">
        <v>23</v>
      </c>
      <c r="R27" s="2" t="s">
        <v>23</v>
      </c>
      <c r="S27" s="22" t="s">
        <v>23</v>
      </c>
      <c r="T27" s="22" t="s">
        <v>23</v>
      </c>
      <c r="U27" s="22" t="str">
        <f t="shared" si="0"/>
        <v/>
      </c>
      <c r="V27" s="23" t="str">
        <f>IF(U27="","",U27-#REF!)</f>
        <v/>
      </c>
      <c r="W27" s="23"/>
    </row>
    <row r="28" spans="1:23" ht="18" customHeight="1" x14ac:dyDescent="0.25">
      <c r="A28" s="6">
        <v>260330</v>
      </c>
      <c r="B28" s="25">
        <v>1000000001497</v>
      </c>
      <c r="C28" s="16" t="s">
        <v>60</v>
      </c>
      <c r="D28" s="17" t="s">
        <v>19</v>
      </c>
      <c r="E28" s="15" t="s">
        <v>45</v>
      </c>
      <c r="F28" s="15">
        <v>60</v>
      </c>
      <c r="G28" s="18" t="str">
        <f ca="1"/>
        <v/>
      </c>
      <c r="H28" s="2" t="s">
        <v>51</v>
      </c>
      <c r="I28" s="1">
        <v>5790027</v>
      </c>
      <c r="J28" s="1">
        <v>5876735</v>
      </c>
      <c r="K28" s="1"/>
      <c r="L28" s="1" t="s">
        <v>21</v>
      </c>
      <c r="M28" s="2" t="s">
        <v>22</v>
      </c>
      <c r="N28" s="1"/>
      <c r="O28" s="19"/>
      <c r="P28" s="20"/>
      <c r="Q28" s="21" t="s">
        <v>23</v>
      </c>
      <c r="R28" s="2" t="s">
        <v>23</v>
      </c>
      <c r="S28" s="22" t="s">
        <v>23</v>
      </c>
      <c r="T28" s="22" t="s">
        <v>23</v>
      </c>
      <c r="U28" s="22" t="str">
        <f t="shared" si="0"/>
        <v/>
      </c>
      <c r="V28" s="23" t="str">
        <f>IF(U28="","",U28-#REF!)</f>
        <v/>
      </c>
      <c r="W28" s="23"/>
    </row>
    <row r="29" spans="1:23" ht="18" customHeight="1" x14ac:dyDescent="0.25">
      <c r="A29" s="6">
        <v>260330</v>
      </c>
      <c r="B29" s="25">
        <v>1000000000244</v>
      </c>
      <c r="C29" s="16" t="s">
        <v>61</v>
      </c>
      <c r="D29" s="17" t="s">
        <v>30</v>
      </c>
      <c r="E29" s="15" t="s">
        <v>31</v>
      </c>
      <c r="F29" s="15">
        <v>80</v>
      </c>
      <c r="G29" s="18" t="str">
        <f ca="1"/>
        <v/>
      </c>
      <c r="H29" s="2" t="s">
        <v>51</v>
      </c>
      <c r="I29" s="1">
        <v>5875151</v>
      </c>
      <c r="J29" s="1">
        <v>5925346</v>
      </c>
      <c r="K29" s="1"/>
      <c r="L29" s="1" t="s">
        <v>21</v>
      </c>
      <c r="M29" s="2" t="s">
        <v>22</v>
      </c>
      <c r="N29" s="1"/>
      <c r="O29" s="19"/>
      <c r="P29" s="20"/>
      <c r="Q29" s="21" t="s">
        <v>23</v>
      </c>
      <c r="R29" s="2" t="s">
        <v>23</v>
      </c>
      <c r="S29" s="22" t="s">
        <v>23</v>
      </c>
      <c r="T29" s="22" t="s">
        <v>23</v>
      </c>
      <c r="U29" s="22" t="str">
        <f t="shared" si="0"/>
        <v/>
      </c>
      <c r="V29" s="23"/>
      <c r="W29" s="23"/>
    </row>
    <row r="30" spans="1:23" ht="18" customHeight="1" x14ac:dyDescent="0.25">
      <c r="A30" s="6">
        <v>260330</v>
      </c>
      <c r="B30" s="25">
        <v>1000000000241</v>
      </c>
      <c r="C30" s="16" t="s">
        <v>62</v>
      </c>
      <c r="D30" s="17" t="s">
        <v>30</v>
      </c>
      <c r="E30" s="15" t="s">
        <v>26</v>
      </c>
      <c r="F30" s="15">
        <v>80</v>
      </c>
      <c r="G30" s="18" t="str">
        <f ca="1"/>
        <v/>
      </c>
      <c r="H30" s="2" t="s">
        <v>51</v>
      </c>
      <c r="I30" s="1">
        <v>5869937</v>
      </c>
      <c r="J30" s="1">
        <v>5877608</v>
      </c>
      <c r="K30" s="1"/>
      <c r="L30" s="1" t="s">
        <v>21</v>
      </c>
      <c r="M30" s="2" t="s">
        <v>22</v>
      </c>
      <c r="N30" s="1"/>
      <c r="O30" s="19"/>
      <c r="P30" s="20"/>
      <c r="Q30" s="21" t="s">
        <v>23</v>
      </c>
      <c r="R30" s="2" t="s">
        <v>23</v>
      </c>
      <c r="S30" s="22" t="s">
        <v>23</v>
      </c>
      <c r="T30" s="22" t="s">
        <v>23</v>
      </c>
      <c r="U30" s="22" t="str">
        <f t="shared" si="0"/>
        <v/>
      </c>
      <c r="V30" s="23"/>
      <c r="W30" s="23"/>
    </row>
    <row r="31" spans="1:23" ht="18" customHeight="1" x14ac:dyDescent="0.25">
      <c r="A31" s="6">
        <v>260330</v>
      </c>
      <c r="B31" s="25">
        <v>1000000000011</v>
      </c>
      <c r="C31" s="16" t="s">
        <v>63</v>
      </c>
      <c r="D31" s="17" t="s">
        <v>19</v>
      </c>
      <c r="E31" s="15" t="s">
        <v>20</v>
      </c>
      <c r="F31" s="15">
        <v>108</v>
      </c>
      <c r="G31" s="18" t="str">
        <f ca="1"/>
        <v/>
      </c>
      <c r="H31" s="2" t="s">
        <v>51</v>
      </c>
      <c r="I31" s="1">
        <v>5920657</v>
      </c>
      <c r="J31" s="1">
        <v>5920879</v>
      </c>
      <c r="K31" s="1"/>
      <c r="L31" s="1" t="s">
        <v>21</v>
      </c>
      <c r="M31" s="2" t="s">
        <v>22</v>
      </c>
      <c r="N31" s="1"/>
      <c r="O31" s="19"/>
      <c r="P31" s="20"/>
      <c r="Q31" s="21" t="s">
        <v>23</v>
      </c>
      <c r="R31" s="2" t="s">
        <v>23</v>
      </c>
      <c r="S31" s="22" t="s">
        <v>23</v>
      </c>
      <c r="T31" s="22" t="s">
        <v>23</v>
      </c>
      <c r="U31" s="22" t="str">
        <f t="shared" si="0"/>
        <v/>
      </c>
      <c r="V31" s="23"/>
      <c r="W31" s="23"/>
    </row>
    <row r="32" spans="1:23" ht="18" customHeight="1" x14ac:dyDescent="0.25">
      <c r="A32" s="6">
        <v>260330</v>
      </c>
      <c r="B32" s="25">
        <v>1000000000012</v>
      </c>
      <c r="C32" s="16" t="s">
        <v>64</v>
      </c>
      <c r="D32" s="17" t="s">
        <v>19</v>
      </c>
      <c r="E32" s="15" t="s">
        <v>38</v>
      </c>
      <c r="F32" s="15">
        <v>108</v>
      </c>
      <c r="G32" s="18" t="str">
        <f ca="1"/>
        <v/>
      </c>
      <c r="H32" s="2" t="s">
        <v>51</v>
      </c>
      <c r="I32" s="1">
        <v>5790818</v>
      </c>
      <c r="J32" s="1">
        <v>5855122</v>
      </c>
      <c r="K32" s="1"/>
      <c r="L32" s="1" t="s">
        <v>21</v>
      </c>
      <c r="M32" s="2" t="s">
        <v>22</v>
      </c>
      <c r="N32" s="1"/>
      <c r="O32" s="19"/>
      <c r="P32" s="20"/>
      <c r="Q32" s="21" t="s">
        <v>23</v>
      </c>
      <c r="R32" s="2" t="s">
        <v>23</v>
      </c>
      <c r="S32" s="22" t="s">
        <v>23</v>
      </c>
      <c r="T32" s="22" t="s">
        <v>23</v>
      </c>
      <c r="U32" s="22" t="str">
        <f t="shared" si="0"/>
        <v/>
      </c>
      <c r="V32" s="23"/>
      <c r="W32" s="23"/>
    </row>
    <row r="33" spans="1:23" ht="18" customHeight="1" x14ac:dyDescent="0.25">
      <c r="A33" s="6">
        <v>260330</v>
      </c>
      <c r="B33" s="25">
        <v>1000000000013</v>
      </c>
      <c r="C33" s="16" t="s">
        <v>65</v>
      </c>
      <c r="D33" s="17" t="s">
        <v>19</v>
      </c>
      <c r="E33" s="15" t="s">
        <v>36</v>
      </c>
      <c r="F33" s="15">
        <v>108</v>
      </c>
      <c r="G33" s="18" t="str">
        <f ca="1"/>
        <v/>
      </c>
      <c r="H33" s="2" t="s">
        <v>51</v>
      </c>
      <c r="I33" s="1">
        <v>5863668</v>
      </c>
      <c r="J33" s="1">
        <v>5879885</v>
      </c>
      <c r="K33" s="1"/>
      <c r="L33" s="1" t="s">
        <v>21</v>
      </c>
      <c r="M33" s="2" t="s">
        <v>22</v>
      </c>
      <c r="N33" s="1"/>
      <c r="O33" s="19"/>
      <c r="P33" s="20"/>
      <c r="Q33" s="21" t="s">
        <v>23</v>
      </c>
      <c r="R33" s="2" t="s">
        <v>23</v>
      </c>
      <c r="S33" s="22" t="s">
        <v>23</v>
      </c>
      <c r="T33" s="22" t="s">
        <v>23</v>
      </c>
      <c r="U33" s="22" t="str">
        <f t="shared" si="0"/>
        <v/>
      </c>
      <c r="V33" s="23"/>
      <c r="W33" s="23"/>
    </row>
    <row r="34" spans="1:23" ht="18" customHeight="1" x14ac:dyDescent="0.25">
      <c r="A34" s="6">
        <v>260330</v>
      </c>
      <c r="B34" s="25">
        <v>1000000000039</v>
      </c>
      <c r="C34" s="16" t="s">
        <v>66</v>
      </c>
      <c r="D34" s="17" t="s">
        <v>25</v>
      </c>
      <c r="E34" s="15" t="s">
        <v>50</v>
      </c>
      <c r="F34" s="15">
        <v>200</v>
      </c>
      <c r="G34" s="18" t="str">
        <f ca="1"/>
        <v/>
      </c>
      <c r="H34" s="2" t="s">
        <v>51</v>
      </c>
      <c r="I34" s="1">
        <v>5925179</v>
      </c>
      <c r="J34" s="1">
        <v>5881724</v>
      </c>
      <c r="K34" s="1">
        <v>5924991</v>
      </c>
      <c r="L34" s="1" t="s">
        <v>21</v>
      </c>
      <c r="M34" s="2" t="s">
        <v>22</v>
      </c>
      <c r="N34" s="1"/>
      <c r="O34" s="19"/>
      <c r="P34" s="20"/>
      <c r="Q34" s="21" t="s">
        <v>23</v>
      </c>
      <c r="R34" s="2" t="s">
        <v>23</v>
      </c>
      <c r="S34" s="22" t="s">
        <v>23</v>
      </c>
      <c r="T34" s="22" t="s">
        <v>23</v>
      </c>
      <c r="U34" s="22" t="str">
        <f t="shared" si="0"/>
        <v/>
      </c>
      <c r="V34" s="23"/>
      <c r="W34" s="23"/>
    </row>
    <row r="35" spans="1:23" ht="18" customHeight="1" x14ac:dyDescent="0.25">
      <c r="A35" s="6">
        <v>260330</v>
      </c>
      <c r="B35" s="25">
        <v>1000000000594</v>
      </c>
      <c r="C35" s="16" t="s">
        <v>67</v>
      </c>
      <c r="D35" s="17" t="s">
        <v>25</v>
      </c>
      <c r="E35" s="15" t="s">
        <v>26</v>
      </c>
      <c r="F35" s="15">
        <v>39</v>
      </c>
      <c r="G35" s="18" t="str">
        <f ca="1"/>
        <v/>
      </c>
      <c r="H35" s="2" t="s">
        <v>68</v>
      </c>
      <c r="I35" s="1">
        <v>5792710</v>
      </c>
      <c r="J35" s="1">
        <v>5899997</v>
      </c>
      <c r="K35" s="1"/>
      <c r="L35" s="1" t="s">
        <v>21</v>
      </c>
      <c r="M35" s="2" t="s">
        <v>22</v>
      </c>
      <c r="N35" s="1"/>
      <c r="O35" s="19"/>
      <c r="P35" s="20"/>
      <c r="Q35" s="21" t="s">
        <v>23</v>
      </c>
      <c r="R35" s="2" t="s">
        <v>23</v>
      </c>
      <c r="S35" s="22" t="s">
        <v>23</v>
      </c>
      <c r="T35" s="22" t="s">
        <v>23</v>
      </c>
      <c r="U35" s="22" t="str">
        <f t="shared" si="0"/>
        <v/>
      </c>
      <c r="V35" s="23"/>
      <c r="W35" s="23"/>
    </row>
    <row r="36" spans="1:23" ht="18" customHeight="1" x14ac:dyDescent="0.25">
      <c r="A36" s="6">
        <v>260330</v>
      </c>
      <c r="B36" s="25">
        <v>1000000000043</v>
      </c>
      <c r="C36" s="16" t="s">
        <v>58</v>
      </c>
      <c r="D36" s="17" t="s">
        <v>19</v>
      </c>
      <c r="E36" s="15" t="s">
        <v>20</v>
      </c>
      <c r="F36" s="15">
        <v>60</v>
      </c>
      <c r="G36" s="18" t="str">
        <f ca="1"/>
        <v/>
      </c>
      <c r="H36" s="2" t="s">
        <v>68</v>
      </c>
      <c r="I36" s="1">
        <v>5789266</v>
      </c>
      <c r="J36" s="1">
        <v>5920078</v>
      </c>
      <c r="K36" s="1"/>
      <c r="L36" s="1" t="s">
        <v>21</v>
      </c>
      <c r="M36" s="2" t="s">
        <v>22</v>
      </c>
      <c r="N36" s="1"/>
      <c r="O36" s="19"/>
      <c r="P36" s="20"/>
      <c r="Q36" s="21" t="s">
        <v>23</v>
      </c>
      <c r="R36" s="2" t="s">
        <v>23</v>
      </c>
      <c r="S36" s="22" t="s">
        <v>23</v>
      </c>
      <c r="T36" s="22" t="s">
        <v>23</v>
      </c>
      <c r="U36" s="22" t="str">
        <f t="shared" si="0"/>
        <v/>
      </c>
      <c r="V36" s="23"/>
      <c r="W36" s="23"/>
    </row>
    <row r="37" spans="1:23" ht="18" customHeight="1" x14ac:dyDescent="0.25">
      <c r="A37" s="6">
        <v>260330</v>
      </c>
      <c r="B37" s="25">
        <v>1000000000939</v>
      </c>
      <c r="C37" s="16" t="s">
        <v>69</v>
      </c>
      <c r="D37" s="17" t="s">
        <v>30</v>
      </c>
      <c r="E37" s="15" t="s">
        <v>31</v>
      </c>
      <c r="F37" s="15">
        <v>60</v>
      </c>
      <c r="G37" s="18" t="str">
        <f ca="1"/>
        <v/>
      </c>
      <c r="H37" s="2" t="s">
        <v>68</v>
      </c>
      <c r="I37" s="1">
        <v>5925542</v>
      </c>
      <c r="J37" s="1">
        <v>5925543</v>
      </c>
      <c r="K37" s="1"/>
      <c r="L37" s="1" t="s">
        <v>21</v>
      </c>
      <c r="M37" s="2" t="s">
        <v>22</v>
      </c>
      <c r="N37" s="1"/>
      <c r="O37" s="19"/>
      <c r="P37" s="20"/>
      <c r="Q37" s="21" t="s">
        <v>23</v>
      </c>
      <c r="R37" s="2" t="s">
        <v>23</v>
      </c>
      <c r="S37" s="22" t="s">
        <v>23</v>
      </c>
      <c r="T37" s="22" t="s">
        <v>23</v>
      </c>
      <c r="U37" s="22" t="str">
        <f t="shared" si="0"/>
        <v/>
      </c>
      <c r="V37" s="23"/>
      <c r="W37" s="23"/>
    </row>
    <row r="38" spans="1:23" ht="18" customHeight="1" x14ac:dyDescent="0.25">
      <c r="A38" s="6">
        <v>260330</v>
      </c>
      <c r="B38" s="25">
        <v>1000000000528</v>
      </c>
      <c r="C38" s="16" t="s">
        <v>70</v>
      </c>
      <c r="D38" s="17" t="s">
        <v>19</v>
      </c>
      <c r="E38" s="15" t="s">
        <v>31</v>
      </c>
      <c r="F38" s="15">
        <v>60</v>
      </c>
      <c r="G38" s="18" t="str">
        <f ca="1"/>
        <v/>
      </c>
      <c r="H38" s="2" t="s">
        <v>68</v>
      </c>
      <c r="I38" s="1">
        <v>5887890</v>
      </c>
      <c r="J38" s="1">
        <v>5902050</v>
      </c>
      <c r="K38" s="1"/>
      <c r="L38" s="1" t="s">
        <v>21</v>
      </c>
      <c r="M38" s="2" t="s">
        <v>22</v>
      </c>
      <c r="N38" s="1"/>
      <c r="O38" s="19"/>
      <c r="P38" s="20"/>
      <c r="Q38" s="21" t="s">
        <v>23</v>
      </c>
      <c r="R38" s="2" t="s">
        <v>23</v>
      </c>
      <c r="S38" s="22" t="s">
        <v>23</v>
      </c>
      <c r="T38" s="22" t="s">
        <v>23</v>
      </c>
      <c r="U38" s="22" t="str">
        <f t="shared" si="0"/>
        <v/>
      </c>
      <c r="V38" s="23"/>
      <c r="W38" s="23"/>
    </row>
    <row r="39" spans="1:23" ht="18" customHeight="1" x14ac:dyDescent="0.25">
      <c r="A39" s="6">
        <v>260330</v>
      </c>
      <c r="B39" s="25">
        <v>1000000000219</v>
      </c>
      <c r="C39" s="16" t="s">
        <v>71</v>
      </c>
      <c r="D39" s="17" t="s">
        <v>25</v>
      </c>
      <c r="E39" s="15" t="s">
        <v>26</v>
      </c>
      <c r="F39" s="15">
        <v>80</v>
      </c>
      <c r="G39" s="18" t="str">
        <f ca="1"/>
        <v/>
      </c>
      <c r="H39" s="2" t="s">
        <v>68</v>
      </c>
      <c r="I39" s="1">
        <v>5882491</v>
      </c>
      <c r="J39" s="1">
        <v>5915609</v>
      </c>
      <c r="K39" s="1"/>
      <c r="L39" s="1" t="s">
        <v>21</v>
      </c>
      <c r="M39" s="2" t="s">
        <v>22</v>
      </c>
      <c r="N39" s="1"/>
      <c r="O39" s="19"/>
      <c r="P39" s="20"/>
      <c r="Q39" s="21" t="s">
        <v>23</v>
      </c>
      <c r="R39" s="2" t="s">
        <v>23</v>
      </c>
      <c r="S39" s="22" t="s">
        <v>23</v>
      </c>
      <c r="T39" s="22" t="s">
        <v>23</v>
      </c>
      <c r="U39" s="22" t="str">
        <f t="shared" si="0"/>
        <v/>
      </c>
      <c r="V39" s="23"/>
      <c r="W39" s="23"/>
    </row>
    <row r="40" spans="1:23" ht="18" customHeight="1" x14ac:dyDescent="0.25">
      <c r="A40" s="6">
        <v>260330</v>
      </c>
      <c r="B40" s="25">
        <v>1000000000240</v>
      </c>
      <c r="C40" s="16" t="s">
        <v>59</v>
      </c>
      <c r="D40" s="17" t="s">
        <v>30</v>
      </c>
      <c r="E40" s="15" t="s">
        <v>36</v>
      </c>
      <c r="F40" s="15">
        <v>60</v>
      </c>
      <c r="G40" s="18" t="str">
        <f ca="1"/>
        <v/>
      </c>
      <c r="H40" s="2" t="s">
        <v>68</v>
      </c>
      <c r="I40" s="1">
        <v>5893555</v>
      </c>
      <c r="J40" s="1">
        <v>5904319</v>
      </c>
      <c r="K40" s="1"/>
      <c r="L40" s="1" t="s">
        <v>21</v>
      </c>
      <c r="M40" s="2" t="s">
        <v>22</v>
      </c>
      <c r="N40" s="1"/>
      <c r="O40" s="19"/>
      <c r="P40" s="20"/>
      <c r="Q40" s="21" t="s">
        <v>23</v>
      </c>
      <c r="R40" s="2" t="s">
        <v>23</v>
      </c>
      <c r="S40" s="22" t="s">
        <v>23</v>
      </c>
      <c r="T40" s="22" t="s">
        <v>23</v>
      </c>
      <c r="U40" s="22" t="str">
        <f t="shared" si="0"/>
        <v/>
      </c>
      <c r="V40" s="23"/>
      <c r="W40" s="23"/>
    </row>
    <row r="41" spans="1:23" ht="18" customHeight="1" x14ac:dyDescent="0.25">
      <c r="A41" s="6">
        <v>260330</v>
      </c>
      <c r="B41" s="25">
        <v>1000000000244</v>
      </c>
      <c r="C41" s="16" t="s">
        <v>61</v>
      </c>
      <c r="D41" s="17" t="s">
        <v>30</v>
      </c>
      <c r="E41" s="15" t="s">
        <v>31</v>
      </c>
      <c r="F41" s="15">
        <v>80</v>
      </c>
      <c r="G41" s="18" t="str">
        <f ca="1"/>
        <v/>
      </c>
      <c r="H41" s="2" t="s">
        <v>68</v>
      </c>
      <c r="I41" s="1">
        <v>5878953</v>
      </c>
      <c r="J41" s="1">
        <v>5925345</v>
      </c>
      <c r="K41" s="1"/>
      <c r="L41" s="1" t="s">
        <v>21</v>
      </c>
      <c r="M41" s="2" t="s">
        <v>22</v>
      </c>
      <c r="N41" s="1"/>
      <c r="O41" s="19"/>
      <c r="P41" s="20"/>
      <c r="Q41" s="21" t="s">
        <v>23</v>
      </c>
      <c r="R41" s="2" t="s">
        <v>23</v>
      </c>
      <c r="S41" s="22" t="s">
        <v>23</v>
      </c>
      <c r="T41" s="22" t="s">
        <v>23</v>
      </c>
      <c r="U41" s="22" t="str">
        <f t="shared" si="0"/>
        <v/>
      </c>
      <c r="V41" s="23"/>
      <c r="W41" s="23"/>
    </row>
    <row r="42" spans="1:23" ht="18" customHeight="1" x14ac:dyDescent="0.25">
      <c r="A42" s="6">
        <v>260330</v>
      </c>
      <c r="B42" s="25">
        <v>1000000000241</v>
      </c>
      <c r="C42" s="16" t="s">
        <v>62</v>
      </c>
      <c r="D42" s="17" t="s">
        <v>30</v>
      </c>
      <c r="E42" s="15" t="s">
        <v>26</v>
      </c>
      <c r="F42" s="15">
        <v>80</v>
      </c>
      <c r="G42" s="18" t="str">
        <f ca="1"/>
        <v/>
      </c>
      <c r="H42" s="2" t="s">
        <v>68</v>
      </c>
      <c r="I42" s="1">
        <v>5873008</v>
      </c>
      <c r="J42" s="1">
        <v>5920946</v>
      </c>
      <c r="K42" s="1"/>
      <c r="L42" s="1" t="s">
        <v>21</v>
      </c>
      <c r="M42" s="2" t="s">
        <v>22</v>
      </c>
      <c r="N42" s="1"/>
      <c r="O42" s="19"/>
      <c r="P42" s="20"/>
      <c r="Q42" s="21" t="s">
        <v>23</v>
      </c>
      <c r="R42" s="2" t="s">
        <v>23</v>
      </c>
      <c r="S42" s="22" t="s">
        <v>23</v>
      </c>
      <c r="T42" s="22" t="s">
        <v>23</v>
      </c>
      <c r="U42" s="22" t="str">
        <f t="shared" si="0"/>
        <v/>
      </c>
      <c r="V42" s="23"/>
      <c r="W42" s="23"/>
    </row>
    <row r="43" spans="1:23" ht="18" customHeight="1" x14ac:dyDescent="0.25">
      <c r="A43" s="6">
        <v>260330</v>
      </c>
      <c r="B43" s="25">
        <v>1000000004082</v>
      </c>
      <c r="C43" s="16" t="s">
        <v>72</v>
      </c>
      <c r="D43" s="17"/>
      <c r="E43" s="15" t="s">
        <v>20</v>
      </c>
      <c r="F43" s="15">
        <v>20</v>
      </c>
      <c r="G43" s="18" t="str">
        <f ca="1"/>
        <v/>
      </c>
      <c r="H43" s="2" t="s">
        <v>78</v>
      </c>
      <c r="I43" s="1">
        <v>5930996</v>
      </c>
      <c r="J43" s="1">
        <v>5930997</v>
      </c>
      <c r="K43" s="1"/>
      <c r="L43" s="1" t="s">
        <v>21</v>
      </c>
      <c r="M43" s="2" t="s">
        <v>22</v>
      </c>
      <c r="N43" s="1"/>
      <c r="O43" s="19"/>
      <c r="P43" s="20"/>
      <c r="R43" s="2"/>
      <c r="S43" s="22"/>
      <c r="T43" s="22"/>
      <c r="U43" s="22"/>
      <c r="V43" s="23"/>
      <c r="W43" s="23"/>
    </row>
    <row r="44" spans="1:23" ht="15.7" customHeight="1" x14ac:dyDescent="0.25">
      <c r="A44" s="6">
        <v>260330</v>
      </c>
      <c r="B44" s="25">
        <v>1000000000241</v>
      </c>
      <c r="C44" s="16" t="s">
        <v>62</v>
      </c>
      <c r="D44" s="17" t="s">
        <v>30</v>
      </c>
      <c r="E44" s="15" t="s">
        <v>26</v>
      </c>
      <c r="F44" s="15">
        <v>5</v>
      </c>
      <c r="G44" s="18" t="str">
        <f t="array" aca="1" ref="G44" ca="1">IFERROR(_xludf.SEQUENCE(COUNT(B44:B85),1),"")</f>
        <v/>
      </c>
      <c r="H44" s="2" t="s">
        <v>68</v>
      </c>
      <c r="I44" s="1">
        <v>5873012</v>
      </c>
      <c r="J44" s="1">
        <v>5920950</v>
      </c>
      <c r="K44" s="1"/>
      <c r="L44" s="1" t="s">
        <v>21</v>
      </c>
      <c r="M44" s="2" t="s">
        <v>22</v>
      </c>
      <c r="N44" s="1"/>
      <c r="O44" s="19"/>
      <c r="P44" s="20"/>
      <c r="Q44" s="21" t="s">
        <v>23</v>
      </c>
      <c r="R44" s="2" t="s">
        <v>23</v>
      </c>
      <c r="S44" s="22" t="s">
        <v>23</v>
      </c>
      <c r="T44" s="22" t="s">
        <v>23</v>
      </c>
    </row>
    <row r="45" spans="1:23" ht="15.7" customHeight="1" x14ac:dyDescent="0.25">
      <c r="A45" s="6">
        <v>260330</v>
      </c>
      <c r="B45" s="25">
        <v>1000000000241</v>
      </c>
      <c r="C45" s="16" t="s">
        <v>62</v>
      </c>
      <c r="D45" s="17" t="s">
        <v>30</v>
      </c>
      <c r="E45" s="15" t="s">
        <v>26</v>
      </c>
      <c r="F45" s="15">
        <v>10</v>
      </c>
      <c r="G45" s="18" t="str">
        <f t="array" aca="1" ref="G45" ca="1">IFERROR(_xludf.SEQUENCE(COUNT(B45:B86),1),"")</f>
        <v/>
      </c>
      <c r="H45" s="2" t="s">
        <v>68</v>
      </c>
      <c r="I45" s="1">
        <v>5873009</v>
      </c>
      <c r="J45" s="1">
        <v>5920947</v>
      </c>
      <c r="K45" s="1"/>
      <c r="L45" s="1" t="s">
        <v>21</v>
      </c>
      <c r="M45" s="2" t="s">
        <v>22</v>
      </c>
      <c r="N45" s="1"/>
      <c r="O45" s="19"/>
      <c r="P45" s="20"/>
      <c r="Q45" s="21" t="s">
        <v>23</v>
      </c>
      <c r="R45" s="2" t="s">
        <v>23</v>
      </c>
      <c r="S45" s="22" t="s">
        <v>23</v>
      </c>
      <c r="T45" s="22" t="s">
        <v>23</v>
      </c>
    </row>
    <row r="46" spans="1:23" ht="15.7" customHeight="1" x14ac:dyDescent="0.25">
      <c r="A46" s="6">
        <v>260330</v>
      </c>
      <c r="B46" s="25">
        <v>1000000000241</v>
      </c>
      <c r="C46" s="16" t="s">
        <v>62</v>
      </c>
      <c r="D46" s="17" t="s">
        <v>30</v>
      </c>
      <c r="E46" s="15" t="s">
        <v>26</v>
      </c>
      <c r="F46" s="15">
        <v>30</v>
      </c>
      <c r="G46" s="18" t="str">
        <f t="array" aca="1" ref="G46" ca="1">IFERROR(_xludf.SEQUENCE(COUNT(B46:B87),1),"")</f>
        <v/>
      </c>
      <c r="H46" s="2" t="s">
        <v>68</v>
      </c>
      <c r="I46" s="1">
        <v>5873010</v>
      </c>
      <c r="J46" s="1">
        <v>5920948</v>
      </c>
      <c r="K46" s="1"/>
      <c r="L46" s="1" t="s">
        <v>21</v>
      </c>
      <c r="M46" s="2" t="s">
        <v>22</v>
      </c>
      <c r="N46" s="1"/>
      <c r="O46" s="19"/>
      <c r="P46" s="20"/>
      <c r="Q46" s="21" t="s">
        <v>23</v>
      </c>
      <c r="R46" s="2" t="s">
        <v>23</v>
      </c>
      <c r="S46" s="22" t="s">
        <v>23</v>
      </c>
      <c r="T46" s="22" t="s">
        <v>23</v>
      </c>
    </row>
    <row r="47" spans="1:23" ht="15.7" customHeight="1" x14ac:dyDescent="0.25">
      <c r="A47" s="6">
        <v>260330</v>
      </c>
      <c r="B47" s="25">
        <v>1000000000241</v>
      </c>
      <c r="C47" s="16" t="s">
        <v>62</v>
      </c>
      <c r="D47" s="17" t="s">
        <v>30</v>
      </c>
      <c r="E47" s="15" t="s">
        <v>26</v>
      </c>
      <c r="F47" s="15">
        <v>20</v>
      </c>
      <c r="G47" s="18" t="str">
        <f t="array" aca="1" ref="G47" ca="1">IFERROR(_xludf.SEQUENCE(COUNT(B47:B88),1),"")</f>
        <v/>
      </c>
      <c r="H47" s="2" t="s">
        <v>68</v>
      </c>
      <c r="I47" s="1">
        <v>5873011</v>
      </c>
      <c r="J47" s="1">
        <v>5920949</v>
      </c>
      <c r="K47" s="1"/>
      <c r="L47" s="1" t="s">
        <v>21</v>
      </c>
      <c r="M47" s="2" t="s">
        <v>22</v>
      </c>
      <c r="N47" s="1"/>
      <c r="O47" s="19"/>
      <c r="P47" s="20"/>
      <c r="Q47" s="21" t="s">
        <v>23</v>
      </c>
      <c r="R47" s="2" t="s">
        <v>23</v>
      </c>
      <c r="S47" s="22" t="s">
        <v>23</v>
      </c>
      <c r="T47" s="22" t="s">
        <v>23</v>
      </c>
    </row>
  </sheetData>
  <autoFilter ref="A1:V43" xr:uid="{FE546242-AAE4-4D0C-8ECA-F0EB3F47AABB}"/>
  <conditionalFormatting sqref="B2:B47">
    <cfRule type="expression" dxfId="6" priority="5">
      <formula>M2="Plotted"</formula>
    </cfRule>
    <cfRule type="expression" dxfId="5" priority="6">
      <formula>M2="Converted FG &amp; SFG"</formula>
    </cfRule>
    <cfRule type="expression" dxfId="4" priority="8">
      <formula>$L2="Cancelled"</formula>
    </cfRule>
  </conditionalFormatting>
  <conditionalFormatting sqref="I2:I43 B2:B47 J3:J43 I44:J47">
    <cfRule type="expression" dxfId="3" priority="4">
      <formula>$L2="Combine"</formula>
    </cfRule>
  </conditionalFormatting>
  <conditionalFormatting sqref="I2:I43 J3:J43">
    <cfRule type="expression" dxfId="2" priority="7">
      <formula>L2="Combine"</formula>
    </cfRule>
  </conditionalFormatting>
  <conditionalFormatting sqref="I2:I47">
    <cfRule type="expression" dxfId="1" priority="10">
      <formula>Q2&gt;0</formula>
    </cfRule>
  </conditionalFormatting>
  <conditionalFormatting sqref="I44:J47">
    <cfRule type="expression" dxfId="0" priority="1">
      <formula>L44="Combine"</formula>
    </cfRule>
  </conditionalFormatting>
  <conditionalFormatting sqref="M2:M47">
    <cfRule type="colorScale" priority="9">
      <colorScale>
        <cfvo type="min"/>
        <cfvo type="max"/>
        <color rgb="FFFFFFFF"/>
        <color rgb="FF57BB8A"/>
      </colorScale>
    </cfRule>
  </conditionalFormatting>
  <dataValidations disablePrompts="1" count="2">
    <dataValidation type="list" allowBlank="1" showErrorMessage="1" sqref="L2:L47" xr:uid="{22C6536E-CE2C-4920-9402-4B7EFCA75634}">
      <formula1>"Planned,Ongoing,PV Locked,Missing Comp.,No PV,No latest BOM,No latest PV,Cancelled,Combine,Error PV,HOLD,For Approval"</formula1>
    </dataValidation>
    <dataValidation type="list" allowBlank="1" showErrorMessage="1" sqref="M2:M47" xr:uid="{B8D78C13-9851-49F3-BEF9-833C492638A6}">
      <formula1>"Converted FG &amp; SFG,Plotted,Pending"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FPR 260309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Marc Ancheta (PH)</dc:creator>
  <cp:lastModifiedBy>John Marc Ancheta (PH)</cp:lastModifiedBy>
  <dcterms:created xsi:type="dcterms:W3CDTF">2026-02-10T02:47:24Z</dcterms:created>
  <dcterms:modified xsi:type="dcterms:W3CDTF">2026-03-30T05:35:50Z</dcterms:modified>
</cp:coreProperties>
</file>