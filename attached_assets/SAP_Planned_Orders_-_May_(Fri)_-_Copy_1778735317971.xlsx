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ncheta005\Downloads\Project Nuevo\"/>
    </mc:Choice>
  </mc:AlternateContent>
  <xr:revisionPtr revIDLastSave="0" documentId="13_ncr:1_{AA5DEC56-DF3A-4AC0-A836-4868E508CBB6}" xr6:coauthVersionLast="47" xr6:coauthVersionMax="47" xr10:uidLastSave="{00000000-0000-0000-0000-000000000000}"/>
  <bookViews>
    <workbookView xWindow="-109" yWindow="-109" windowWidth="26301" windowHeight="15800" xr2:uid="{A5714217-8ADB-469F-9A42-D7524C0ADD29}"/>
  </bookViews>
  <sheets>
    <sheet name="FPR 260515" sheetId="1" r:id="rId1"/>
  </sheets>
  <definedNames>
    <definedName name="_xlnm._FilterDatabase" localSheetId="0" hidden="1">'FPR 260515'!$A$1:$U$10</definedName>
    <definedName name="Z_D79CFD1F_1D96_45E1_BC42_0C32B5704D02_.wvu.FilterData" localSheetId="0" hidden="1">'FPR 260515'!$B$1:$L$9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V5" i="1" s="1"/>
  <c r="T9" i="1" l="1"/>
  <c r="T7" i="1"/>
  <c r="U7" i="1" s="1"/>
  <c r="T6" i="1"/>
  <c r="U6" i="1" s="1"/>
  <c r="T4" i="1"/>
  <c r="U4" i="1" s="1"/>
  <c r="T3" i="1"/>
  <c r="U3" i="1" s="1"/>
  <c r="T2" i="1"/>
  <c r="U2" i="1" s="1"/>
</calcChain>
</file>

<file path=xl/sharedStrings.xml><?xml version="1.0" encoding="utf-8"?>
<sst xmlns="http://schemas.openxmlformats.org/spreadsheetml/2006/main" count="105" uniqueCount="45">
  <si>
    <t>FPR</t>
  </si>
  <si>
    <t>Material Code</t>
  </si>
  <si>
    <t>Item Description</t>
  </si>
  <si>
    <t>Category</t>
  </si>
  <si>
    <t>Feedmill Line</t>
  </si>
  <si>
    <t>Metric Ton</t>
  </si>
  <si>
    <t>Remarks</t>
  </si>
  <si>
    <t>FG</t>
  </si>
  <si>
    <t>SFG</t>
  </si>
  <si>
    <t>SFG1</t>
  </si>
  <si>
    <t>PO STATUS</t>
  </si>
  <si>
    <t>Prod Remarks</t>
  </si>
  <si>
    <t>SFG code</t>
  </si>
  <si>
    <t>SFG pellet</t>
  </si>
  <si>
    <t>product version</t>
  </si>
  <si>
    <t>Process Order</t>
  </si>
  <si>
    <t>Output Date</t>
  </si>
  <si>
    <t>OD - FPR</t>
  </si>
  <si>
    <t>POULTRY</t>
  </si>
  <si>
    <t>Line 4</t>
  </si>
  <si>
    <t>Planned</t>
  </si>
  <si>
    <t>Plotted</t>
  </si>
  <si>
    <t>#REF!</t>
  </si>
  <si>
    <t>GAMEFOWL</t>
  </si>
  <si>
    <t>Line 1</t>
  </si>
  <si>
    <t>-----</t>
  </si>
  <si>
    <t>HOGS</t>
  </si>
  <si>
    <t>Line 2</t>
  </si>
  <si>
    <t>Poultry Sol BDR L2 C 50KG-SFPI</t>
  </si>
  <si>
    <t>Poultry Sol Broiler Finex NM-P Cs, 50kg</t>
  </si>
  <si>
    <t>Line 7</t>
  </si>
  <si>
    <t>Poultry Sol Chick Grower Breeder Cr 50kg</t>
  </si>
  <si>
    <t>Line 3</t>
  </si>
  <si>
    <t>Line 6</t>
  </si>
  <si>
    <t>Salto Stag Developer P 1kg (Bundle)</t>
  </si>
  <si>
    <t>Line 5</t>
  </si>
  <si>
    <t>prio replenish</t>
  </si>
  <si>
    <t>Elite XP GestaPrime, Pellet 50kg</t>
  </si>
  <si>
    <t>Poultry Express Chicken Layer Cr 50kg</t>
  </si>
  <si>
    <t>Elite XP Startex, Mini-pellet 50kg</t>
  </si>
  <si>
    <t>Gallimax 2 Plus Ready Mix (Natural) 50kg</t>
  </si>
  <si>
    <t>safety stocks</t>
  </si>
  <si>
    <t>TLD | May 22</t>
  </si>
  <si>
    <t>TLD | May 23</t>
  </si>
  <si>
    <t>Pork Solution Booster Plus (Cooked Mash)-1st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</si>
</sst>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 &quot;d&quot;, &quot;yyyy"/>
  </numFmts>
  <fonts count="11" x14ac:knownFonts="1"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color theme="1"/>
      <name val="Trebuchet MS"/>
    </font>
    <font>
      <b/>
      <sz val="7"/>
      <color theme="1"/>
      <name val="Trebuchet MS"/>
    </font>
    <font>
      <sz val="10"/>
      <color theme="1"/>
      <name val="Arial"/>
      <scheme val="minor"/>
    </font>
    <font>
      <sz val="10"/>
      <color rgb="FFFFFFFF"/>
      <name val="Trebuchet MS"/>
    </font>
    <font>
      <sz val="7"/>
      <color theme="1"/>
      <name val="Trebuchet MS"/>
    </font>
    <font>
      <b/>
      <sz val="10"/>
      <color theme="1"/>
      <name val="Trebuchet MS"/>
    </font>
    <font>
      <sz val="10"/>
      <color rgb="FF000000"/>
      <name val="Trebuchet MS"/>
    </font>
    <font>
      <sz val="10"/>
      <color rgb="FF000000"/>
      <name val="Arial"/>
      <family val="2"/>
      <scheme val="minor"/>
    </font>
    <font>
      <sz val="10"/>
      <color theme="1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E5A0"/>
        <bgColor rgb="FFFFE5A0"/>
      </patternFill>
    </fill>
    <fill>
      <patternFill patternType="solid">
        <fgColor rgb="FF5C9868"/>
        <bgColor rgb="FF5C9868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vertical="center"/>
    </xf>
    <xf numFmtId="0" fontId="5" fillId="3" borderId="0" xfId="1" applyFont="1" applyFill="1" applyAlignment="1">
      <alignment horizontal="left" vertical="center"/>
    </xf>
    <xf numFmtId="0" fontId="7" fillId="0" borderId="0" xfId="1" applyFont="1" applyAlignment="1">
      <alignment horizontal="center" vertical="center" wrapText="1"/>
    </xf>
    <xf numFmtId="4" fontId="5" fillId="4" borderId="0" xfId="1" applyNumberFormat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4" fontId="2" fillId="0" borderId="0" xfId="1" applyNumberFormat="1" applyFont="1" applyAlignment="1">
      <alignment horizontal="center" vertical="center"/>
    </xf>
    <xf numFmtId="4" fontId="2" fillId="5" borderId="0" xfId="1" applyNumberFormat="1" applyFont="1" applyFill="1" applyAlignment="1">
      <alignment vertical="center"/>
    </xf>
    <xf numFmtId="0" fontId="4" fillId="0" borderId="0" xfId="1" applyFont="1"/>
    <xf numFmtId="164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9" fillId="0" borderId="0" xfId="1" applyFont="1"/>
    <xf numFmtId="1" fontId="8" fillId="0" borderId="0" xfId="1" applyNumberFormat="1" applyFont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831020A2-BE5F-4D49-A2CA-284F4F4B5F60}"/>
  </cellStyles>
  <dxfs count="9">
    <dxf>
      <font>
        <color rgb="FFFFFFFF"/>
      </font>
      <fill>
        <patternFill patternType="solid">
          <fgColor rgb="FF4BACC6"/>
          <bgColor rgb="FF4BACC6"/>
        </patternFill>
      </fill>
    </dxf>
    <dxf>
      <fill>
        <patternFill patternType="solid">
          <fgColor rgb="FF4BACC6"/>
          <bgColor rgb="FF4BACC6"/>
        </patternFill>
      </fill>
    </dxf>
    <dxf>
      <font>
        <color rgb="FFFFFFFF"/>
      </font>
      <fill>
        <patternFill patternType="solid">
          <fgColor rgb="FF4BACC6"/>
          <bgColor rgb="FF4BAC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B10202"/>
          <bgColor rgb="FFB10202"/>
        </patternFill>
      </fill>
    </dxf>
    <dxf>
      <fill>
        <patternFill patternType="solid">
          <fgColor rgb="FFD4EDBC"/>
          <bgColor rgb="FFD4EDBC"/>
        </patternFill>
      </fill>
    </dxf>
    <dxf>
      <fill>
        <patternFill patternType="solid">
          <fgColor rgb="FFFFE5A0"/>
          <bgColor rgb="FFFFE5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wC Slide Master">
  <a:themeElements>
    <a:clrScheme name="PwC Office Colours">
      <a:dk1>
        <a:srgbClr val="000000"/>
      </a:dk1>
      <a:lt1>
        <a:srgbClr val="FFFFFF"/>
      </a:lt1>
      <a:dk2>
        <a:srgbClr val="000000"/>
      </a:dk2>
      <a:lt2>
        <a:srgbClr val="EBEBEB"/>
      </a:lt2>
      <a:accent1>
        <a:srgbClr val="FD5108"/>
      </a:accent1>
      <a:accent2>
        <a:srgbClr val="FE7C39"/>
      </a:accent2>
      <a:accent3>
        <a:srgbClr val="FFAA72"/>
      </a:accent3>
      <a:accent4>
        <a:srgbClr val="A1A8B3"/>
      </a:accent4>
      <a:accent5>
        <a:srgbClr val="B5BCC4"/>
      </a:accent5>
      <a:accent6>
        <a:srgbClr val="CBD1D6"/>
      </a:accent6>
      <a:hlink>
        <a:srgbClr val="000000"/>
      </a:hlink>
      <a:folHlink>
        <a:srgbClr val="A1A8B3"/>
      </a:folHlink>
    </a:clrScheme>
    <a:fontScheme name="PwC Offic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z="1600" dirty="0" err="1" smtClean="0">
            <a:latin typeface="+mj-lt"/>
          </a:defRPr>
        </a:defPPr>
      </a:lstStyle>
    </a:txDef>
  </a:objectDefaults>
  <a:extraClrSchemeLst/>
  <a:custClrLst>
    <a:custClr name="Orange">
      <a:srgbClr val="FD5108"/>
    </a:custClr>
    <a:custClr name="Medium Orange">
      <a:srgbClr val="FE7C39"/>
    </a:custClr>
    <a:custClr name="Light Orange">
      <a:srgbClr val="FFAA72"/>
    </a:custClr>
    <a:custClr name="Orange Tint 1">
      <a:srgbClr val="FFCDA8"/>
    </a:custClr>
    <a:custClr name="Orange Tint 2">
      <a:srgbClr val="FFE8D4"/>
    </a:custClr>
    <a:custClr name="Orange Tint 3">
      <a:srgbClr val="FFF5ED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Grey">
      <a:srgbClr val="A1A8B3"/>
    </a:custClr>
    <a:custClr name="Medium Grey">
      <a:srgbClr val="B5BCC4"/>
    </a:custClr>
    <a:custClr name="Light Grey">
      <a:srgbClr val="CBD1D6"/>
    </a:custClr>
    <a:custClr name="Grey Tint 1">
      <a:srgbClr val="DFE3E6"/>
    </a:custClr>
    <a:custClr name="Grey Tint 2">
      <a:srgbClr val="EEEFF1"/>
    </a:custClr>
    <a:custClr name="Grey Tint 3">
      <a:srgbClr val="F5F7F8"/>
    </a:custClr>
  </a:custClrLst>
  <a:extLst>
    <a:ext uri="{05A4C25C-085E-4340-85A3-A5531E510DB2}">
      <thm15:themeFamily xmlns:thm15="http://schemas.microsoft.com/office/thememl/2012/main" name="PwC_ppt_template" id="{0B296F49-9839-BE48-A6B0-07FAE54AD4FB}" vid="{251455FA-3AFB-1547-9744-D9A80673297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6242-AAE4-4D0C-8ECA-F0EB3F47AABB}">
  <sheetPr>
    <outlinePr summaryRight="0"/>
    <pageSetUpPr fitToPage="1"/>
  </sheetPr>
  <dimension ref="A1:V10"/>
  <sheetViews>
    <sheetView showGridLines="0" tabSelected="1" zoomScaleNormal="100" workbookViewId="0">
      <pane ySplit="1" topLeftCell="A2" activePane="bottomLeft" state="frozen"/>
      <selection activeCell="N2" sqref="N2"/>
      <selection pane="bottomLeft" activeCell="G9" sqref="G9"/>
    </sheetView>
  </sheetViews>
  <sheetFormatPr defaultColWidth="10.33203125" defaultRowHeight="15.65" customHeight="1" outlineLevelCol="2" x14ac:dyDescent="0.2"/>
  <cols>
    <col min="1" max="1" width="9.77734375" style="3" customWidth="1"/>
    <col min="2" max="2" width="14.77734375" style="22" customWidth="1"/>
    <col min="3" max="3" width="34.109375" style="3" customWidth="1"/>
    <col min="4" max="4" width="8.88671875" style="3" customWidth="1" outlineLevel="2"/>
    <col min="5" max="5" width="14.21875" style="3" customWidth="1" outlineLevel="1"/>
    <col min="6" max="6" width="10.33203125" style="3"/>
    <col min="7" max="7" width="36" style="3" customWidth="1" outlineLevel="1"/>
    <col min="8" max="8" width="10.33203125" style="3" customWidth="1" outlineLevel="2"/>
    <col min="9" max="9" width="8.21875" style="3" customWidth="1" outlineLevel="2"/>
    <col min="10" max="10" width="11.77734375" style="3" customWidth="1" outlineLevel="2"/>
    <col min="11" max="11" width="13.77734375" style="3" customWidth="1" outlineLevel="1"/>
    <col min="12" max="12" width="17.77734375" style="3" customWidth="1"/>
    <col min="13" max="13" width="13.88671875" style="3" customWidth="1" outlineLevel="1"/>
    <col min="14" max="14" width="11.44140625" style="3" customWidth="1" outlineLevel="1"/>
    <col min="15" max="15" width="15.21875" style="3" customWidth="1" outlineLevel="1"/>
    <col min="16" max="17" width="10.77734375" style="3" customWidth="1"/>
    <col min="18" max="19" width="8.21875" style="3" customWidth="1" outlineLevel="1"/>
    <col min="20" max="20" width="6.44140625" style="3" customWidth="1"/>
    <col min="21" max="22" width="4.88671875" style="3" customWidth="1"/>
    <col min="23" max="16384" width="10.33203125" style="3"/>
  </cols>
  <sheetData>
    <row r="1" spans="1:22" ht="14.95" x14ac:dyDescent="0.2">
      <c r="A1" s="8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1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2" t="s">
        <v>11</v>
      </c>
      <c r="M1" s="7" t="s">
        <v>12</v>
      </c>
      <c r="N1" s="7" t="s">
        <v>13</v>
      </c>
      <c r="O1" s="13" t="s">
        <v>14</v>
      </c>
      <c r="P1" s="7"/>
      <c r="Q1" s="2"/>
      <c r="R1" s="1" t="s">
        <v>15</v>
      </c>
      <c r="S1" s="4"/>
      <c r="T1" s="5" t="s">
        <v>16</v>
      </c>
      <c r="U1" s="5" t="s">
        <v>17</v>
      </c>
      <c r="V1" s="1"/>
    </row>
    <row r="2" spans="1:22" ht="14.95" x14ac:dyDescent="0.2">
      <c r="A2" s="6">
        <v>260515</v>
      </c>
      <c r="B2" s="23">
        <v>1000000002874</v>
      </c>
      <c r="C2" s="15" t="s">
        <v>28</v>
      </c>
      <c r="D2" s="16" t="s">
        <v>18</v>
      </c>
      <c r="E2" s="14" t="s">
        <v>19</v>
      </c>
      <c r="F2" s="14">
        <v>20</v>
      </c>
      <c r="G2" s="2" t="s">
        <v>42</v>
      </c>
      <c r="H2" s="1">
        <v>5920638</v>
      </c>
      <c r="I2" s="1">
        <v>5920708</v>
      </c>
      <c r="J2" s="1"/>
      <c r="K2" s="1" t="s">
        <v>20</v>
      </c>
      <c r="L2" s="2" t="s">
        <v>21</v>
      </c>
      <c r="M2" s="1"/>
      <c r="N2" s="17"/>
      <c r="O2" s="18"/>
      <c r="P2" s="19" t="s">
        <v>22</v>
      </c>
      <c r="Q2" s="2" t="s">
        <v>22</v>
      </c>
      <c r="R2" s="20" t="s">
        <v>22</v>
      </c>
      <c r="S2" s="20" t="s">
        <v>22</v>
      </c>
      <c r="T2" s="20" t="str">
        <f t="shared" ref="T2:T9" si="0">IFERROR(DATE(INT(RIGHT(S2,4)),INT(RIGHT(LEFT(S2,5),2)),INT(LEFT(S2,2))),"")</f>
        <v/>
      </c>
      <c r="U2" s="21" t="str">
        <f>IF(T2="","",T2-#REF!)</f>
        <v/>
      </c>
      <c r="V2" s="21"/>
    </row>
    <row r="3" spans="1:22" ht="14.95" x14ac:dyDescent="0.2">
      <c r="A3" s="6">
        <v>260515</v>
      </c>
      <c r="B3" s="23">
        <v>1000000000911</v>
      </c>
      <c r="C3" s="15" t="s">
        <v>29</v>
      </c>
      <c r="D3" s="16" t="s">
        <v>18</v>
      </c>
      <c r="E3" s="14" t="s">
        <v>30</v>
      </c>
      <c r="F3" s="14">
        <v>42</v>
      </c>
      <c r="G3" s="2" t="s">
        <v>42</v>
      </c>
      <c r="H3" s="1">
        <v>5915308</v>
      </c>
      <c r="I3" s="1">
        <v>5916857</v>
      </c>
      <c r="J3" s="1"/>
      <c r="K3" s="1" t="s">
        <v>20</v>
      </c>
      <c r="L3" s="2" t="s">
        <v>21</v>
      </c>
      <c r="M3" s="1"/>
      <c r="N3" s="17"/>
      <c r="O3" s="18"/>
      <c r="P3" s="19" t="s">
        <v>22</v>
      </c>
      <c r="Q3" s="2" t="s">
        <v>22</v>
      </c>
      <c r="R3" s="20" t="s">
        <v>22</v>
      </c>
      <c r="S3" s="20" t="s">
        <v>22</v>
      </c>
      <c r="T3" s="20" t="str">
        <f t="shared" si="0"/>
        <v/>
      </c>
      <c r="U3" s="21" t="str">
        <f>IF(T3="","",T3-#REF!)</f>
        <v/>
      </c>
      <c r="V3" s="21"/>
    </row>
    <row r="4" spans="1:22" ht="14.95" x14ac:dyDescent="0.2">
      <c r="A4" s="6">
        <v>260515</v>
      </c>
      <c r="B4" s="23">
        <v>1000000000981</v>
      </c>
      <c r="C4" s="15" t="s">
        <v>31</v>
      </c>
      <c r="D4" s="16" t="s">
        <v>18</v>
      </c>
      <c r="E4" s="14" t="s">
        <v>32</v>
      </c>
      <c r="F4" s="14">
        <v>12</v>
      </c>
      <c r="G4" s="2" t="s">
        <v>43</v>
      </c>
      <c r="H4" s="1">
        <v>5925438</v>
      </c>
      <c r="I4" s="1">
        <v>5909714</v>
      </c>
      <c r="J4" s="1"/>
      <c r="K4" s="1" t="s">
        <v>20</v>
      </c>
      <c r="L4" s="2" t="s">
        <v>21</v>
      </c>
      <c r="M4" s="1"/>
      <c r="N4" s="17"/>
      <c r="O4" s="18"/>
      <c r="P4" s="19" t="s">
        <v>22</v>
      </c>
      <c r="Q4" s="2" t="s">
        <v>22</v>
      </c>
      <c r="R4" s="20" t="s">
        <v>22</v>
      </c>
      <c r="S4" s="20" t="s">
        <v>22</v>
      </c>
      <c r="T4" s="20" t="str">
        <f t="shared" si="0"/>
        <v/>
      </c>
      <c r="U4" s="21" t="str">
        <f>IF(T4="","",T4-#REF!)</f>
        <v/>
      </c>
      <c r="V4" s="21"/>
    </row>
    <row r="5" spans="1:22" ht="18" customHeight="1" x14ac:dyDescent="0.2">
      <c r="A5" s="6">
        <v>260515</v>
      </c>
      <c r="B5" s="23">
        <v>1000000001497</v>
      </c>
      <c r="C5" s="15" t="s">
        <v>38</v>
      </c>
      <c r="D5" s="16" t="s">
        <v>18</v>
      </c>
      <c r="E5" s="14" t="s">
        <v>33</v>
      </c>
      <c r="F5" s="14">
        <v>60</v>
      </c>
      <c r="G5" s="2" t="s">
        <v>36</v>
      </c>
      <c r="H5" s="1">
        <v>5790026</v>
      </c>
      <c r="I5" s="1">
        <v>5876736</v>
      </c>
      <c r="J5" s="1"/>
      <c r="K5" s="1" t="s">
        <v>20</v>
      </c>
      <c r="L5" s="2" t="s">
        <v>21</v>
      </c>
      <c r="M5" s="1"/>
      <c r="N5" s="17"/>
      <c r="O5" s="18"/>
      <c r="P5" s="19" t="s">
        <v>22</v>
      </c>
      <c r="Q5" s="2" t="s">
        <v>22</v>
      </c>
      <c r="R5" s="20" t="s">
        <v>22</v>
      </c>
      <c r="S5" s="20" t="s">
        <v>22</v>
      </c>
      <c r="T5" s="20" t="str">
        <f t="shared" ref="T5" si="1">IFERROR(DATE(INT(RIGHT(S5,4)),INT(RIGHT(LEFT(S5,5),2)),INT(LEFT(S5,2))),"")</f>
        <v/>
      </c>
      <c r="V5" s="21" t="str">
        <f>IF(T5="","",T5-#REF!)</f>
        <v/>
      </c>
    </row>
    <row r="6" spans="1:22" ht="18" customHeight="1" x14ac:dyDescent="0.2">
      <c r="A6" s="6">
        <v>260515</v>
      </c>
      <c r="B6" s="23">
        <v>1000000000543</v>
      </c>
      <c r="C6" s="15" t="s">
        <v>34</v>
      </c>
      <c r="D6" s="16" t="s">
        <v>23</v>
      </c>
      <c r="E6" s="14" t="s">
        <v>35</v>
      </c>
      <c r="F6" s="14">
        <v>150</v>
      </c>
      <c r="G6" s="2" t="s">
        <v>36</v>
      </c>
      <c r="H6" s="1" t="s">
        <v>25</v>
      </c>
      <c r="I6" s="1">
        <v>5863692</v>
      </c>
      <c r="J6" s="1">
        <v>5875660</v>
      </c>
      <c r="K6" s="1" t="s">
        <v>20</v>
      </c>
      <c r="L6" s="2" t="s">
        <v>21</v>
      </c>
      <c r="M6" s="1"/>
      <c r="N6" s="17"/>
      <c r="O6" s="18"/>
      <c r="P6" s="19" t="s">
        <v>22</v>
      </c>
      <c r="Q6" s="2" t="s">
        <v>22</v>
      </c>
      <c r="R6" s="20" t="s">
        <v>22</v>
      </c>
      <c r="S6" s="20" t="s">
        <v>22</v>
      </c>
      <c r="T6" s="20" t="str">
        <f t="shared" si="0"/>
        <v/>
      </c>
      <c r="U6" s="21" t="str">
        <f>IF(T6="","",T6-#REF!)</f>
        <v/>
      </c>
      <c r="V6" s="21"/>
    </row>
    <row r="7" spans="1:22" ht="18" customHeight="1" x14ac:dyDescent="0.2">
      <c r="A7" s="6">
        <v>260515</v>
      </c>
      <c r="B7" s="23">
        <v>1000000000233</v>
      </c>
      <c r="C7" s="15" t="s">
        <v>37</v>
      </c>
      <c r="D7" s="16" t="s">
        <v>26</v>
      </c>
      <c r="E7" s="14" t="s">
        <v>27</v>
      </c>
      <c r="F7" s="14">
        <v>12</v>
      </c>
      <c r="G7" s="2" t="s">
        <v>36</v>
      </c>
      <c r="H7" s="1">
        <v>5884590</v>
      </c>
      <c r="I7" s="1">
        <v>5891410</v>
      </c>
      <c r="J7" s="1"/>
      <c r="K7" s="1" t="s">
        <v>20</v>
      </c>
      <c r="L7" s="2" t="s">
        <v>21</v>
      </c>
      <c r="M7" s="1"/>
      <c r="N7" s="17"/>
      <c r="O7" s="18"/>
      <c r="P7" s="19" t="s">
        <v>22</v>
      </c>
      <c r="Q7" s="2" t="s">
        <v>22</v>
      </c>
      <c r="R7" s="20" t="s">
        <v>22</v>
      </c>
      <c r="S7" s="20" t="s">
        <v>22</v>
      </c>
      <c r="T7" s="20" t="str">
        <f t="shared" si="0"/>
        <v/>
      </c>
      <c r="U7" s="21" t="str">
        <f>IF(T7="","",T7-#REF!)</f>
        <v/>
      </c>
      <c r="V7" s="21"/>
    </row>
    <row r="8" spans="1:22" ht="18" customHeight="1" x14ac:dyDescent="0.2">
      <c r="A8" s="6">
        <v>260515</v>
      </c>
      <c r="B8" s="23">
        <v>1000000001121</v>
      </c>
      <c r="C8" s="15" t="s">
        <v>44</v>
      </c>
      <c r="D8" s="16" t="s">
        <v>26</v>
      </c>
      <c r="E8" s="14" t="s">
        <v>35</v>
      </c>
      <c r="F8" s="14">
        <v>70</v>
      </c>
      <c r="G8" s="2" t="s">
        <v>41</v>
      </c>
      <c r="H8" s="24">
        <v>5844096</v>
      </c>
      <c r="I8" s="24">
        <v>5844238</v>
      </c>
      <c r="J8" s="24">
        <v>5844460</v>
      </c>
      <c r="K8" s="1" t="s">
        <v>20</v>
      </c>
      <c r="L8" s="2" t="s">
        <v>21</v>
      </c>
      <c r="M8" s="1"/>
      <c r="N8" s="17"/>
      <c r="O8" s="18"/>
      <c r="P8" s="19"/>
      <c r="Q8" s="2"/>
      <c r="R8" s="20"/>
      <c r="S8" s="20"/>
      <c r="T8" s="20"/>
      <c r="U8" s="21"/>
      <c r="V8" s="21"/>
    </row>
    <row r="9" spans="1:22" ht="18" customHeight="1" x14ac:dyDescent="0.2">
      <c r="A9" s="6">
        <v>260515</v>
      </c>
      <c r="B9" s="23">
        <v>1000000000039</v>
      </c>
      <c r="C9" s="15" t="s">
        <v>40</v>
      </c>
      <c r="D9" s="16" t="s">
        <v>23</v>
      </c>
      <c r="E9" s="14" t="s">
        <v>35</v>
      </c>
      <c r="F9" s="14">
        <v>200</v>
      </c>
      <c r="G9" s="2" t="s">
        <v>41</v>
      </c>
      <c r="H9" s="1">
        <v>5925179</v>
      </c>
      <c r="I9" s="1">
        <v>5881724</v>
      </c>
      <c r="J9" s="1">
        <v>5924991</v>
      </c>
      <c r="K9" s="1" t="s">
        <v>20</v>
      </c>
      <c r="L9" s="2" t="s">
        <v>21</v>
      </c>
      <c r="M9" s="1"/>
      <c r="N9" s="17"/>
      <c r="O9" s="18"/>
      <c r="P9" s="19" t="s">
        <v>22</v>
      </c>
      <c r="Q9" s="2" t="s">
        <v>22</v>
      </c>
      <c r="R9" s="20" t="s">
        <v>22</v>
      </c>
      <c r="S9" s="20" t="s">
        <v>22</v>
      </c>
      <c r="T9" s="20" t="str">
        <f t="shared" si="0"/>
        <v/>
      </c>
      <c r="U9" s="21"/>
      <c r="V9" s="21"/>
    </row>
    <row r="10" spans="1:22" ht="15.65" customHeight="1" x14ac:dyDescent="0.2">
      <c r="A10" s="6">
        <v>260515</v>
      </c>
      <c r="B10" s="23">
        <v>1000000000241</v>
      </c>
      <c r="C10" s="15" t="s">
        <v>39</v>
      </c>
      <c r="D10" s="16" t="s">
        <v>26</v>
      </c>
      <c r="E10" s="14" t="s">
        <v>24</v>
      </c>
      <c r="F10" s="14">
        <v>5</v>
      </c>
      <c r="G10" s="2" t="s">
        <v>41</v>
      </c>
      <c r="H10" s="1">
        <v>5873012</v>
      </c>
      <c r="I10" s="1">
        <v>5920950</v>
      </c>
      <c r="J10" s="1"/>
      <c r="K10" s="1" t="s">
        <v>20</v>
      </c>
      <c r="L10" s="2" t="s">
        <v>21</v>
      </c>
      <c r="M10" s="1"/>
      <c r="N10" s="17"/>
      <c r="O10" s="18"/>
      <c r="P10" s="19" t="s">
        <v>22</v>
      </c>
      <c r="Q10" s="2" t="s">
        <v>22</v>
      </c>
      <c r="R10" s="20" t="s">
        <v>22</v>
      </c>
      <c r="S10" s="20" t="s">
        <v>22</v>
      </c>
    </row>
  </sheetData>
  <autoFilter ref="A1:U10" xr:uid="{FE546242-AAE4-4D0C-8ECA-F0EB3F47AABB}"/>
  <conditionalFormatting sqref="B2:B10">
    <cfRule type="expression" dxfId="8" priority="15">
      <formula>L2="Plotted"</formula>
    </cfRule>
    <cfRule type="expression" dxfId="7" priority="16">
      <formula>L2="Converted FG &amp; SFG"</formula>
    </cfRule>
    <cfRule type="expression" dxfId="6" priority="18">
      <formula>$K2="Cancelled"</formula>
    </cfRule>
  </conditionalFormatting>
  <conditionalFormatting sqref="H2:H4 H6:H7 H9:H10">
    <cfRule type="expression" dxfId="5" priority="20">
      <formula>P2&gt;0</formula>
    </cfRule>
  </conditionalFormatting>
  <conditionalFormatting sqref="H5">
    <cfRule type="expression" dxfId="4" priority="10">
      <formula>P5&gt;0</formula>
    </cfRule>
  </conditionalFormatting>
  <conditionalFormatting sqref="H8">
    <cfRule type="expression" dxfId="3" priority="3">
      <formula>P8&gt;0</formula>
    </cfRule>
  </conditionalFormatting>
  <conditionalFormatting sqref="H2:I7 B2:B10 H9:I10">
    <cfRule type="expression" dxfId="2" priority="14">
      <formula>$K2="Combine"</formula>
    </cfRule>
  </conditionalFormatting>
  <conditionalFormatting sqref="H2:I10">
    <cfRule type="expression" dxfId="1" priority="2">
      <formula>K2="Combine"</formula>
    </cfRule>
  </conditionalFormatting>
  <conditionalFormatting sqref="H8:I8">
    <cfRule type="expression" dxfId="0" priority="1">
      <formula>$L8="Combine"</formula>
    </cfRule>
  </conditionalFormatting>
  <conditionalFormatting sqref="L2:L4 L6:L10">
    <cfRule type="colorScale" priority="167">
      <colorScale>
        <cfvo type="min"/>
        <cfvo type="max"/>
        <color rgb="FFFFFFFF"/>
        <color rgb="FF57BB8A"/>
      </colorScale>
    </cfRule>
  </conditionalFormatting>
  <conditionalFormatting sqref="L5">
    <cfRule type="colorScale" priority="9">
      <colorScale>
        <cfvo type="min"/>
        <cfvo type="max"/>
        <color rgb="FFFFFFFF"/>
        <color rgb="FF57BB8A"/>
      </colorScale>
    </cfRule>
  </conditionalFormatting>
  <dataValidations count="2">
    <dataValidation type="list" allowBlank="1" showErrorMessage="1" sqref="K2:K10" xr:uid="{22C6536E-CE2C-4920-9402-4B7EFCA75634}">
      <formula1>"Planned,Ongoing,PV Locked,Missing Comp.,No PV,No latest BOM,No latest PV,Cancelled,Combine,Error PV,HOLD,For Approval"</formula1>
    </dataValidation>
    <dataValidation type="list" allowBlank="1" showErrorMessage="1" sqref="L2:L10" xr:uid="{B8D78C13-9851-49F3-BEF9-833C492638A6}">
      <formula1>"Converted FG &amp; SFG,Plotted,Pending"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FPR 260515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Marc Ancheta (PH)</dc:creator>
  <cp:lastModifiedBy>John Marc Ancheta (PH)</cp:lastModifiedBy>
  <dcterms:created xsi:type="dcterms:W3CDTF">2026-02-10T02:47:24Z</dcterms:created>
  <dcterms:modified xsi:type="dcterms:W3CDTF">2026-05-14T00:25:51Z</dcterms:modified>
</cp:coreProperties>
</file>